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33000" windowHeight="18000"/>
  </bookViews>
  <sheets>
    <sheet name="Read Me" sheetId="1" r:id="rId1"/>
    <sheet name="Assumptions" sheetId="2" r:id="rId2"/>
    <sheet name="Headcount" sheetId="3" r:id="rId3"/>
    <sheet name="Revenue" sheetId="4" r:id="rId4"/>
    <sheet name="COGS &amp; GM" sheetId="5" r:id="rId5"/>
    <sheet name="Opex" sheetId="6" r:id="rId6"/>
    <sheet name="Working Capital" sheetId="7" r:id="rId7"/>
    <sheet name="P&amp;L" sheetId="8" r:id="rId8"/>
    <sheet name="Cash Flow" sheetId="9" r:id="rId9"/>
    <sheet name="Balance Sheet" sheetId="10" r:id="rId10"/>
    <sheet name="Cash &amp; Runway" sheetId="11" r:id="rId11"/>
    <sheet name="Scenarios" sheetId="12" r:id="rId12"/>
    <sheet name="Visuals" sheetId="13" r:id="rId13"/>
    <sheet name="Checks" sheetId="14" r:id="rId14"/>
  </sheets>
  <definedNames>
    <definedName name="_xlnm.Print_Titles" localSheetId="9">'Balance Sheet'!$1:$4</definedName>
    <definedName name="_xlnm.Print_Titles" localSheetId="10">'Cash &amp; Runway'!$1:$4</definedName>
    <definedName name="_xlnm.Print_Titles" localSheetId="8">'Cash Flow'!$1:$4</definedName>
    <definedName name="_xlnm.Print_Titles" localSheetId="4">'COGS &amp; GM'!$1:$4</definedName>
    <definedName name="_xlnm.Print_Titles" localSheetId="2">Headcount!$1:$4</definedName>
    <definedName name="_xlnm.Print_Titles" localSheetId="5">Opex!$1:$4</definedName>
    <definedName name="_xlnm.Print_Titles" localSheetId="7">'P&amp;L'!$1:$4</definedName>
    <definedName name="_xlnm.Print_Titles" localSheetId="3">Revenue!$1:$4</definedName>
    <definedName name="_xlnm.Print_Titles" localSheetId="6">'Working Capital'!$1:$4</definedName>
  </definedNames>
  <calcPr calcId="124519" fullCalcOnLoad="1"/>
</workbook>
</file>

<file path=xl/sharedStrings.xml><?xml version="1.0" encoding="utf-8"?>
<sst xmlns="http://schemas.openxmlformats.org/spreadsheetml/2006/main" count="749" uniqueCount="503">
  <si>
    <t xml:space="preserve">  AI API / Infrastructure — 3-Year Financial Model</t>
  </si>
  <si>
    <t xml:space="preserve">  36-month integrated financial model — Read Me</t>
  </si>
  <si>
    <t>Overview</t>
  </si>
  <si>
    <t>A 36-month, formula-driven financial model for an AI API / infrastructure company with tiered customers, usage-based billing, and compute-heavy cost of revenue. Start on the Assumptions tab: set your Base / Upside / Downside inputs and pick a scenario. Every downstream tab recalculates automatically.</t>
  </si>
  <si>
    <t>How this workbook is organized</t>
  </si>
  <si>
    <t>Assumptions -&gt; Headcount -&gt; Revenue -&gt; COGS &amp; GM -&gt; Opex -&gt; Working Capital -&gt; P&amp;L -&gt; Balance Sheet -&gt; Cash Flow -&gt; Cash &amp; Runway -&gt; Scenarios -&gt; Visuals -&gt; Checks. Data flows strictly left-to-right through that order: change an assumption, and every downstream tab recalculates automatically (workbook calculation mode is Automatic).</t>
  </si>
  <si>
    <t>Formatting legend</t>
  </si>
  <si>
    <t>Blue text on light-blue fill = an input you can edit (Assumptions tab, and scenario selector).</t>
  </si>
  <si>
    <t>Black text on white = a live formula. Do not hard-code over these cells.</t>
  </si>
  <si>
    <t>Cells on a light-gray band = a value linked in from another tab.</t>
  </si>
  <si>
    <t>Color palette</t>
  </si>
  <si>
    <t>Purple  (#7B68EE)</t>
  </si>
  <si>
    <t>Blue  (#49CCF9)</t>
  </si>
  <si>
    <t>Teal  (#79D9B9)</t>
  </si>
  <si>
    <t>Pink  (#FD71AF)</t>
  </si>
  <si>
    <t>Orange  (#FFB08E)</t>
  </si>
  <si>
    <t>Business model</t>
  </si>
  <si>
    <t>This workbook models an AI API / infrastructure company selling inference capacity across Starter, Growth, and Enterprise tiers. Revenue is built bottom-up from customer counts, monthly request volume, tier-specific platform fees, and blended request pricing driven by model mix and discounts.</t>
  </si>
  <si>
    <t>Key KPIs</t>
  </si>
  <si>
    <t>Core outputs include gross and billable request volume, revenue per 1M requests, COGS per 1M requests, inference margin, gross margin, utilization, enterprise revenue concentration, burn, and runway. The Revenue, COGS &amp; GM, Cash &amp; Runway, and Scenarios tabs surface these directly.</t>
  </si>
  <si>
    <t>Modeling notes</t>
  </si>
  <si>
    <t>Cache hits lower processed volume more than billed volume through a pass-back assumption, which is a deliberate simplification of more granular contract logic. Reserved-capacity economics are modeled as a utilization-adjusted blended unit cost, and depreciation uses the engine's rolling straight-line approximation rather than per-asset schedules.</t>
  </si>
  <si>
    <t>Limitations &amp; disclaimer</t>
  </si>
  <si>
    <t>This workbook is a lightweight planning tool built to help you reason about unit economics, burn, and runway. It is NOT accounting, tax, or investment advice, and it is not a substitute for GAAP/IFRS-compliant books, a CPA, or legal/financial counsel. Formulas use simplified, transparent approximations (documented on each tab) rather than full cohort- or lot-level accounting. Validate every assumption against your own data before using this model for fundraising, budgeting, or compliance decisions.</t>
  </si>
  <si>
    <t>Timeline &amp; recalculation</t>
  </si>
  <si>
    <t>36 monthly periods, plus quarterly (12) and annual (3) roll-up columns on each schedule tab. Workbook calculation is set to Automatic — Excel recalculates on every edit. Deterministic, seeded default assumptions are provided so the model is internally consistent out of the box; replace them with your own numbers on the Assumptions tab.</t>
  </si>
  <si>
    <t xml:space="preserve">  AI API / Infrastructure — 3-Year Financial Model — Assumptions</t>
  </si>
  <si>
    <t xml:space="preserve">  Plain-language inputs. Edit the Base / Upside / Downside columns only — everything else in this workbook is a formula.</t>
  </si>
  <si>
    <t>Scenario selector:</t>
  </si>
  <si>
    <t>Base</t>
  </si>
  <si>
    <t>&lt;&lt; Pick Base / Upside / Downside. This one cell drives every formula in the model.</t>
  </si>
  <si>
    <t>Assumption</t>
  </si>
  <si>
    <t>Unit</t>
  </si>
  <si>
    <t>Upside</t>
  </si>
  <si>
    <t>Downside</t>
  </si>
  <si>
    <t>Active (used in model)</t>
  </si>
  <si>
    <t>Notes / definition</t>
  </si>
  <si>
    <t xml:space="preserve">  Company &amp; Financial</t>
  </si>
  <si>
    <t>Starting cash balance</t>
  </si>
  <si>
    <t>$</t>
  </si>
  <si>
    <t>Cash on hand at the start of month 1.</t>
  </si>
  <si>
    <t>Starting paid-in capital</t>
  </si>
  <si>
    <t>Cumulative equity raised before the modeled period.</t>
  </si>
  <si>
    <t>Income tax rate</t>
  </si>
  <si>
    <t>%</t>
  </si>
  <si>
    <t>Applied only when Earnings Before Tax is positive; no NOL schedule modeled.</t>
  </si>
  <si>
    <t xml:space="preserve">  Customers &amp; Volume</t>
  </si>
  <si>
    <t>Starter customers at month 1 start</t>
  </si>
  <si>
    <t>#</t>
  </si>
  <si>
    <t>Small self-serve / startup accounts.</t>
  </si>
  <si>
    <t>Starter new customers, month 1</t>
  </si>
  <si>
    <t>New Starter logos landed in month 1.</t>
  </si>
  <si>
    <t>Starter new-customer growth, month over month</t>
  </si>
  <si>
    <t>Compounding growth in monthly Starter logo adds.</t>
  </si>
  <si>
    <t>Starter monthly churn rate</t>
  </si>
  <si>
    <t>Share of beginning Starter customers that churn each month.</t>
  </si>
  <si>
    <t>Starter usage per customer, month 1</t>
  </si>
  <si>
    <t>M req/mo</t>
  </si>
  <si>
    <t>Average monthly inference request-equivalents per active Starter customer.</t>
  </si>
  <si>
    <t>Starter usage growth per customer, month over month</t>
  </si>
  <si>
    <t>Growth in monthly usage intensity per Starter customer.</t>
  </si>
  <si>
    <t>Growth customers at month 1 start</t>
  </si>
  <si>
    <t>Mid-market accounts on annual commits.</t>
  </si>
  <si>
    <t>Growth new customers, month 1</t>
  </si>
  <si>
    <t>New Growth customers landed in month 1.</t>
  </si>
  <si>
    <t>Growth new-customer growth, month over month</t>
  </si>
  <si>
    <t>Compounding growth in monthly Growth-customer adds.</t>
  </si>
  <si>
    <t>Growth monthly churn rate</t>
  </si>
  <si>
    <t>Share of beginning Growth customers lost each month.</t>
  </si>
  <si>
    <t>Growth usage per customer, month 1</t>
  </si>
  <si>
    <t>Average monthly inference request-equivalents per active Growth customer.</t>
  </si>
  <si>
    <t>Growth usage growth per customer, month over month</t>
  </si>
  <si>
    <t>Growth in monthly usage intensity per Growth customer.</t>
  </si>
  <si>
    <t>Enterprise customers at month 1 start</t>
  </si>
  <si>
    <t>Large committed customers with higher-value workloads.</t>
  </si>
  <si>
    <t>Enterprise new customers, month 1</t>
  </si>
  <si>
    <t>New Enterprise deals landed in month 1.</t>
  </si>
  <si>
    <t>Enterprise new-customer growth, month over month</t>
  </si>
  <si>
    <t>Compounding growth in monthly Enterprise wins.</t>
  </si>
  <si>
    <t>Enterprise monthly churn rate</t>
  </si>
  <si>
    <t>Share of beginning Enterprise customers lost each month.</t>
  </si>
  <si>
    <t>Enterprise usage per customer, month 1</t>
  </si>
  <si>
    <t>Average monthly inference request-equivalents per active Enterprise customer.</t>
  </si>
  <si>
    <t>Enterprise usage growth per customer, month over month</t>
  </si>
  <si>
    <t>Growth in monthly usage intensity per Enterprise customer.</t>
  </si>
  <si>
    <t xml:space="preserve">  Pricing &amp; Unit Economics</t>
  </si>
  <si>
    <t>Standard-model list price per 1M requests</t>
  </si>
  <si>
    <t>$/M req</t>
  </si>
  <si>
    <t>Realized before tier multipliers and discounting.</t>
  </si>
  <si>
    <t>Premium-model list price per 1M requests</t>
  </si>
  <si>
    <t>Higher-value reasoning / multimodal request pricing.</t>
  </si>
  <si>
    <t>Premium-model mix, month 1</t>
  </si>
  <si>
    <t>Share of usage billed on premium models at the start of the model.</t>
  </si>
  <si>
    <t>Premium-model mix shift, month over month</t>
  </si>
  <si>
    <t>Monthly change in premium-model mix; capped inside the model.</t>
  </si>
  <si>
    <t>Starter realized price multiplier</t>
  </si>
  <si>
    <t>x</t>
  </si>
  <si>
    <t>Discounted vs blended list price due to lower ACV and promotional pricing.</t>
  </si>
  <si>
    <t>Growth realized price multiplier</t>
  </si>
  <si>
    <t>Mid-market customers roughly at blended list price.</t>
  </si>
  <si>
    <t>Enterprise realized price multiplier</t>
  </si>
  <si>
    <t>Premium for SLA, throughput, and higher-value workloads.</t>
  </si>
  <si>
    <t>Committed-use / volume discount rate</t>
  </si>
  <si>
    <t>Blended discount off list price for annual commits and committed capacity.</t>
  </si>
  <si>
    <t>Cache hit rate</t>
  </si>
  <si>
    <t>Share of gross requests satisfied by cache rather than fresh inference.</t>
  </si>
  <si>
    <t>Share of cache benefit passed back to customers</t>
  </si>
  <si>
    <t>Portion of cache savings that lowers billable units / effective invoice volume.</t>
  </si>
  <si>
    <t>Batch / async discount rate</t>
  </si>
  <si>
    <t>Effective unit reduction from customers opting into batched / async processing.</t>
  </si>
  <si>
    <t>Starter platform fee per customer</t>
  </si>
  <si>
    <t>$/mo</t>
  </si>
  <si>
    <t>Base platform / support fee billed monthly per Starter account.</t>
  </si>
  <si>
    <t>Growth platform fee per customer</t>
  </si>
  <si>
    <t>Base platform fee billed monthly per Growth account.</t>
  </si>
  <si>
    <t>Enterprise platform fee per customer</t>
  </si>
  <si>
    <t>Base platform / SLA fee billed monthly per Enterprise account.</t>
  </si>
  <si>
    <t xml:space="preserve">  COGS &amp; Compute Costs</t>
  </si>
  <si>
    <t>Reserved capacity compute cost per 1M requests</t>
  </si>
  <si>
    <t>At target utilization; actual effective cost is adjusted by utilization.</t>
  </si>
  <si>
    <t>On-demand compute cost per 1M requests</t>
  </si>
  <si>
    <t>Pay-as-you-go compute cost for overflow / burst workloads.</t>
  </si>
  <si>
    <t>External model/API cost per 1M standard requests</t>
  </si>
  <si>
    <t>Third-party inference / foundation-model provider cost.</t>
  </si>
  <si>
    <t>External model/API cost per 1M premium requests</t>
  </si>
  <si>
    <t>Higher-cost premium provider / model blend.</t>
  </si>
  <si>
    <t>Storage / vector index cost per 1M requests</t>
  </si>
  <si>
    <t>Storage, retrieval, and persistent context cost allocated by usage.</t>
  </si>
  <si>
    <t>Bandwidth / egress cost per 1M requests</t>
  </si>
  <si>
    <t>Network and delivery cost allocated by gross request volume.</t>
  </si>
  <si>
    <t>Reserved-capacity share of compute volume</t>
  </si>
  <si>
    <t>Share of fresh inference volume routed to reserved capacity.</t>
  </si>
  <si>
    <t>Reserved capacity utilization, month 1</t>
  </si>
  <si>
    <t>Blended utilization of reserved GPU / inference clusters in month 1.</t>
  </si>
  <si>
    <t>Utilization improvement, month over month</t>
  </si>
  <si>
    <t>Monthly utilization ramp from better scheduling and fill-rate.</t>
  </si>
  <si>
    <t xml:space="preserve">  Headcount — Cost of Revenue (COGS)</t>
  </si>
  <si>
    <t>Starting Infrastructure / SRE FTEs</t>
  </si>
  <si>
    <t>Team operating inference clusters, reliability, and cost optimization.</t>
  </si>
  <si>
    <t>Infrastructure / SRE net adds per quarter</t>
  </si>
  <si>
    <t>Infrastructure / SRE fully-loaded cost per FTE</t>
  </si>
  <si>
    <t>Salary + benefits + payroll tax, monthly.</t>
  </si>
  <si>
    <t xml:space="preserve">  Headcount — R&amp;D / Engineering (Opex)</t>
  </si>
  <si>
    <t>Starting Model Engineering / Applied Research FTEs</t>
  </si>
  <si>
    <t>Model Engineering / Applied Research net adds per quarter</t>
  </si>
  <si>
    <t>Model Engineering / Applied Research fully-loaded cost per FTE</t>
  </si>
  <si>
    <t xml:space="preserve">  Headcount — Sales &amp; Marketing (Opex)</t>
  </si>
  <si>
    <t>Starting GTM / Sales FTEs</t>
  </si>
  <si>
    <t>Quota-carrying and solutions-oriented revenue team.</t>
  </si>
  <si>
    <t>GTM / Sales net adds per quarter</t>
  </si>
  <si>
    <t>GTM / Sales fully-loaded cost per FTE</t>
  </si>
  <si>
    <t xml:space="preserve">  Headcount — G&amp;A (Opex)</t>
  </si>
  <si>
    <t>Starting G&amp;A FTEs</t>
  </si>
  <si>
    <t>Finance, HR, legal, and ops.</t>
  </si>
  <si>
    <t>G&amp;A net adds per quarter</t>
  </si>
  <si>
    <t>G&amp;A fully-loaded cost per FTE</t>
  </si>
  <si>
    <t xml:space="preserve">  GTM / Opex</t>
  </si>
  <si>
    <t>Sales commissions, % of new-customer revenue</t>
  </si>
  <si>
    <t>Paid on new-customer monthly revenue added in the month it lands.</t>
  </si>
  <si>
    <t>Partner / marketplace fees, % of usage revenue</t>
  </si>
  <si>
    <t>App-store / reseller / marketplace fees on metered usage revenue.</t>
  </si>
  <si>
    <t>Marketing programs, % of revenue</t>
  </si>
  <si>
    <t>Paid acquisition, developer marketing, events, and ecosystem spend.</t>
  </si>
  <si>
    <t>Software / tools fixed monthly spend</t>
  </si>
  <si>
    <t>Monitoring, CI/CD, developer tools, analytics, and security tooling.</t>
  </si>
  <si>
    <t>Facilities / admin fixed monthly spend</t>
  </si>
  <si>
    <t>Office, insurance, audit, recruiting, and other overhead.</t>
  </si>
  <si>
    <t xml:space="preserve">  Working Capital &amp; Financing</t>
  </si>
  <si>
    <t>Days Sales Outstanding (AR)</t>
  </si>
  <si>
    <t>days</t>
  </si>
  <si>
    <t>Days Payable Outstanding (AP)</t>
  </si>
  <si>
    <t>Deferred revenue held in advance</t>
  </si>
  <si>
    <t>mo</t>
  </si>
  <si>
    <t>Reflects annual prepaid platform commits and enterprise true-ups.</t>
  </si>
  <si>
    <t>Capex, % of revenue</t>
  </si>
  <si>
    <t>Capitalized infrastructure, proprietary tooling, and internal platform investments.</t>
  </si>
  <si>
    <t>Useful life of capitalized assets</t>
  </si>
  <si>
    <t>months</t>
  </si>
  <si>
    <t>Other current assets, % of revenue</t>
  </si>
  <si>
    <t>Prepaids, deposits, and other small current assets.</t>
  </si>
  <si>
    <t>Venture debt annual interest rate</t>
  </si>
  <si>
    <t>Venture debt draw (one-time)</t>
  </si>
  <si>
    <t>Venture debt monthly repayment</t>
  </si>
  <si>
    <t>Growth equity raise (month 4)</t>
  </si>
  <si>
    <t>Follow-on equity raise (month 22)</t>
  </si>
  <si>
    <t>Tip: start with Base, then stress-test growth, model mix, utilization, and capex in Upside/Downside.</t>
  </si>
  <si>
    <t xml:space="preserve">  AI API / Infrastructure — 3-Year Financial Model — Headcount</t>
  </si>
  <si>
    <t xml:space="preserve">  Fully-loaded FTE ramps by role — flows into COGS or Opex by classification.</t>
  </si>
  <si>
    <t>Monthly (36 months)</t>
  </si>
  <si>
    <t>Quarterly</t>
  </si>
  <si>
    <t>Annual</t>
  </si>
  <si>
    <t>Line item</t>
  </si>
  <si>
    <t>Units / source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</si>
  <si>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</si>
  <si>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</si>
  <si>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</si>
  <si>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</si>
  <si>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</si>
  <si>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</si>
  <si>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</si>
  <si>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</si>
  <si>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</si>
  <si>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</si>
  <si>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</si>
  <si>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</si>
  <si>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FY1</t>
  </si>
  <si>
    <t>FY2</t>
  </si>
  <si>
    <t>FY3</t>
  </si>
  <si>
    <t xml:space="preserve">  Cost of Goods Sold headcount (COGS-classified)</t>
  </si>
  <si>
    <t>Infrastructure / SRE — headcount (FTE)</t>
  </si>
  <si>
    <t>Cost of Revenue · start + net adds/qtr ÷ 3</t>
  </si>
  <si>
    <t>Infrastructure / SRE — fully-loaded cost</t>
  </si>
  <si>
    <t>Headcount × monthly fully-loaded cost/FTE</t>
  </si>
  <si>
    <t xml:space="preserve">  Operating expense headcount (Opex-classified)</t>
  </si>
  <si>
    <t>Model Engineering / Applied Research — headcount (FTE)</t>
  </si>
  <si>
    <t>R&amp;D / Engineering · start + net adds/qtr ÷ 3</t>
  </si>
  <si>
    <t>Model Engineering / Applied Research — fully-loaded cost</t>
  </si>
  <si>
    <t>GTM / Sales — headcount (FTE)</t>
  </si>
  <si>
    <t>Sales &amp; Marketing · start + net adds/qtr ÷ 3</t>
  </si>
  <si>
    <t>GTM / Sales — fully-loaded cost</t>
  </si>
  <si>
    <t>G&amp;A (Finance / HR / Ops) — headcount (FTE)</t>
  </si>
  <si>
    <t>General &amp; Administrative · start + net adds/qtr ÷ 3</t>
  </si>
  <si>
    <t>G&amp;A (Finance / HR / Ops) — fully-loaded cost</t>
  </si>
  <si>
    <t xml:space="preserve">  Totals</t>
  </si>
  <si>
    <t>Total headcount (FTE)</t>
  </si>
  <si>
    <t>Sum of all roles</t>
  </si>
  <si>
    <t>Total COGS-classified people cost</t>
  </si>
  <si>
    <t>Feeds COGS &amp; GM tab</t>
  </si>
  <si>
    <t>Total Opex-classified people cost</t>
  </si>
  <si>
    <t>Feeds Opex tab</t>
  </si>
  <si>
    <t xml:space="preserve">  General &amp; Administrative people cost</t>
  </si>
  <si>
    <t xml:space="preserve">  R&amp;D / Engineering people cost</t>
  </si>
  <si>
    <t xml:space="preserve">  Sales &amp; Marketing people cost</t>
  </si>
  <si>
    <t xml:space="preserve">  AI API / Infrastructure — 3-Year Financial Model — Revenue</t>
  </si>
  <si>
    <t xml:space="preserve">  Tiered customer bridge -&gt; usage volume -&gt; blended realized pricing -&gt; usage + platform revenue.</t>
  </si>
  <si>
    <t xml:space="preserve">  Starter Tier</t>
  </si>
  <si>
    <t>Starter beginning customers</t>
  </si>
  <si>
    <t>Starter new customers</t>
  </si>
  <si>
    <t>Starter churned customers</t>
  </si>
  <si>
    <t>Starter ending customers</t>
  </si>
  <si>
    <t>Starter usage per customer</t>
  </si>
  <si>
    <t>Monthly inference request-equivalents in millions</t>
  </si>
  <si>
    <t>Starter gross request volume</t>
  </si>
  <si>
    <t>Active customers × usage per customer (M requests)</t>
  </si>
  <si>
    <t xml:space="preserve">  Growth Tier</t>
  </si>
  <si>
    <t>Growth beginning customers</t>
  </si>
  <si>
    <t>Growth new customers</t>
  </si>
  <si>
    <t>Growth churned customers</t>
  </si>
  <si>
    <t>Growth ending customers</t>
  </si>
  <si>
    <t>Growth usage per customer</t>
  </si>
  <si>
    <t>Growth gross request volume</t>
  </si>
  <si>
    <t xml:space="preserve">  Enterprise Tier</t>
  </si>
  <si>
    <t>Enterprise beginning customers</t>
  </si>
  <si>
    <t>Enterprise new customers</t>
  </si>
  <si>
    <t>Enterprise churned customers</t>
  </si>
  <si>
    <t>Enterprise ending customers</t>
  </si>
  <si>
    <t>Enterprise usage per customer</t>
  </si>
  <si>
    <t>Enterprise gross request volume</t>
  </si>
  <si>
    <t xml:space="preserve">  Pricing, Volume &amp; Revenue Bridge</t>
  </si>
  <si>
    <t>Premium-model mix</t>
  </si>
  <si>
    <t>Blended list price per 1M requests</t>
  </si>
  <si>
    <t>Billable-volume factor</t>
  </si>
  <si>
    <t>Gross volume reduced for cache credits and batch discounts</t>
  </si>
  <si>
    <t>Starter net price per 1M requests</t>
  </si>
  <si>
    <t>Growth net price per 1M requests</t>
  </si>
  <si>
    <t>Enterprise net price per 1M requests</t>
  </si>
  <si>
    <t>Starter usage revenue</t>
  </si>
  <si>
    <t>Starter platform revenue</t>
  </si>
  <si>
    <t>Starter total revenue</t>
  </si>
  <si>
    <t>Starter new-customer revenue added</t>
  </si>
  <si>
    <t>Used for sales commission modeling</t>
  </si>
  <si>
    <t>Growth usage revenue</t>
  </si>
  <si>
    <t>Growth platform revenue</t>
  </si>
  <si>
    <t>Growth total revenue</t>
  </si>
  <si>
    <t>Growth new-customer revenue added</t>
  </si>
  <si>
    <t>Enterprise usage revenue</t>
  </si>
  <si>
    <t>Enterprise platform revenue</t>
  </si>
  <si>
    <t>Enterprise total revenue</t>
  </si>
  <si>
    <t>Enterprise new-customer revenue added</t>
  </si>
  <si>
    <t xml:space="preserve">  Revenue Totals &amp; KPIs</t>
  </si>
  <si>
    <t>Total gross request volume</t>
  </si>
  <si>
    <t>Sum of tier gross volume (M requests)</t>
  </si>
  <si>
    <t>Total billable request volume</t>
  </si>
  <si>
    <t>Gross volume × billable-volume factor (M requests)</t>
  </si>
  <si>
    <t>Total usage revenue</t>
  </si>
  <si>
    <t>Total platform / subscription revenue</t>
  </si>
  <si>
    <t>Total new-customer revenue added</t>
  </si>
  <si>
    <t>Used for variable sales commissions</t>
  </si>
  <si>
    <t>Total Revenue</t>
  </si>
  <si>
    <t>Total active customers</t>
  </si>
  <si>
    <t>Usage revenue per billable 1M requests</t>
  </si>
  <si>
    <t>Platform-fee share of revenue</t>
  </si>
  <si>
    <t>Enterprise revenue concentration</t>
  </si>
  <si>
    <t>Enterprise-tier revenue as % of total revenue</t>
  </si>
  <si>
    <t>Average revenue per active customer</t>
  </si>
  <si>
    <t>Billable-volume growth (month over month)</t>
  </si>
  <si>
    <t>Revenue growth (month over month)</t>
  </si>
  <si>
    <t xml:space="preserve">  AI API / Infrastructure — 3-Year Financial Model — COGS &amp; GM</t>
  </si>
  <si>
    <t xml:space="preserve">  Compute, model-provider, storage, bandwidth, and infrastructure people costs tied to usage volume.</t>
  </si>
  <si>
    <t xml:space="preserve">  Volume Drivers &amp; Utilization</t>
  </si>
  <si>
    <t>Gross request volume</t>
  </si>
  <si>
    <t>Linked from Revenue tab (M requests)</t>
  </si>
  <si>
    <t>Billable request volume</t>
  </si>
  <si>
    <t>Fresh-inference / processed volume</t>
  </si>
  <si>
    <t>Gross volume after cache hits and batch discounts (M requests)</t>
  </si>
  <si>
    <t>Reserved-capacity utilization</t>
  </si>
  <si>
    <t>Effective compute cost per 1M requests</t>
  </si>
  <si>
    <t>Reserved cost is utilization-adjusted, then blended with on-demand</t>
  </si>
  <si>
    <t>Blended provider/API cost per 1M requests</t>
  </si>
  <si>
    <t>Weighted average of standard and premium provider cost</t>
  </si>
  <si>
    <t xml:space="preserve">  COGS Components</t>
  </si>
  <si>
    <t>Compute infrastructure</t>
  </si>
  <si>
    <t>External model / API providers</t>
  </si>
  <si>
    <t>Storage / vector / retrieval</t>
  </si>
  <si>
    <t>Bandwidth / egress</t>
  </si>
  <si>
    <t>Infrastructure / SRE people cost</t>
  </si>
  <si>
    <t>Total COGS</t>
  </si>
  <si>
    <t xml:space="preserve">  Margins &amp; Unit-Economics KPIs</t>
  </si>
  <si>
    <t>Gross Profit</t>
  </si>
  <si>
    <t>Gross Margin %</t>
  </si>
  <si>
    <t>COGS per billable 1M requests</t>
  </si>
  <si>
    <t>Inference margin %</t>
  </si>
  <si>
    <t>Usage revenue less compute + provider cost, as % of usage revenue</t>
  </si>
  <si>
    <t>Burn multiple</t>
  </si>
  <si>
    <t>Monthly net burn ÷ new-customer revenue added</t>
  </si>
  <si>
    <t>Runway (months)</t>
  </si>
  <si>
    <t xml:space="preserve">  AI API / Infrastructure — 3-Year Financial Model — Opex</t>
  </si>
  <si>
    <t xml:space="preserve">  Operating expenses by department — headcount cost plus program spend.</t>
  </si>
  <si>
    <t xml:space="preserve">  Sales &amp; Marketing</t>
  </si>
  <si>
    <t>Sales &amp; Marketing — people cost</t>
  </si>
  <si>
    <t>Linked from Headcount tab</t>
  </si>
  <si>
    <t>Sales Commissions</t>
  </si>
  <si>
    <t>% of new-customer revenue added</t>
  </si>
  <si>
    <t>Partner / Marketplace Fees</t>
  </si>
  <si>
    <t>% of usage revenue</t>
  </si>
  <si>
    <t>Marketing Programs</t>
  </si>
  <si>
    <t>% of total revenue</t>
  </si>
  <si>
    <t>Total Sales &amp; Marketing</t>
  </si>
  <si>
    <t xml:space="preserve">  R&amp;D / Engineering</t>
  </si>
  <si>
    <t>R&amp;D / Engineering — people cost</t>
  </si>
  <si>
    <t>Total R&amp;D / Engineering</t>
  </si>
  <si>
    <t xml:space="preserve">  General &amp; Administrative</t>
  </si>
  <si>
    <t>General &amp; Administrative — people cost</t>
  </si>
  <si>
    <t>Software &amp; Tools</t>
  </si>
  <si>
    <t>Fixed monthly</t>
  </si>
  <si>
    <t>Facilities &amp; Admin</t>
  </si>
  <si>
    <t>Total General &amp; Administrative</t>
  </si>
  <si>
    <t xml:space="preserve">  Total Operating Expenses</t>
  </si>
  <si>
    <t>Total Opex</t>
  </si>
  <si>
    <t xml:space="preserve">  AI API / Infrastructure — 3-Year Financial Model — Working Capital</t>
  </si>
  <si>
    <t xml:space="preserve">  Balance-sheet drivers: receivables, payables, deferred revenue, capex/depreciation, debt &amp; equity financing.</t>
  </si>
  <si>
    <t xml:space="preserve">  Receivables, Payables &amp; Deferred Revenue</t>
  </si>
  <si>
    <t>Accounts Receivable balance</t>
  </si>
  <si>
    <t>Revenue × DSO ÷ 30</t>
  </si>
  <si>
    <t>Accounts Payable balance</t>
  </si>
  <si>
    <t>(COGS + Opex) × DPO ÷ 30</t>
  </si>
  <si>
    <t>Deferred Revenue balance</t>
  </si>
  <si>
    <t>Revenue × months collected in advance</t>
  </si>
  <si>
    <t>Other Current Assets balance</t>
  </si>
  <si>
    <t>Revenue × assumption % (prepaid expenses, etc.)</t>
  </si>
  <si>
    <t xml:space="preserve">  Change in Accounts Receivable</t>
  </si>
  <si>
    <t xml:space="preserve">  Change in Accounts Payable</t>
  </si>
  <si>
    <t xml:space="preserve">  Change in Deferred Revenue</t>
  </si>
  <si>
    <t xml:space="preserve">  Change in Other Current Assets</t>
  </si>
  <si>
    <t xml:space="preserve">  Capex &amp; Depreciation (PP&amp;E)</t>
  </si>
  <si>
    <t>Capital expenditures</t>
  </si>
  <si>
    <t>Revenue × capex % of revenue</t>
  </si>
  <si>
    <t>Depreciation &amp; amortization</t>
  </si>
  <si>
    <t>Straight-line over useful life; trailing-window formula</t>
  </si>
  <si>
    <t>Net PP&amp;E balance</t>
  </si>
  <si>
    <t xml:space="preserve">  Debt Schedule</t>
  </si>
  <si>
    <t>Debt draw</t>
  </si>
  <si>
    <t>One-time draw in month 9</t>
  </si>
  <si>
    <t>Debt repayment</t>
  </si>
  <si>
    <t>Fixed $/month once balance exists, starting the assumed month</t>
  </si>
  <si>
    <t>Debt balance (ending)</t>
  </si>
  <si>
    <t>Prior balance + draw − repayment</t>
  </si>
  <si>
    <t>Interest expense</t>
  </si>
  <si>
    <t>Prior month balance × annual rate ÷ 12</t>
  </si>
  <si>
    <t xml:space="preserve">  Equity Financing</t>
  </si>
  <si>
    <t>Equity raised</t>
  </si>
  <si>
    <t>Growth Equity in month 4; Follow-on Equity in month 22</t>
  </si>
  <si>
    <t>Cumulative paid-in capital</t>
  </si>
  <si>
    <t xml:space="preserve">  AI API / Infrastructure — 3-Year Financial Model — P&amp;L</t>
  </si>
  <si>
    <t xml:space="preserve">  Integrated income statement — every line links to Revenue, COGS &amp; GM, Opex, or Working Capital.</t>
  </si>
  <si>
    <t>Revenue</t>
  </si>
  <si>
    <t>Cost of Goods Sold</t>
  </si>
  <si>
    <t xml:space="preserve">  Operating Expenses</t>
  </si>
  <si>
    <t>Sales &amp; Marketing</t>
  </si>
  <si>
    <t>R&amp;D / Engineering</t>
  </si>
  <si>
    <t>General &amp; Administrative</t>
  </si>
  <si>
    <t>Total Operating Expenses</t>
  </si>
  <si>
    <t>EBITDA</t>
  </si>
  <si>
    <t>Depreciation &amp; Amortization</t>
  </si>
  <si>
    <t>EBIT (Operating Income)</t>
  </si>
  <si>
    <t>Interest Expense</t>
  </si>
  <si>
    <t>Earnings Before Tax</t>
  </si>
  <si>
    <t>Income Tax Expense</t>
  </si>
  <si>
    <t>MAX(0, EBT) × tax rate — no NOL modeling</t>
  </si>
  <si>
    <t>Net Income</t>
  </si>
  <si>
    <t xml:space="preserve">  AI API / Infrastructure — 3-Year Financial Model — Cash Flow</t>
  </si>
  <si>
    <t xml:space="preserve">  Indirect method — Net Income reconciled to the change in cash.</t>
  </si>
  <si>
    <t xml:space="preserve">  Cash from Operations</t>
  </si>
  <si>
    <t>+ Depreciation &amp; Amortization</t>
  </si>
  <si>
    <t>− Change in Accounts Receivable</t>
  </si>
  <si>
    <t>− Change in Other Current Assets</t>
  </si>
  <si>
    <t>+ Change in Accounts Payable</t>
  </si>
  <si>
    <t>+ Change in Deferred Revenue</t>
  </si>
  <si>
    <t>Cash from Operations</t>
  </si>
  <si>
    <t xml:space="preserve">  Cash from Investing</t>
  </si>
  <si>
    <t>− Capital Expenditures</t>
  </si>
  <si>
    <t>Cash from Investing</t>
  </si>
  <si>
    <t xml:space="preserve">  Cash from Financing</t>
  </si>
  <si>
    <t>+ Debt Draw</t>
  </si>
  <si>
    <t>− Debt Repayment</t>
  </si>
  <si>
    <t>+ Equity Raised</t>
  </si>
  <si>
    <t>Cash from Financing</t>
  </si>
  <si>
    <t>Net Change in Cash</t>
  </si>
  <si>
    <t>Beginning Cash</t>
  </si>
  <si>
    <t>Prior month ending cash (or starting cash in month 1)</t>
  </si>
  <si>
    <t>Ending Cash</t>
  </si>
  <si>
    <t>Beginning cash + net change in cash</t>
  </si>
  <si>
    <t xml:space="preserve">  AI API / Infrastructure — 3-Year Financial Model — Balance Sheet</t>
  </si>
  <si>
    <t xml:space="preserve">  Assets = Liabilities + Equity every month, by construction.</t>
  </si>
  <si>
    <t xml:space="preserve">  Assets</t>
  </si>
  <si>
    <t>Cash &amp; equivalents</t>
  </si>
  <si>
    <t>Linked from Cash Flow tab</t>
  </si>
  <si>
    <t>Accounts Receivable</t>
  </si>
  <si>
    <t>Other Current Assets (prepaid, etc.)</t>
  </si>
  <si>
    <t>Linked from Working Capital tab</t>
  </si>
  <si>
    <t>Net PP&amp;E</t>
  </si>
  <si>
    <t>Total Assets</t>
  </si>
  <si>
    <t xml:space="preserve">  Liabilities</t>
  </si>
  <si>
    <t>Accounts Payable</t>
  </si>
  <si>
    <t>Deferred Revenue</t>
  </si>
  <si>
    <t>Debt</t>
  </si>
  <si>
    <t>Total Liabilities</t>
  </si>
  <si>
    <t xml:space="preserve">  Equity</t>
  </si>
  <si>
    <t>Paid-in Capital</t>
  </si>
  <si>
    <t>Starting paid-in capital + cumulative equity raised</t>
  </si>
  <si>
    <t>Retained Earnings</t>
  </si>
  <si>
    <t>Starting RE (= starting cash − starting paid-in capital) + cumulative Net Income</t>
  </si>
  <si>
    <t>Total Equity</t>
  </si>
  <si>
    <t>Total Liabilities + Equity</t>
  </si>
  <si>
    <t>Balance check (Assets − Liab&amp;Equity)</t>
  </si>
  <si>
    <t>Must equal ~0 every month</t>
  </si>
  <si>
    <t xml:space="preserve">  AI API / Infrastructure — 3-Year Financial Model — Cash &amp; Runway</t>
  </si>
  <si>
    <t xml:space="preserve">  Burn rate and runway — reconciled to the Cash Flow tab.</t>
  </si>
  <si>
    <t xml:space="preserve">  Cash Position</t>
  </si>
  <si>
    <t>Ending Cash Balance</t>
  </si>
  <si>
    <t>Monthly Net Burn (pre-financing)</t>
  </si>
  <si>
    <t>MAX(0, −(operating + investing cash flow)); excludes debt and equity proceeds</t>
  </si>
  <si>
    <t>Trailing 3-Month Avg Burn</t>
  </si>
  <si>
    <t>Ending cash ÷ trailing 3-month pre-financing burn; 0 if cash is depleted; 999 if cash-flow positive</t>
  </si>
  <si>
    <t xml:space="preserve">  Headline</t>
  </si>
  <si>
    <t>Runway as of final month (36)</t>
  </si>
  <si>
    <t xml:space="preserve">  AI API / Infrastructure — 3-Year Financial Model — Scenario Comparison</t>
  </si>
  <si>
    <t xml:space="preserve">  Base/Upside/Downside columns are a fast analytical approximation for side-by-side comparison. The 'Full model' column reflects the detailed 36-month model at the scenario currently selected on the Assumptions tab.</t>
  </si>
  <si>
    <t>Currently selected scenario:</t>
  </si>
  <si>
    <t>KPI</t>
  </si>
  <si>
    <t>Definition</t>
  </si>
  <si>
    <t>Full model (selected)</t>
  </si>
  <si>
    <t>Starting billable volume (Month 1)</t>
  </si>
  <si>
    <t>Month-1 gross request volume reduced for cache credits and batch discounts.</t>
  </si>
  <si>
    <t>Revenue run-rate (Month 1 x 12)</t>
  </si>
  <si>
    <t>Month-1 total revenue annualized for a simple run-rate comparison.</t>
  </si>
  <si>
    <t>Implied Revenue at Month 36 (approx.)</t>
  </si>
  <si>
    <t>Month-1 revenue compounded at an illustrative blended growth rate for 35 more months.</t>
  </si>
  <si>
    <t>Gross Margin % (illustrative, Month 1)</t>
  </si>
  <si>
    <t>Month-1 revenue less compute, provider, storage, bandwidth, and infra people cost.</t>
  </si>
  <si>
    <t>Month-1 Net Burn (illustrative)</t>
  </si>
  <si>
    <t>Month-1 total COGS + Opex less revenue; floored at zero.</t>
  </si>
  <si>
    <t>Runway (illustrative, months)</t>
  </si>
  <si>
    <t>Starting cash divided by illustrative month-1 net burn.</t>
  </si>
  <si>
    <t xml:space="preserve">  Scenario Validity</t>
  </si>
  <si>
    <t>Selector value is valid (Base/Upside/Downside)?</t>
  </si>
  <si>
    <t xml:space="preserve">  AI API / Infrastructure — 3-Year Financial Model — Visuals</t>
  </si>
  <si>
    <t xml:space="preserve">  Revenue, request volume, utilization, margin, cash, and scenario trends for the AI API / Infrastructure model.</t>
  </si>
  <si>
    <t>Revenue (Month 36)</t>
  </si>
  <si>
    <t>Billable Volume (Month 36)</t>
  </si>
  <si>
    <t>Gross Margin % (Month 36)</t>
  </si>
  <si>
    <t>Utilization % (Month 36)</t>
  </si>
  <si>
    <t>Ending Cash (Month 36)</t>
  </si>
  <si>
    <t xml:space="preserve">  AI API / Infrastructure — 3-Year Financial Model — Checks</t>
  </si>
  <si>
    <t xml:space="preserve">  Every control below should read PASS. If anything reads FAIL, trace it back through the linked tabs before trusting the outputs.</t>
  </si>
  <si>
    <t>Check</t>
  </si>
  <si>
    <t>Description</t>
  </si>
  <si>
    <t>Metric</t>
  </si>
  <si>
    <t>Status</t>
  </si>
  <si>
    <t>Balance Sheet balances</t>
  </si>
  <si>
    <t>MAX absolute (Assets − Liabilities&amp;Equity) across all 36 months</t>
  </si>
  <si>
    <t>Cash Flow reconciles to Balance Sheet</t>
  </si>
  <si>
    <t>MAX absolute difference between BS cash and CF ending cash across all 36 months</t>
  </si>
  <si>
    <t>Retained Earnings roll-forward</t>
  </si>
  <si>
    <t>MAX absolute (RE(m) − RE(m−1) − NetIncome(m)) for months 2-36</t>
  </si>
  <si>
    <t>P&amp;L subtotal integrity</t>
  </si>
  <si>
    <t>MAX absolute error across Gross Profit / EBITDA / EBIT / EBT / Net Income subtotals</t>
  </si>
  <si>
    <t>Scenario selector validity</t>
  </si>
  <si>
    <t>Assumptions scenario selector must equal Base, Upside, or Downside</t>
  </si>
  <si>
    <t>No formula errors</t>
  </si>
  <si>
    <t>Count of #REF!/#DIV0!/#VALUE! etc. across all key schedules (Headcount through Cash &amp; Runway)</t>
  </si>
  <si>
    <t>ALL CHECKS</t>
  </si>
  <si>
    <t>Overall model integrity status</t>
  </si>
</sst>
</file>

<file path=xl/styles.xml><?xml version="1.0" encoding="utf-8"?>
<styleSheet xmlns="http://schemas.openxmlformats.org/spreadsheetml/2006/main">
  <numFmts count="9">
    <numFmt numFmtId="164" formatCode="#,##0;(#,##0)"/>
    <numFmt numFmtId="165" formatCode="0%;(0%)"/>
    <numFmt numFmtId="166" formatCode="0.0%;(0.0%)"/>
    <numFmt numFmtId="167" formatCode="0.00&quot;x&quot;"/>
    <numFmt numFmtId="168" formatCode="mmm-yy"/>
    <numFmt numFmtId="169" formatCode="#,##0.0"/>
    <numFmt numFmtId="170" formatCode="#,##0.00;(#,##0.00)"/>
    <numFmt numFmtId="171" formatCode="#,##0.0&quot; mo&quot;"/>
    <numFmt numFmtId="172" formatCode="0.0000"/>
  </numFmts>
  <fonts count="13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10"/>
      <color rgb="FFFFFFFF"/>
      <name val="Calibri"/>
      <family val="2"/>
      <scheme val="minor"/>
    </font>
    <font>
      <b/>
      <sz val="16"/>
      <color rgb="FF7B68EE"/>
      <name val="Calibri"/>
      <family val="2"/>
      <scheme val="minor"/>
    </font>
    <font>
      <sz val="10"/>
      <color rgb="FF1B1F2A"/>
      <name val="Calibri"/>
      <family val="2"/>
      <scheme val="minor"/>
    </font>
    <font>
      <b/>
      <sz val="12"/>
      <color rgb="FF1B1F2A"/>
      <name val="Calibri"/>
      <family val="2"/>
      <scheme val="minor"/>
    </font>
    <font>
      <sz val="10"/>
      <color rgb="FF1B5FD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1B5FD6"/>
      <name val="Calibri"/>
      <family val="2"/>
      <scheme val="minor"/>
    </font>
    <font>
      <i/>
      <sz val="9"/>
      <color rgb="FF6B7280"/>
      <name val="Calibri"/>
      <family val="2"/>
      <scheme val="minor"/>
    </font>
    <font>
      <b/>
      <sz val="10"/>
      <color rgb="FF1B1F2A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6"/>
      <color rgb="FF1B1F2A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B1F2A"/>
        <bgColor indexed="64"/>
      </patternFill>
    </fill>
    <fill>
      <patternFill patternType="solid">
        <fgColor rgb="FFF5F8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F0FA"/>
        <bgColor indexed="64"/>
      </patternFill>
    </fill>
    <fill>
      <patternFill patternType="solid">
        <fgColor rgb="FF7B68EE"/>
        <bgColor indexed="64"/>
      </patternFill>
    </fill>
    <fill>
      <patternFill patternType="solid">
        <fgColor rgb="FF49CCF9"/>
        <bgColor indexed="64"/>
      </patternFill>
    </fill>
    <fill>
      <patternFill patternType="solid">
        <fgColor rgb="FF79D9B9"/>
        <bgColor indexed="64"/>
      </patternFill>
    </fill>
    <fill>
      <patternFill patternType="solid">
        <fgColor rgb="FFFD71AF"/>
        <bgColor indexed="64"/>
      </patternFill>
    </fill>
    <fill>
      <patternFill patternType="solid">
        <fgColor rgb="FFFFB08E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F7F8FC"/>
        <bgColor indexed="64"/>
      </patternFill>
    </fill>
  </fills>
  <borders count="4">
    <border>
      <left/>
      <right/>
      <top/>
      <bottom/>
      <diagonal/>
    </border>
    <border>
      <left style="thin">
        <color rgb="FFD7DAE6"/>
      </left>
      <right style="thin">
        <color rgb="FFD7DAE6"/>
      </right>
      <top style="thin">
        <color rgb="FFD7DAE6"/>
      </top>
      <bottom style="thin">
        <color rgb="FFD7DAE6"/>
      </bottom>
      <diagonal/>
    </border>
    <border>
      <left style="medium">
        <color rgb="FFFFB08E"/>
      </left>
      <right style="medium">
        <color rgb="FFFFB08E"/>
      </right>
      <top style="medium">
        <color rgb="FFFFB08E"/>
      </top>
      <bottom style="medium">
        <color rgb="FFFFB08E"/>
      </bottom>
      <diagonal/>
    </border>
    <border>
      <left/>
      <right/>
      <top style="thin">
        <color rgb="FFD7DAE6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6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7" fillId="6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7" fillId="8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7" fillId="10" borderId="0" xfId="0" applyFont="1" applyFill="1" applyAlignment="1">
      <alignment horizontal="center"/>
    </xf>
    <xf numFmtId="0" fontId="7" fillId="6" borderId="0" xfId="0" applyFont="1" applyFill="1" applyAlignment="1">
      <alignment horizontal="left" vertical="center" indent="1"/>
    </xf>
    <xf numFmtId="0" fontId="8" fillId="11" borderId="2" xfId="0" applyFont="1" applyFill="1" applyBorder="1" applyAlignment="1">
      <alignment horizontal="center"/>
    </xf>
    <xf numFmtId="0" fontId="9" fillId="0" borderId="0" xfId="0" applyFont="1"/>
    <xf numFmtId="0" fontId="10" fillId="5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indent="1"/>
    </xf>
    <xf numFmtId="164" fontId="6" fillId="3" borderId="0" xfId="0" applyNumberFormat="1" applyFont="1" applyFill="1"/>
    <xf numFmtId="164" fontId="4" fillId="0" borderId="0" xfId="0" applyNumberFormat="1" applyFont="1"/>
    <xf numFmtId="0" fontId="9" fillId="0" borderId="0" xfId="0" applyFont="1" applyAlignment="1">
      <alignment vertical="top" wrapText="1"/>
    </xf>
    <xf numFmtId="165" fontId="6" fillId="3" borderId="0" xfId="0" applyNumberFormat="1" applyFont="1" applyFill="1"/>
    <xf numFmtId="165" fontId="4" fillId="0" borderId="0" xfId="0" applyNumberFormat="1" applyFont="1"/>
    <xf numFmtId="166" fontId="6" fillId="3" borderId="0" xfId="0" applyNumberFormat="1" applyFont="1" applyFill="1"/>
    <xf numFmtId="166" fontId="4" fillId="0" borderId="0" xfId="0" applyNumberFormat="1" applyFont="1"/>
    <xf numFmtId="167" fontId="6" fillId="3" borderId="0" xfId="0" applyNumberFormat="1" applyFont="1" applyFill="1"/>
    <xf numFmtId="167" fontId="4" fillId="0" borderId="0" xfId="0" applyNumberFormat="1" applyFont="1"/>
    <xf numFmtId="168" fontId="10" fillId="5" borderId="1" xfId="0" applyNumberFormat="1" applyFont="1" applyFill="1" applyBorder="1" applyAlignment="1">
      <alignment horizontal="center"/>
    </xf>
    <xf numFmtId="169" fontId="4" fillId="0" borderId="0" xfId="0" applyNumberFormat="1" applyFont="1"/>
    <xf numFmtId="0" fontId="10" fillId="0" borderId="3" xfId="0" applyFont="1" applyBorder="1"/>
    <xf numFmtId="164" fontId="10" fillId="0" borderId="3" xfId="0" applyNumberFormat="1" applyFont="1" applyBorder="1"/>
    <xf numFmtId="170" fontId="4" fillId="0" borderId="0" xfId="0" applyNumberFormat="1" applyFont="1"/>
    <xf numFmtId="0" fontId="11" fillId="2" borderId="0" xfId="0" applyFont="1" applyFill="1"/>
    <xf numFmtId="164" fontId="11" fillId="2" borderId="0" xfId="0" applyNumberFormat="1" applyFont="1" applyFill="1"/>
    <xf numFmtId="171" fontId="4" fillId="0" borderId="0" xfId="0" applyNumberFormat="1" applyFont="1"/>
    <xf numFmtId="0" fontId="10" fillId="0" borderId="0" xfId="0" applyFont="1"/>
    <xf numFmtId="0" fontId="4" fillId="0" borderId="0" xfId="0" applyFont="1"/>
    <xf numFmtId="0" fontId="11" fillId="6" borderId="0" xfId="0" applyFont="1" applyFill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166" fontId="12" fillId="12" borderId="1" xfId="0" applyNumberFormat="1" applyFont="1" applyFill="1" applyBorder="1" applyAlignment="1">
      <alignment horizontal="center" vertical="center"/>
    </xf>
    <xf numFmtId="172" fontId="4" fillId="0" borderId="0" xfId="0" applyNumberFormat="1" applyFont="1"/>
  </cellXfs>
  <cellStyles count="1">
    <cellStyle name="Normal" xfId="0" builtinId="0"/>
  </cellStyles>
  <dxfs count="2">
    <dxf>
      <font>
        <b/>
        <color rgb="FFFFFFFF"/>
      </font>
      <fill>
        <patternFill>
          <bgColor rgb="FF1E8A5F"/>
        </patternFill>
      </fill>
    </dxf>
    <dxf>
      <font>
        <b/>
        <color rgb="FFFFFFFF"/>
      </font>
      <fill>
        <patternFill>
          <bgColor rgb="FFC0392B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B1F2A"/>
                </a:solidFill>
              </a:defRPr>
            </a:pPr>
            <a:r>
              <a:rPr lang="en-US" sz="1200" b="1" baseline="0">
                <a:solidFill>
                  <a:srgbClr val="1B1F2A"/>
                </a:solidFill>
              </a:rPr>
              <a:t>Revenue &amp; Billable Volume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Total Revenue</c:v>
          </c:tx>
          <c:spPr>
            <a:solidFill>
              <a:srgbClr val="7B68EE"/>
            </a:solidFill>
            <a:ln w="28575">
              <a:solidFill>
                <a:srgbClr val="7B68EE"/>
              </a:solidFill>
            </a:ln>
          </c:spPr>
          <c:marker>
            <c:symbol val="none"/>
          </c:marker>
          <c:cat>
            <c:numRef>
              <c:f>'Revenue'!$C$6:$AL$6</c:f>
              <c:numCache>
                <c:formatCode>General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'Revenue'!$C$60:$AL$60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</c:ser>
        <c:ser>
          <c:idx val="1"/>
          <c:order val="1"/>
          <c:tx>
            <c:v>Billable Volume</c:v>
          </c:tx>
          <c:spPr>
            <a:solidFill>
              <a:srgbClr val="49CCF9"/>
            </a:solidFill>
            <a:ln w="28575">
              <a:solidFill>
                <a:srgbClr val="49CCF9"/>
              </a:solidFill>
            </a:ln>
          </c:spPr>
          <c:marker>
            <c:symbol val="none"/>
          </c:marker>
          <c:cat>
            <c:numRef>
              <c:f>'Revenue'!$C$6:$AL$6</c:f>
              <c:numCache>
                <c:formatCode>General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'Revenue'!$C$56:$AL$56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$ / M requests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B1F2A"/>
                </a:solidFill>
              </a:defRPr>
            </a:pPr>
            <a:r>
              <a:rPr lang="en-US" sz="1200" b="1" baseline="0">
                <a:solidFill>
                  <a:srgbClr val="1B1F2A"/>
                </a:solidFill>
              </a:rPr>
              <a:t>Gross Margin &amp; Inference Margin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Gross Margin %</c:v>
          </c:tx>
          <c:spPr>
            <a:solidFill>
              <a:srgbClr val="7B68EE"/>
            </a:solidFill>
            <a:ln w="28575">
              <a:solidFill>
                <a:srgbClr val="7B68EE"/>
              </a:solidFill>
            </a:ln>
          </c:spPr>
          <c:marker>
            <c:symbol val="none"/>
          </c:marker>
          <c:cat>
            <c:numRef>
              <c:f>'Revenue'!$C$6:$AL$6</c:f>
              <c:numCache>
                <c:formatCode>General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'COGS &amp; GM'!$C$25:$AL$25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</c:ser>
        <c:ser>
          <c:idx val="1"/>
          <c:order val="1"/>
          <c:tx>
            <c:v>Inference Margin %</c:v>
          </c:tx>
          <c:spPr>
            <a:solidFill>
              <a:srgbClr val="49CCF9"/>
            </a:solidFill>
            <a:ln w="28575">
              <a:solidFill>
                <a:srgbClr val="49CCF9"/>
              </a:solidFill>
            </a:ln>
          </c:spPr>
          <c:marker>
            <c:symbol val="none"/>
          </c:marker>
          <c:cat>
            <c:numRef>
              <c:f>'Revenue'!$C$6:$AL$6</c:f>
              <c:numCache>
                <c:formatCode>General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'COGS &amp; GM'!$C$27:$AL$27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B1F2A"/>
                </a:solidFill>
              </a:defRPr>
            </a:pPr>
            <a:r>
              <a:rPr lang="en-US" sz="1200" b="1" baseline="0">
                <a:solidFill>
                  <a:srgbClr val="1B1F2A"/>
                </a:solidFill>
              </a:rPr>
              <a:t>Cash &amp; Burn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Ending Cash</c:v>
          </c:tx>
          <c:spPr>
            <a:solidFill>
              <a:srgbClr val="7B68EE"/>
            </a:solidFill>
            <a:ln w="28575">
              <a:solidFill>
                <a:srgbClr val="7B68EE"/>
              </a:solidFill>
            </a:ln>
          </c:spPr>
          <c:marker>
            <c:symbol val="none"/>
          </c:marker>
          <c:cat>
            <c:numRef>
              <c:f>'Revenue'!$C$6:$AL$6</c:f>
              <c:numCache>
                <c:formatCode>General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'Cash &amp; Runway'!$C$8:$AL$8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</c:ser>
        <c:ser>
          <c:idx val="1"/>
          <c:order val="1"/>
          <c:tx>
            <c:v>Monthly Burn</c:v>
          </c:tx>
          <c:spPr>
            <a:solidFill>
              <a:srgbClr val="49CCF9"/>
            </a:solidFill>
            <a:ln w="28575">
              <a:solidFill>
                <a:srgbClr val="49CCF9"/>
              </a:solidFill>
            </a:ln>
          </c:spPr>
          <c:marker>
            <c:symbol val="none"/>
          </c:marker>
          <c:cat>
            <c:numRef>
              <c:f>'Revenue'!$C$6:$AL$6</c:f>
              <c:numCache>
                <c:formatCode>General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'Cash &amp; Runway'!$C$9:$AL$9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$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B1F2A"/>
                </a:solidFill>
              </a:defRPr>
            </a:pPr>
            <a:r>
              <a:rPr lang="en-US" sz="1200" b="1" baseline="0">
                <a:solidFill>
                  <a:srgbClr val="1B1F2A"/>
                </a:solidFill>
              </a:rPr>
              <a:t>Headcount by Month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Total Headcount</c:v>
          </c:tx>
          <c:spPr>
            <a:solidFill>
              <a:srgbClr val="7B68EE"/>
            </a:solidFill>
            <a:ln w="28575">
              <a:solidFill>
                <a:srgbClr val="7B68EE"/>
              </a:solidFill>
            </a:ln>
          </c:spPr>
          <c:cat>
            <c:numRef>
              <c:f>'Revenue'!$C$6:$AL$6</c:f>
              <c:numCache>
                <c:formatCode>General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'Headcount'!$C$20:$AL$20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FTE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B1F2A"/>
                </a:solidFill>
              </a:defRPr>
            </a:pPr>
            <a:r>
              <a:rPr lang="en-US" sz="1200" b="1" baseline="0">
                <a:solidFill>
                  <a:srgbClr val="1B1F2A"/>
                </a:solidFill>
              </a:rPr>
              <a:t>Scenario Comparison — Implied Revenue at Month 36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Base / Upside / Downside</c:v>
          </c:tx>
          <c:spPr>
            <a:solidFill>
              <a:srgbClr val="7B68EE"/>
            </a:solidFill>
            <a:ln w="28575">
              <a:solidFill>
                <a:srgbClr val="7B68EE"/>
              </a:solidFill>
            </a:ln>
          </c:spPr>
          <c:val>
            <c:numRef>
              <c:f>'Scenarios'!$C$9:$E$9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B1F2A"/>
                </a:solidFill>
              </a:defRPr>
            </a:pPr>
            <a:r>
              <a:rPr lang="en-US" sz="1200" b="1" baseline="0">
                <a:solidFill>
                  <a:srgbClr val="1B1F2A"/>
                </a:solidFill>
              </a:rPr>
              <a:t>Utilization &amp; COGS per 1M Requests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Utilization</c:v>
          </c:tx>
          <c:spPr>
            <a:solidFill>
              <a:srgbClr val="7B68EE"/>
            </a:solidFill>
            <a:ln w="28575">
              <a:solidFill>
                <a:srgbClr val="7B68EE"/>
              </a:solidFill>
            </a:ln>
          </c:spPr>
          <c:marker>
            <c:symbol val="none"/>
          </c:marker>
          <c:cat>
            <c:numRef>
              <c:f>'Revenue'!$C$6:$AL$6</c:f>
              <c:numCache>
                <c:formatCode>General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'COGS &amp; GM'!$C$11:$AL$11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</c:ser>
        <c:ser>
          <c:idx val="1"/>
          <c:order val="1"/>
          <c:tx>
            <c:v>COGS per 1M</c:v>
          </c:tx>
          <c:spPr>
            <a:solidFill>
              <a:srgbClr val="49CCF9"/>
            </a:solidFill>
            <a:ln w="28575">
              <a:solidFill>
                <a:srgbClr val="49CCF9"/>
              </a:solidFill>
            </a:ln>
          </c:spPr>
          <c:marker>
            <c:symbol val="none"/>
          </c:marker>
          <c:cat>
            <c:numRef>
              <c:f>'Revenue'!$C$6:$AL$6</c:f>
              <c:numCache>
                <c:formatCode>General</c:formatCode>
                <c:ptCount val="3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</c:numCache>
            </c:numRef>
          </c:cat>
          <c:val>
            <c:numRef>
              <c:f>'COGS &amp; GM'!$C$26:$AL$26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numFmt formatCode="General" sourceLinked="1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/ $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b"/>
      <c:layout/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7</xdr:col>
      <xdr:colOff>38100</xdr:colOff>
      <xdr:row>27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12</xdr:row>
      <xdr:rowOff>0</xdr:rowOff>
    </xdr:from>
    <xdr:to>
      <xdr:col>16</xdr:col>
      <xdr:colOff>38100</xdr:colOff>
      <xdr:row>27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7</xdr:col>
      <xdr:colOff>38100</xdr:colOff>
      <xdr:row>44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29</xdr:row>
      <xdr:rowOff>0</xdr:rowOff>
    </xdr:from>
    <xdr:to>
      <xdr:col>16</xdr:col>
      <xdr:colOff>38100</xdr:colOff>
      <xdr:row>44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7</xdr:col>
      <xdr:colOff>38100</xdr:colOff>
      <xdr:row>61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46</xdr:row>
      <xdr:rowOff>0</xdr:rowOff>
    </xdr:from>
    <xdr:to>
      <xdr:col>16</xdr:col>
      <xdr:colOff>38100</xdr:colOff>
      <xdr:row>61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5"/>
  <sheetViews>
    <sheetView showGridLines="0" tabSelected="1" zoomScale="110" zoomScaleNormal="110" workbookViewId="0">
      <pane ySplit="3" topLeftCell="A4" activePane="bottomLeft" state="frozen"/>
      <selection pane="bottomLeft"/>
    </sheetView>
  </sheetViews>
  <sheetFormatPr defaultRowHeight="15"/>
  <cols>
    <col min="1" max="1" width="100.7109375" customWidth="1"/>
  </cols>
  <sheetData>
    <row r="1" spans="1:1" ht="26" customHeight="1">
      <c r="A1" s="1" t="s">
        <v>0</v>
      </c>
    </row>
    <row r="2" spans="1:1" ht="18" customHeight="1">
      <c r="A2" s="2" t="s">
        <v>1</v>
      </c>
    </row>
    <row r="4" spans="1:1">
      <c r="A4" s="3" t="s">
        <v>2</v>
      </c>
    </row>
    <row r="5" spans="1:1" ht="90" customHeight="1">
      <c r="A5" s="4" t="s">
        <v>3</v>
      </c>
    </row>
    <row r="7" spans="1:1">
      <c r="A7" s="5" t="s">
        <v>4</v>
      </c>
    </row>
    <row r="8" spans="1:1" ht="45" customHeight="1">
      <c r="A8" s="4" t="s">
        <v>5</v>
      </c>
    </row>
    <row r="10" spans="1:1">
      <c r="A10" s="5" t="s">
        <v>6</v>
      </c>
    </row>
    <row r="11" spans="1:1" ht="18" customHeight="1">
      <c r="A11" s="6" t="s">
        <v>7</v>
      </c>
    </row>
    <row r="12" spans="1:1" ht="18" customHeight="1">
      <c r="A12" s="7" t="s">
        <v>8</v>
      </c>
    </row>
    <row r="13" spans="1:1" ht="18" customHeight="1">
      <c r="A13" s="8" t="s">
        <v>9</v>
      </c>
    </row>
    <row r="15" spans="1:1">
      <c r="A15" s="5" t="s">
        <v>10</v>
      </c>
    </row>
    <row r="16" spans="1:1" ht="16" customHeight="1">
      <c r="A16" s="9" t="s">
        <v>11</v>
      </c>
    </row>
    <row r="17" spans="1:1" ht="16" customHeight="1">
      <c r="A17" s="10" t="s">
        <v>12</v>
      </c>
    </row>
    <row r="18" spans="1:1" ht="16" customHeight="1">
      <c r="A18" s="11" t="s">
        <v>13</v>
      </c>
    </row>
    <row r="19" spans="1:1" ht="16" customHeight="1">
      <c r="A19" s="12" t="s">
        <v>14</v>
      </c>
    </row>
    <row r="20" spans="1:1" ht="16" customHeight="1">
      <c r="A20" s="13" t="s">
        <v>15</v>
      </c>
    </row>
    <row r="22" spans="1:1">
      <c r="A22" s="5" t="s">
        <v>16</v>
      </c>
    </row>
    <row r="23" spans="1:1" ht="60" customHeight="1">
      <c r="A23" s="4" t="s">
        <v>17</v>
      </c>
    </row>
    <row r="25" spans="1:1">
      <c r="A25" s="5" t="s">
        <v>18</v>
      </c>
    </row>
    <row r="26" spans="1:1" ht="45" customHeight="1">
      <c r="A26" s="4" t="s">
        <v>19</v>
      </c>
    </row>
    <row r="28" spans="1:1">
      <c r="A28" s="5" t="s">
        <v>20</v>
      </c>
    </row>
    <row r="29" spans="1:1" ht="60" customHeight="1">
      <c r="A29" s="4" t="s">
        <v>21</v>
      </c>
    </row>
    <row r="31" spans="1:1">
      <c r="A31" s="5" t="s">
        <v>22</v>
      </c>
    </row>
    <row r="32" spans="1:1" ht="75" customHeight="1">
      <c r="A32" s="4" t="s">
        <v>23</v>
      </c>
    </row>
    <row r="34" spans="1:1">
      <c r="A34" s="5" t="s">
        <v>24</v>
      </c>
    </row>
    <row r="35" spans="1:1" ht="45" customHeight="1">
      <c r="A35" s="4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00"/>
  <sheetViews>
    <sheetView showGridLines="0" zoomScale="110" zoomScaleNormal="11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5"/>
  <cols>
    <col min="1" max="1" width="42.7109375" customWidth="1"/>
    <col min="2" max="2" width="14.7109375" customWidth="1"/>
    <col min="3" max="5" width="13.7109375" customWidth="1"/>
    <col min="6" max="6" width="14.7109375" customWidth="1"/>
    <col min="7" max="7" width="46.7109375" customWidth="1"/>
  </cols>
  <sheetData>
    <row r="1" spans="1:7" ht="22" customHeight="1">
      <c r="A1" s="1" t="s">
        <v>26</v>
      </c>
      <c r="B1" s="1"/>
      <c r="C1" s="1"/>
      <c r="D1" s="1"/>
      <c r="E1" s="1"/>
      <c r="F1" s="1"/>
      <c r="G1" s="1"/>
    </row>
    <row r="2" spans="1:7" ht="16" customHeight="1">
      <c r="A2" s="2" t="s">
        <v>27</v>
      </c>
      <c r="B2" s="2"/>
      <c r="C2" s="2"/>
      <c r="D2" s="2"/>
      <c r="E2" s="2"/>
      <c r="F2" s="2"/>
      <c r="G2" s="2"/>
    </row>
    <row r="4" spans="1:7">
      <c r="A4" s="14" t="s">
        <v>28</v>
      </c>
      <c r="C4" s="15" t="s">
        <v>29</v>
      </c>
      <c r="D4" s="16" t="s">
        <v>30</v>
      </c>
    </row>
    <row r="6" spans="1:7">
      <c r="A6" s="17" t="s">
        <v>31</v>
      </c>
      <c r="B6" s="17" t="s">
        <v>32</v>
      </c>
      <c r="C6" s="17" t="s">
        <v>29</v>
      </c>
      <c r="D6" s="17" t="s">
        <v>33</v>
      </c>
      <c r="E6" s="17" t="s">
        <v>34</v>
      </c>
      <c r="F6" s="17" t="s">
        <v>35</v>
      </c>
      <c r="G6" s="17" t="s">
        <v>36</v>
      </c>
    </row>
    <row r="7" spans="1:7">
      <c r="A7" s="14" t="s">
        <v>37</v>
      </c>
      <c r="B7" s="14"/>
      <c r="C7" s="14"/>
      <c r="D7" s="14"/>
      <c r="E7" s="14"/>
      <c r="F7" s="14"/>
      <c r="G7" s="14"/>
    </row>
    <row r="8" spans="1:7">
      <c r="A8" s="18" t="s">
        <v>38</v>
      </c>
      <c r="B8" s="16" t="s">
        <v>39</v>
      </c>
      <c r="C8" s="19">
        <v>5000000</v>
      </c>
      <c r="D8" s="19">
        <v>5000000</v>
      </c>
      <c r="E8" s="19">
        <v>5000000</v>
      </c>
      <c r="F8" s="20">
        <f>CHOOSE(MATCH('Assumptions'!$C$4,{"Base","Upside","Downside"},0),C8,D8,E8)</f>
        <v>0</v>
      </c>
      <c r="G8" s="21" t="s">
        <v>40</v>
      </c>
    </row>
    <row r="9" spans="1:7">
      <c r="A9" s="18" t="s">
        <v>41</v>
      </c>
      <c r="B9" s="16" t="s">
        <v>39</v>
      </c>
      <c r="C9" s="19">
        <v>6500000</v>
      </c>
      <c r="D9" s="19">
        <v>6500000</v>
      </c>
      <c r="E9" s="19">
        <v>6500000</v>
      </c>
      <c r="F9" s="20">
        <f>CHOOSE(MATCH('Assumptions'!$C$4,{"Base","Upside","Downside"},0),C9,D9,E9)</f>
        <v>0</v>
      </c>
      <c r="G9" s="21" t="s">
        <v>42</v>
      </c>
    </row>
    <row r="10" spans="1:7">
      <c r="A10" s="18" t="s">
        <v>43</v>
      </c>
      <c r="B10" s="16" t="s">
        <v>44</v>
      </c>
      <c r="C10" s="22">
        <v>0</v>
      </c>
      <c r="D10" s="22">
        <v>0</v>
      </c>
      <c r="E10" s="22">
        <v>0</v>
      </c>
      <c r="F10" s="23">
        <f>CHOOSE(MATCH('Assumptions'!$C$4,{"Base","Upside","Downside"},0),C10,D10,E10)</f>
        <v>0</v>
      </c>
      <c r="G10" s="21" t="s">
        <v>45</v>
      </c>
    </row>
    <row r="11" spans="1:7" ht="5" customHeight="1"/>
    <row r="12" spans="1:7">
      <c r="A12" s="14" t="s">
        <v>46</v>
      </c>
      <c r="B12" s="14"/>
      <c r="C12" s="14"/>
      <c r="D12" s="14"/>
      <c r="E12" s="14"/>
      <c r="F12" s="14"/>
      <c r="G12" s="14"/>
    </row>
    <row r="13" spans="1:7">
      <c r="A13" s="18" t="s">
        <v>47</v>
      </c>
      <c r="B13" s="16" t="s">
        <v>48</v>
      </c>
      <c r="C13" s="19">
        <v>30</v>
      </c>
      <c r="D13" s="19">
        <v>34</v>
      </c>
      <c r="E13" s="19">
        <v>26</v>
      </c>
      <c r="F13" s="20">
        <f>CHOOSE(MATCH('Assumptions'!$C$4,{"Base","Upside","Downside"},0),C13,D13,E13)</f>
        <v>0</v>
      </c>
      <c r="G13" s="21" t="s">
        <v>49</v>
      </c>
    </row>
    <row r="14" spans="1:7">
      <c r="A14" s="18" t="s">
        <v>50</v>
      </c>
      <c r="B14" s="16" t="s">
        <v>48</v>
      </c>
      <c r="C14" s="19">
        <v>6</v>
      </c>
      <c r="D14" s="19">
        <v>8</v>
      </c>
      <c r="E14" s="19">
        <v>4</v>
      </c>
      <c r="F14" s="20">
        <f>CHOOSE(MATCH('Assumptions'!$C$4,{"Base","Upside","Downside"},0),C14,D14,E14)</f>
        <v>0</v>
      </c>
      <c r="G14" s="21" t="s">
        <v>51</v>
      </c>
    </row>
    <row r="15" spans="1:7">
      <c r="A15" s="18" t="s">
        <v>52</v>
      </c>
      <c r="B15" s="16" t="s">
        <v>44</v>
      </c>
      <c r="C15" s="24">
        <v>0.0314</v>
      </c>
      <c r="D15" s="24">
        <v>0.0535</v>
      </c>
      <c r="E15" s="24">
        <v>0.0031</v>
      </c>
      <c r="F15" s="25">
        <f>CHOOSE(MATCH('Assumptions'!$C$4,{"Base","Upside","Downside"},0),C15,D15,E15)</f>
        <v>0</v>
      </c>
      <c r="G15" s="21" t="s">
        <v>53</v>
      </c>
    </row>
    <row r="16" spans="1:7">
      <c r="A16" s="18" t="s">
        <v>54</v>
      </c>
      <c r="B16" s="16" t="s">
        <v>44</v>
      </c>
      <c r="C16" s="24">
        <v>0.03</v>
      </c>
      <c r="D16" s="24">
        <v>0.02</v>
      </c>
      <c r="E16" s="24">
        <v>0.045</v>
      </c>
      <c r="F16" s="25">
        <f>CHOOSE(MATCH('Assumptions'!$C$4,{"Base","Upside","Downside"},0),C16,D16,E16)</f>
        <v>0</v>
      </c>
      <c r="G16" s="21" t="s">
        <v>55</v>
      </c>
    </row>
    <row r="17" spans="1:7">
      <c r="A17" s="18" t="s">
        <v>56</v>
      </c>
      <c r="B17" s="16" t="s">
        <v>57</v>
      </c>
      <c r="C17" s="19">
        <v>4</v>
      </c>
      <c r="D17" s="19">
        <v>4.5</v>
      </c>
      <c r="E17" s="19">
        <v>3.5</v>
      </c>
      <c r="F17" s="20">
        <f>CHOOSE(MATCH('Assumptions'!$C$4,{"Base","Upside","Downside"},0),C17,D17,E17)</f>
        <v>0</v>
      </c>
      <c r="G17" s="21" t="s">
        <v>58</v>
      </c>
    </row>
    <row r="18" spans="1:7">
      <c r="A18" s="18" t="s">
        <v>59</v>
      </c>
      <c r="B18" s="16" t="s">
        <v>44</v>
      </c>
      <c r="C18" s="24">
        <v>0.04</v>
      </c>
      <c r="D18" s="24">
        <v>0.0645</v>
      </c>
      <c r="E18" s="24">
        <v>0.0143</v>
      </c>
      <c r="F18" s="25">
        <f>CHOOSE(MATCH('Assumptions'!$C$4,{"Base","Upside","Downside"},0),C18,D18,E18)</f>
        <v>0</v>
      </c>
      <c r="G18" s="21" t="s">
        <v>60</v>
      </c>
    </row>
    <row r="19" spans="1:7">
      <c r="A19" s="18" t="s">
        <v>61</v>
      </c>
      <c r="B19" s="16" t="s">
        <v>48</v>
      </c>
      <c r="C19" s="19">
        <v>12</v>
      </c>
      <c r="D19" s="19">
        <v>14</v>
      </c>
      <c r="E19" s="19">
        <v>10</v>
      </c>
      <c r="F19" s="20">
        <f>CHOOSE(MATCH('Assumptions'!$C$4,{"Base","Upside","Downside"},0),C19,D19,E19)</f>
        <v>0</v>
      </c>
      <c r="G19" s="21" t="s">
        <v>62</v>
      </c>
    </row>
    <row r="20" spans="1:7">
      <c r="A20" s="18" t="s">
        <v>63</v>
      </c>
      <c r="B20" s="16" t="s">
        <v>48</v>
      </c>
      <c r="C20" s="19">
        <v>3</v>
      </c>
      <c r="D20" s="19">
        <v>4</v>
      </c>
      <c r="E20" s="19">
        <v>2</v>
      </c>
      <c r="F20" s="20">
        <f>CHOOSE(MATCH('Assumptions'!$C$4,{"Base","Upside","Downside"},0),C20,D20,E20)</f>
        <v>0</v>
      </c>
      <c r="G20" s="21" t="s">
        <v>64</v>
      </c>
    </row>
    <row r="21" spans="1:7">
      <c r="A21" s="18" t="s">
        <v>65</v>
      </c>
      <c r="B21" s="16" t="s">
        <v>44</v>
      </c>
      <c r="C21" s="24">
        <v>0.0226</v>
      </c>
      <c r="D21" s="24">
        <v>0.0323</v>
      </c>
      <c r="E21" s="24">
        <v>0.0037</v>
      </c>
      <c r="F21" s="25">
        <f>CHOOSE(MATCH('Assumptions'!$C$4,{"Base","Upside","Downside"},0),C21,D21,E21)</f>
        <v>0</v>
      </c>
      <c r="G21" s="21" t="s">
        <v>66</v>
      </c>
    </row>
    <row r="22" spans="1:7">
      <c r="A22" s="18" t="s">
        <v>67</v>
      </c>
      <c r="B22" s="16" t="s">
        <v>44</v>
      </c>
      <c r="C22" s="24">
        <v>0.015</v>
      </c>
      <c r="D22" s="24">
        <v>0.01</v>
      </c>
      <c r="E22" s="24">
        <v>0.025</v>
      </c>
      <c r="F22" s="25">
        <f>CHOOSE(MATCH('Assumptions'!$C$4,{"Base","Upside","Downside"},0),C22,D22,E22)</f>
        <v>0</v>
      </c>
      <c r="G22" s="21" t="s">
        <v>68</v>
      </c>
    </row>
    <row r="23" spans="1:7">
      <c r="A23" s="18" t="s">
        <v>69</v>
      </c>
      <c r="B23" s="16" t="s">
        <v>57</v>
      </c>
      <c r="C23" s="19">
        <v>25</v>
      </c>
      <c r="D23" s="19">
        <v>28</v>
      </c>
      <c r="E23" s="19">
        <v>22</v>
      </c>
      <c r="F23" s="20">
        <f>CHOOSE(MATCH('Assumptions'!$C$4,{"Base","Upside","Downside"},0),C23,D23,E23)</f>
        <v>0</v>
      </c>
      <c r="G23" s="21" t="s">
        <v>70</v>
      </c>
    </row>
    <row r="24" spans="1:7">
      <c r="A24" s="18" t="s">
        <v>71</v>
      </c>
      <c r="B24" s="16" t="s">
        <v>44</v>
      </c>
      <c r="C24" s="24">
        <v>0.0307</v>
      </c>
      <c r="D24" s="24">
        <v>0.0596</v>
      </c>
      <c r="E24" s="24">
        <v>0.0119</v>
      </c>
      <c r="F24" s="25">
        <f>CHOOSE(MATCH('Assumptions'!$C$4,{"Base","Upside","Downside"},0),C24,D24,E24)</f>
        <v>0</v>
      </c>
      <c r="G24" s="21" t="s">
        <v>72</v>
      </c>
    </row>
    <row r="25" spans="1:7">
      <c r="A25" s="18" t="s">
        <v>73</v>
      </c>
      <c r="B25" s="16" t="s">
        <v>48</v>
      </c>
      <c r="C25" s="19">
        <v>4</v>
      </c>
      <c r="D25" s="19">
        <v>5</v>
      </c>
      <c r="E25" s="19">
        <v>3</v>
      </c>
      <c r="F25" s="20">
        <f>CHOOSE(MATCH('Assumptions'!$C$4,{"Base","Upside","Downside"},0),C25,D25,E25)</f>
        <v>0</v>
      </c>
      <c r="G25" s="21" t="s">
        <v>74</v>
      </c>
    </row>
    <row r="26" spans="1:7">
      <c r="A26" s="18" t="s">
        <v>75</v>
      </c>
      <c r="B26" s="16" t="s">
        <v>48</v>
      </c>
      <c r="C26" s="19">
        <v>1</v>
      </c>
      <c r="D26" s="19">
        <v>1.5</v>
      </c>
      <c r="E26" s="19">
        <v>0.5</v>
      </c>
      <c r="F26" s="20">
        <f>CHOOSE(MATCH('Assumptions'!$C$4,{"Base","Upside","Downside"},0),C26,D26,E26)</f>
        <v>0</v>
      </c>
      <c r="G26" s="21" t="s">
        <v>76</v>
      </c>
    </row>
    <row r="27" spans="1:7">
      <c r="A27" s="18" t="s">
        <v>77</v>
      </c>
      <c r="B27" s="16" t="s">
        <v>44</v>
      </c>
      <c r="C27" s="24">
        <v>0.0131</v>
      </c>
      <c r="D27" s="24">
        <v>0.022</v>
      </c>
      <c r="E27" s="24">
        <v>-0.0042</v>
      </c>
      <c r="F27" s="25">
        <f>CHOOSE(MATCH('Assumptions'!$C$4,{"Base","Upside","Downside"},0),C27,D27,E27)</f>
        <v>0</v>
      </c>
      <c r="G27" s="21" t="s">
        <v>78</v>
      </c>
    </row>
    <row r="28" spans="1:7">
      <c r="A28" s="18" t="s">
        <v>79</v>
      </c>
      <c r="B28" s="16" t="s">
        <v>44</v>
      </c>
      <c r="C28" s="24">
        <v>0.005</v>
      </c>
      <c r="D28" s="24">
        <v>0.003</v>
      </c>
      <c r="E28" s="24">
        <v>0.01</v>
      </c>
      <c r="F28" s="25">
        <f>CHOOSE(MATCH('Assumptions'!$C$4,{"Base","Upside","Downside"},0),C28,D28,E28)</f>
        <v>0</v>
      </c>
      <c r="G28" s="21" t="s">
        <v>80</v>
      </c>
    </row>
    <row r="29" spans="1:7">
      <c r="A29" s="18" t="s">
        <v>81</v>
      </c>
      <c r="B29" s="16" t="s">
        <v>57</v>
      </c>
      <c r="C29" s="19">
        <v>120</v>
      </c>
      <c r="D29" s="19">
        <v>135</v>
      </c>
      <c r="E29" s="19">
        <v>105</v>
      </c>
      <c r="F29" s="20">
        <f>CHOOSE(MATCH('Assumptions'!$C$4,{"Base","Upside","Downside"},0),C29,D29,E29)</f>
        <v>0</v>
      </c>
      <c r="G29" s="21" t="s">
        <v>82</v>
      </c>
    </row>
    <row r="30" spans="1:7">
      <c r="A30" s="18" t="s">
        <v>83</v>
      </c>
      <c r="B30" s="16" t="s">
        <v>44</v>
      </c>
      <c r="C30" s="24">
        <v>0.0282</v>
      </c>
      <c r="D30" s="24">
        <v>0.0471</v>
      </c>
      <c r="E30" s="24">
        <v>0.0131</v>
      </c>
      <c r="F30" s="25">
        <f>CHOOSE(MATCH('Assumptions'!$C$4,{"Base","Upside","Downside"},0),C30,D30,E30)</f>
        <v>0</v>
      </c>
      <c r="G30" s="21" t="s">
        <v>84</v>
      </c>
    </row>
    <row r="31" spans="1:7" ht="5" customHeight="1"/>
    <row r="32" spans="1:7">
      <c r="A32" s="14" t="s">
        <v>85</v>
      </c>
      <c r="B32" s="14"/>
      <c r="C32" s="14"/>
      <c r="D32" s="14"/>
      <c r="E32" s="14"/>
      <c r="F32" s="14"/>
      <c r="G32" s="14"/>
    </row>
    <row r="33" spans="1:7">
      <c r="A33" s="18" t="s">
        <v>86</v>
      </c>
      <c r="B33" s="16" t="s">
        <v>87</v>
      </c>
      <c r="C33" s="19">
        <v>2200</v>
      </c>
      <c r="D33" s="19">
        <v>2350</v>
      </c>
      <c r="E33" s="19">
        <v>2050</v>
      </c>
      <c r="F33" s="20">
        <f>CHOOSE(MATCH('Assumptions'!$C$4,{"Base","Upside","Downside"},0),C33,D33,E33)</f>
        <v>0</v>
      </c>
      <c r="G33" s="21" t="s">
        <v>88</v>
      </c>
    </row>
    <row r="34" spans="1:7">
      <c r="A34" s="18" t="s">
        <v>89</v>
      </c>
      <c r="B34" s="16" t="s">
        <v>87</v>
      </c>
      <c r="C34" s="19">
        <v>5000</v>
      </c>
      <c r="D34" s="19">
        <v>5250</v>
      </c>
      <c r="E34" s="19">
        <v>4750</v>
      </c>
      <c r="F34" s="20">
        <f>CHOOSE(MATCH('Assumptions'!$C$4,{"Base","Upside","Downside"},0),C34,D34,E34)</f>
        <v>0</v>
      </c>
      <c r="G34" s="21" t="s">
        <v>90</v>
      </c>
    </row>
    <row r="35" spans="1:7">
      <c r="A35" s="18" t="s">
        <v>91</v>
      </c>
      <c r="B35" s="16" t="s">
        <v>44</v>
      </c>
      <c r="C35" s="24">
        <v>0.25</v>
      </c>
      <c r="D35" s="24">
        <v>0.32</v>
      </c>
      <c r="E35" s="24">
        <v>0.18</v>
      </c>
      <c r="F35" s="25">
        <f>CHOOSE(MATCH('Assumptions'!$C$4,{"Base","Upside","Downside"},0),C35,D35,E35)</f>
        <v>0</v>
      </c>
      <c r="G35" s="21" t="s">
        <v>92</v>
      </c>
    </row>
    <row r="36" spans="1:7">
      <c r="A36" s="18" t="s">
        <v>93</v>
      </c>
      <c r="B36" s="16" t="s">
        <v>44</v>
      </c>
      <c r="C36" s="24">
        <v>0.0038</v>
      </c>
      <c r="D36" s="24">
        <v>0.0057</v>
      </c>
      <c r="E36" s="24">
        <v>0.0009</v>
      </c>
      <c r="F36" s="25">
        <f>CHOOSE(MATCH('Assumptions'!$C$4,{"Base","Upside","Downside"},0),C36,D36,E36)</f>
        <v>0</v>
      </c>
      <c r="G36" s="21" t="s">
        <v>94</v>
      </c>
    </row>
    <row r="37" spans="1:7">
      <c r="A37" s="18" t="s">
        <v>95</v>
      </c>
      <c r="B37" s="16" t="s">
        <v>96</v>
      </c>
      <c r="C37" s="26">
        <v>0.85</v>
      </c>
      <c r="D37" s="26">
        <v>0.88</v>
      </c>
      <c r="E37" s="26">
        <v>0.82</v>
      </c>
      <c r="F37" s="27">
        <f>CHOOSE(MATCH('Assumptions'!$C$4,{"Base","Upside","Downside"},0),C37,D37,E37)</f>
        <v>0</v>
      </c>
      <c r="G37" s="21" t="s">
        <v>97</v>
      </c>
    </row>
    <row r="38" spans="1:7">
      <c r="A38" s="18" t="s">
        <v>98</v>
      </c>
      <c r="B38" s="16" t="s">
        <v>96</v>
      </c>
      <c r="C38" s="26">
        <v>1</v>
      </c>
      <c r="D38" s="26">
        <v>1.03</v>
      </c>
      <c r="E38" s="26">
        <v>0.97</v>
      </c>
      <c r="F38" s="27">
        <f>CHOOSE(MATCH('Assumptions'!$C$4,{"Base","Upside","Downside"},0),C38,D38,E38)</f>
        <v>0</v>
      </c>
      <c r="G38" s="21" t="s">
        <v>99</v>
      </c>
    </row>
    <row r="39" spans="1:7">
      <c r="A39" s="18" t="s">
        <v>100</v>
      </c>
      <c r="B39" s="16" t="s">
        <v>96</v>
      </c>
      <c r="C39" s="26">
        <v>1.18</v>
      </c>
      <c r="D39" s="26">
        <v>1.22</v>
      </c>
      <c r="E39" s="26">
        <v>1.12</v>
      </c>
      <c r="F39" s="27">
        <f>CHOOSE(MATCH('Assumptions'!$C$4,{"Base","Upside","Downside"},0),C39,D39,E39)</f>
        <v>0</v>
      </c>
      <c r="G39" s="21" t="s">
        <v>101</v>
      </c>
    </row>
    <row r="40" spans="1:7">
      <c r="A40" s="18" t="s">
        <v>102</v>
      </c>
      <c r="B40" s="16" t="s">
        <v>44</v>
      </c>
      <c r="C40" s="24">
        <v>0.08</v>
      </c>
      <c r="D40" s="24">
        <v>0.06</v>
      </c>
      <c r="E40" s="24">
        <v>0.12</v>
      </c>
      <c r="F40" s="25">
        <f>CHOOSE(MATCH('Assumptions'!$C$4,{"Base","Upside","Downside"},0),C40,D40,E40)</f>
        <v>0</v>
      </c>
      <c r="G40" s="21" t="s">
        <v>103</v>
      </c>
    </row>
    <row r="41" spans="1:7">
      <c r="A41" s="18" t="s">
        <v>104</v>
      </c>
      <c r="B41" s="16" t="s">
        <v>44</v>
      </c>
      <c r="C41" s="24">
        <v>0.18</v>
      </c>
      <c r="D41" s="24">
        <v>0.24</v>
      </c>
      <c r="E41" s="24">
        <v>0.1</v>
      </c>
      <c r="F41" s="25">
        <f>CHOOSE(MATCH('Assumptions'!$C$4,{"Base","Upside","Downside"},0),C41,D41,E41)</f>
        <v>0</v>
      </c>
      <c r="G41" s="21" t="s">
        <v>105</v>
      </c>
    </row>
    <row r="42" spans="1:7">
      <c r="A42" s="18" t="s">
        <v>106</v>
      </c>
      <c r="B42" s="16" t="s">
        <v>44</v>
      </c>
      <c r="C42" s="24">
        <v>0.35</v>
      </c>
      <c r="D42" s="24">
        <v>0.25</v>
      </c>
      <c r="E42" s="24">
        <v>0.45</v>
      </c>
      <c r="F42" s="25">
        <f>CHOOSE(MATCH('Assumptions'!$C$4,{"Base","Upside","Downside"},0),C42,D42,E42)</f>
        <v>0</v>
      </c>
      <c r="G42" s="21" t="s">
        <v>107</v>
      </c>
    </row>
    <row r="43" spans="1:7">
      <c r="A43" s="18" t="s">
        <v>108</v>
      </c>
      <c r="B43" s="16" t="s">
        <v>44</v>
      </c>
      <c r="C43" s="24">
        <v>0.07000000000000001</v>
      </c>
      <c r="D43" s="24">
        <v>0.1</v>
      </c>
      <c r="E43" s="24">
        <v>0.03</v>
      </c>
      <c r="F43" s="25">
        <f>CHOOSE(MATCH('Assumptions'!$C$4,{"Base","Upside","Downside"},0),C43,D43,E43)</f>
        <v>0</v>
      </c>
      <c r="G43" s="21" t="s">
        <v>109</v>
      </c>
    </row>
    <row r="44" spans="1:7">
      <c r="A44" s="18" t="s">
        <v>110</v>
      </c>
      <c r="B44" s="16" t="s">
        <v>111</v>
      </c>
      <c r="C44" s="19">
        <v>500</v>
      </c>
      <c r="D44" s="19">
        <v>600</v>
      </c>
      <c r="E44" s="19">
        <v>450</v>
      </c>
      <c r="F44" s="20">
        <f>CHOOSE(MATCH('Assumptions'!$C$4,{"Base","Upside","Downside"},0),C44,D44,E44)</f>
        <v>0</v>
      </c>
      <c r="G44" s="21" t="s">
        <v>112</v>
      </c>
    </row>
    <row r="45" spans="1:7">
      <c r="A45" s="18" t="s">
        <v>113</v>
      </c>
      <c r="B45" s="16" t="s">
        <v>111</v>
      </c>
      <c r="C45" s="19">
        <v>2500</v>
      </c>
      <c r="D45" s="19">
        <v>2800</v>
      </c>
      <c r="E45" s="19">
        <v>2200</v>
      </c>
      <c r="F45" s="20">
        <f>CHOOSE(MATCH('Assumptions'!$C$4,{"Base","Upside","Downside"},0),C45,D45,E45)</f>
        <v>0</v>
      </c>
      <c r="G45" s="21" t="s">
        <v>114</v>
      </c>
    </row>
    <row r="46" spans="1:7">
      <c r="A46" s="18" t="s">
        <v>115</v>
      </c>
      <c r="B46" s="16" t="s">
        <v>111</v>
      </c>
      <c r="C46" s="19">
        <v>12000</v>
      </c>
      <c r="D46" s="19">
        <v>14000</v>
      </c>
      <c r="E46" s="19">
        <v>10000</v>
      </c>
      <c r="F46" s="20">
        <f>CHOOSE(MATCH('Assumptions'!$C$4,{"Base","Upside","Downside"},0),C46,D46,E46)</f>
        <v>0</v>
      </c>
      <c r="G46" s="21" t="s">
        <v>116</v>
      </c>
    </row>
    <row r="47" spans="1:7" ht="5" customHeight="1"/>
    <row r="48" spans="1:7">
      <c r="A48" s="14" t="s">
        <v>117</v>
      </c>
      <c r="B48" s="14"/>
      <c r="C48" s="14"/>
      <c r="D48" s="14"/>
      <c r="E48" s="14"/>
      <c r="F48" s="14"/>
      <c r="G48" s="14"/>
    </row>
    <row r="49" spans="1:7">
      <c r="A49" s="18" t="s">
        <v>118</v>
      </c>
      <c r="B49" s="16" t="s">
        <v>87</v>
      </c>
      <c r="C49" s="19">
        <v>900</v>
      </c>
      <c r="D49" s="19">
        <v>820</v>
      </c>
      <c r="E49" s="19">
        <v>1020</v>
      </c>
      <c r="F49" s="20">
        <f>CHOOSE(MATCH('Assumptions'!$C$4,{"Base","Upside","Downside"},0),C49,D49,E49)</f>
        <v>0</v>
      </c>
      <c r="G49" s="21" t="s">
        <v>119</v>
      </c>
    </row>
    <row r="50" spans="1:7">
      <c r="A50" s="18" t="s">
        <v>120</v>
      </c>
      <c r="B50" s="16" t="s">
        <v>87</v>
      </c>
      <c r="C50" s="19">
        <v>1500</v>
      </c>
      <c r="D50" s="19">
        <v>1380</v>
      </c>
      <c r="E50" s="19">
        <v>1700</v>
      </c>
      <c r="F50" s="20">
        <f>CHOOSE(MATCH('Assumptions'!$C$4,{"Base","Upside","Downside"},0),C50,D50,E50)</f>
        <v>0</v>
      </c>
      <c r="G50" s="21" t="s">
        <v>121</v>
      </c>
    </row>
    <row r="51" spans="1:7">
      <c r="A51" s="18" t="s">
        <v>122</v>
      </c>
      <c r="B51" s="16" t="s">
        <v>87</v>
      </c>
      <c r="C51" s="19">
        <v>400</v>
      </c>
      <c r="D51" s="19">
        <v>360</v>
      </c>
      <c r="E51" s="19">
        <v>470</v>
      </c>
      <c r="F51" s="20">
        <f>CHOOSE(MATCH('Assumptions'!$C$4,{"Base","Upside","Downside"},0),C51,D51,E51)</f>
        <v>0</v>
      </c>
      <c r="G51" s="21" t="s">
        <v>123</v>
      </c>
    </row>
    <row r="52" spans="1:7">
      <c r="A52" s="18" t="s">
        <v>124</v>
      </c>
      <c r="B52" s="16" t="s">
        <v>87</v>
      </c>
      <c r="C52" s="19">
        <v>1500</v>
      </c>
      <c r="D52" s="19">
        <v>1350</v>
      </c>
      <c r="E52" s="19">
        <v>1700</v>
      </c>
      <c r="F52" s="20">
        <f>CHOOSE(MATCH('Assumptions'!$C$4,{"Base","Upside","Downside"},0),C52,D52,E52)</f>
        <v>0</v>
      </c>
      <c r="G52" s="21" t="s">
        <v>125</v>
      </c>
    </row>
    <row r="53" spans="1:7">
      <c r="A53" s="18" t="s">
        <v>126</v>
      </c>
      <c r="B53" s="16" t="s">
        <v>87</v>
      </c>
      <c r="C53" s="19">
        <v>45</v>
      </c>
      <c r="D53" s="19">
        <v>40</v>
      </c>
      <c r="E53" s="19">
        <v>55</v>
      </c>
      <c r="F53" s="20">
        <f>CHOOSE(MATCH('Assumptions'!$C$4,{"Base","Upside","Downside"},0),C53,D53,E53)</f>
        <v>0</v>
      </c>
      <c r="G53" s="21" t="s">
        <v>127</v>
      </c>
    </row>
    <row r="54" spans="1:7">
      <c r="A54" s="18" t="s">
        <v>128</v>
      </c>
      <c r="B54" s="16" t="s">
        <v>87</v>
      </c>
      <c r="C54" s="19">
        <v>60</v>
      </c>
      <c r="D54" s="19">
        <v>52</v>
      </c>
      <c r="E54" s="19">
        <v>72</v>
      </c>
      <c r="F54" s="20">
        <f>CHOOSE(MATCH('Assumptions'!$C$4,{"Base","Upside","Downside"},0),C54,D54,E54)</f>
        <v>0</v>
      </c>
      <c r="G54" s="21" t="s">
        <v>129</v>
      </c>
    </row>
    <row r="55" spans="1:7">
      <c r="A55" s="18" t="s">
        <v>130</v>
      </c>
      <c r="B55" s="16" t="s">
        <v>44</v>
      </c>
      <c r="C55" s="24">
        <v>0.65</v>
      </c>
      <c r="D55" s="24">
        <v>0.75</v>
      </c>
      <c r="E55" s="24">
        <v>0.5</v>
      </c>
      <c r="F55" s="25">
        <f>CHOOSE(MATCH('Assumptions'!$C$4,{"Base","Upside","Downside"},0),C55,D55,E55)</f>
        <v>0</v>
      </c>
      <c r="G55" s="21" t="s">
        <v>131</v>
      </c>
    </row>
    <row r="56" spans="1:7">
      <c r="A56" s="18" t="s">
        <v>132</v>
      </c>
      <c r="B56" s="16" t="s">
        <v>44</v>
      </c>
      <c r="C56" s="24">
        <v>0.55</v>
      </c>
      <c r="D56" s="24">
        <v>0.62</v>
      </c>
      <c r="E56" s="24">
        <v>0.45</v>
      </c>
      <c r="F56" s="25">
        <f>CHOOSE(MATCH('Assumptions'!$C$4,{"Base","Upside","Downside"},0),C56,D56,E56)</f>
        <v>0</v>
      </c>
      <c r="G56" s="21" t="s">
        <v>133</v>
      </c>
    </row>
    <row r="57" spans="1:7">
      <c r="A57" s="18" t="s">
        <v>134</v>
      </c>
      <c r="B57" s="16" t="s">
        <v>44</v>
      </c>
      <c r="C57" s="24">
        <v>0.0031</v>
      </c>
      <c r="D57" s="24">
        <v>0.007900000000000001</v>
      </c>
      <c r="E57" s="24">
        <v>0.0017</v>
      </c>
      <c r="F57" s="25">
        <f>CHOOSE(MATCH('Assumptions'!$C$4,{"Base","Upside","Downside"},0),C57,D57,E57)</f>
        <v>0</v>
      </c>
      <c r="G57" s="21" t="s">
        <v>135</v>
      </c>
    </row>
    <row r="58" spans="1:7" ht="5" customHeight="1"/>
    <row r="59" spans="1:7">
      <c r="A59" s="14" t="s">
        <v>136</v>
      </c>
      <c r="B59" s="14"/>
      <c r="C59" s="14"/>
      <c r="D59" s="14"/>
      <c r="E59" s="14"/>
      <c r="F59" s="14"/>
      <c r="G59" s="14"/>
    </row>
    <row r="60" spans="1:7">
      <c r="A60" s="18" t="s">
        <v>137</v>
      </c>
      <c r="B60" s="16" t="s">
        <v>48</v>
      </c>
      <c r="C60" s="19">
        <v>5</v>
      </c>
      <c r="D60" s="19">
        <v>5</v>
      </c>
      <c r="E60" s="19">
        <v>5</v>
      </c>
      <c r="F60" s="20">
        <f>CHOOSE(MATCH('Assumptions'!$C$4,{"Base","Upside","Downside"},0),C60,D60,E60)</f>
        <v>0</v>
      </c>
      <c r="G60" s="21" t="s">
        <v>138</v>
      </c>
    </row>
    <row r="61" spans="1:7">
      <c r="A61" s="18" t="s">
        <v>139</v>
      </c>
      <c r="B61" s="16" t="s">
        <v>48</v>
      </c>
      <c r="C61" s="19">
        <v>1</v>
      </c>
      <c r="D61" s="19">
        <v>1.5</v>
      </c>
      <c r="E61" s="19">
        <v>0.5</v>
      </c>
      <c r="F61" s="20">
        <f>CHOOSE(MATCH('Assumptions'!$C$4,{"Base","Upside","Downside"},0),C61,D61,E61)</f>
        <v>0</v>
      </c>
      <c r="G61" s="21"/>
    </row>
    <row r="62" spans="1:7">
      <c r="A62" s="18" t="s">
        <v>140</v>
      </c>
      <c r="B62" s="16" t="s">
        <v>111</v>
      </c>
      <c r="C62" s="19">
        <v>16000</v>
      </c>
      <c r="D62" s="19">
        <v>16000</v>
      </c>
      <c r="E62" s="19">
        <v>16000</v>
      </c>
      <c r="F62" s="20">
        <f>CHOOSE(MATCH('Assumptions'!$C$4,{"Base","Upside","Downside"},0),C62,D62,E62)</f>
        <v>0</v>
      </c>
      <c r="G62" s="21" t="s">
        <v>141</v>
      </c>
    </row>
    <row r="63" spans="1:7" ht="5" customHeight="1"/>
    <row r="64" spans="1:7">
      <c r="A64" s="14" t="s">
        <v>142</v>
      </c>
      <c r="B64" s="14"/>
      <c r="C64" s="14"/>
      <c r="D64" s="14"/>
      <c r="E64" s="14"/>
      <c r="F64" s="14"/>
      <c r="G64" s="14"/>
    </row>
    <row r="65" spans="1:7">
      <c r="A65" s="18" t="s">
        <v>143</v>
      </c>
      <c r="B65" s="16" t="s">
        <v>48</v>
      </c>
      <c r="C65" s="19">
        <v>4</v>
      </c>
      <c r="D65" s="19">
        <v>4</v>
      </c>
      <c r="E65" s="19">
        <v>4</v>
      </c>
      <c r="F65" s="20">
        <f>CHOOSE(MATCH('Assumptions'!$C$4,{"Base","Upside","Downside"},0),C65,D65,E65)</f>
        <v>0</v>
      </c>
      <c r="G65" s="21"/>
    </row>
    <row r="66" spans="1:7">
      <c r="A66" s="18" t="s">
        <v>144</v>
      </c>
      <c r="B66" s="16" t="s">
        <v>48</v>
      </c>
      <c r="C66" s="19">
        <v>1</v>
      </c>
      <c r="D66" s="19">
        <v>1.5</v>
      </c>
      <c r="E66" s="19">
        <v>0.5</v>
      </c>
      <c r="F66" s="20">
        <f>CHOOSE(MATCH('Assumptions'!$C$4,{"Base","Upside","Downside"},0),C66,D66,E66)</f>
        <v>0</v>
      </c>
      <c r="G66" s="21"/>
    </row>
    <row r="67" spans="1:7">
      <c r="A67" s="18" t="s">
        <v>145</v>
      </c>
      <c r="B67" s="16" t="s">
        <v>111</v>
      </c>
      <c r="C67" s="19">
        <v>18000</v>
      </c>
      <c r="D67" s="19">
        <v>18000</v>
      </c>
      <c r="E67" s="19">
        <v>18000</v>
      </c>
      <c r="F67" s="20">
        <f>CHOOSE(MATCH('Assumptions'!$C$4,{"Base","Upside","Downside"},0),C67,D67,E67)</f>
        <v>0</v>
      </c>
      <c r="G67" s="21"/>
    </row>
    <row r="68" spans="1:7" ht="5" customHeight="1"/>
    <row r="69" spans="1:7">
      <c r="A69" s="14" t="s">
        <v>146</v>
      </c>
      <c r="B69" s="14"/>
      <c r="C69" s="14"/>
      <c r="D69" s="14"/>
      <c r="E69" s="14"/>
      <c r="F69" s="14"/>
      <c r="G69" s="14"/>
    </row>
    <row r="70" spans="1:7">
      <c r="A70" s="18" t="s">
        <v>147</v>
      </c>
      <c r="B70" s="16" t="s">
        <v>48</v>
      </c>
      <c r="C70" s="19">
        <v>3</v>
      </c>
      <c r="D70" s="19">
        <v>3</v>
      </c>
      <c r="E70" s="19">
        <v>3</v>
      </c>
      <c r="F70" s="20">
        <f>CHOOSE(MATCH('Assumptions'!$C$4,{"Base","Upside","Downside"},0),C70,D70,E70)</f>
        <v>0</v>
      </c>
      <c r="G70" s="21" t="s">
        <v>148</v>
      </c>
    </row>
    <row r="71" spans="1:7">
      <c r="A71" s="18" t="s">
        <v>149</v>
      </c>
      <c r="B71" s="16" t="s">
        <v>48</v>
      </c>
      <c r="C71" s="19">
        <v>1</v>
      </c>
      <c r="D71" s="19">
        <v>1.5</v>
      </c>
      <c r="E71" s="19">
        <v>0.5</v>
      </c>
      <c r="F71" s="20">
        <f>CHOOSE(MATCH('Assumptions'!$C$4,{"Base","Upside","Downside"},0),C71,D71,E71)</f>
        <v>0</v>
      </c>
      <c r="G71" s="21"/>
    </row>
    <row r="72" spans="1:7">
      <c r="A72" s="18" t="s">
        <v>150</v>
      </c>
      <c r="B72" s="16" t="s">
        <v>111</v>
      </c>
      <c r="C72" s="19">
        <v>15000</v>
      </c>
      <c r="D72" s="19">
        <v>15000</v>
      </c>
      <c r="E72" s="19">
        <v>15000</v>
      </c>
      <c r="F72" s="20">
        <f>CHOOSE(MATCH('Assumptions'!$C$4,{"Base","Upside","Downside"},0),C72,D72,E72)</f>
        <v>0</v>
      </c>
      <c r="G72" s="21"/>
    </row>
    <row r="73" spans="1:7" ht="5" customHeight="1"/>
    <row r="74" spans="1:7">
      <c r="A74" s="14" t="s">
        <v>151</v>
      </c>
      <c r="B74" s="14"/>
      <c r="C74" s="14"/>
      <c r="D74" s="14"/>
      <c r="E74" s="14"/>
      <c r="F74" s="14"/>
      <c r="G74" s="14"/>
    </row>
    <row r="75" spans="1:7">
      <c r="A75" s="18" t="s">
        <v>152</v>
      </c>
      <c r="B75" s="16" t="s">
        <v>48</v>
      </c>
      <c r="C75" s="19">
        <v>2</v>
      </c>
      <c r="D75" s="19">
        <v>2</v>
      </c>
      <c r="E75" s="19">
        <v>2</v>
      </c>
      <c r="F75" s="20">
        <f>CHOOSE(MATCH('Assumptions'!$C$4,{"Base","Upside","Downside"},0),C75,D75,E75)</f>
        <v>0</v>
      </c>
      <c r="G75" s="21" t="s">
        <v>153</v>
      </c>
    </row>
    <row r="76" spans="1:7">
      <c r="A76" s="18" t="s">
        <v>154</v>
      </c>
      <c r="B76" s="16" t="s">
        <v>48</v>
      </c>
      <c r="C76" s="19">
        <v>0.5</v>
      </c>
      <c r="D76" s="19">
        <v>0.5</v>
      </c>
      <c r="E76" s="19">
        <v>0.25</v>
      </c>
      <c r="F76" s="20">
        <f>CHOOSE(MATCH('Assumptions'!$C$4,{"Base","Upside","Downside"},0),C76,D76,E76)</f>
        <v>0</v>
      </c>
      <c r="G76" s="21"/>
    </row>
    <row r="77" spans="1:7">
      <c r="A77" s="18" t="s">
        <v>155</v>
      </c>
      <c r="B77" s="16" t="s">
        <v>111</v>
      </c>
      <c r="C77" s="19">
        <v>11000</v>
      </c>
      <c r="D77" s="19">
        <v>11000</v>
      </c>
      <c r="E77" s="19">
        <v>11000</v>
      </c>
      <c r="F77" s="20">
        <f>CHOOSE(MATCH('Assumptions'!$C$4,{"Base","Upside","Downside"},0),C77,D77,E77)</f>
        <v>0</v>
      </c>
      <c r="G77" s="21"/>
    </row>
    <row r="78" spans="1:7" ht="5" customHeight="1"/>
    <row r="79" spans="1:7">
      <c r="A79" s="14" t="s">
        <v>156</v>
      </c>
      <c r="B79" s="14"/>
      <c r="C79" s="14"/>
      <c r="D79" s="14"/>
      <c r="E79" s="14"/>
      <c r="F79" s="14"/>
      <c r="G79" s="14"/>
    </row>
    <row r="80" spans="1:7">
      <c r="A80" s="18" t="s">
        <v>157</v>
      </c>
      <c r="B80" s="16" t="s">
        <v>44</v>
      </c>
      <c r="C80" s="24">
        <v>0.06</v>
      </c>
      <c r="D80" s="24">
        <v>0.05</v>
      </c>
      <c r="E80" s="24">
        <v>0.08</v>
      </c>
      <c r="F80" s="25">
        <f>CHOOSE(MATCH('Assumptions'!$C$4,{"Base","Upside","Downside"},0),C80,D80,E80)</f>
        <v>0</v>
      </c>
      <c r="G80" s="21" t="s">
        <v>158</v>
      </c>
    </row>
    <row r="81" spans="1:7">
      <c r="A81" s="18" t="s">
        <v>159</v>
      </c>
      <c r="B81" s="16" t="s">
        <v>44</v>
      </c>
      <c r="C81" s="24">
        <v>0.025</v>
      </c>
      <c r="D81" s="24">
        <v>0.02</v>
      </c>
      <c r="E81" s="24">
        <v>0.03</v>
      </c>
      <c r="F81" s="25">
        <f>CHOOSE(MATCH('Assumptions'!$C$4,{"Base","Upside","Downside"},0),C81,D81,E81)</f>
        <v>0</v>
      </c>
      <c r="G81" s="21" t="s">
        <v>160</v>
      </c>
    </row>
    <row r="82" spans="1:7">
      <c r="A82" s="18" t="s">
        <v>161</v>
      </c>
      <c r="B82" s="16" t="s">
        <v>44</v>
      </c>
      <c r="C82" s="24">
        <v>0.07000000000000001</v>
      </c>
      <c r="D82" s="24">
        <v>0.09</v>
      </c>
      <c r="E82" s="24">
        <v>0.05</v>
      </c>
      <c r="F82" s="25">
        <f>CHOOSE(MATCH('Assumptions'!$C$4,{"Base","Upside","Downside"},0),C82,D82,E82)</f>
        <v>0</v>
      </c>
      <c r="G82" s="21" t="s">
        <v>162</v>
      </c>
    </row>
    <row r="83" spans="1:7">
      <c r="A83" s="18" t="s">
        <v>163</v>
      </c>
      <c r="B83" s="16" t="s">
        <v>111</v>
      </c>
      <c r="C83" s="19">
        <v>12000</v>
      </c>
      <c r="D83" s="19">
        <v>12000</v>
      </c>
      <c r="E83" s="19">
        <v>12000</v>
      </c>
      <c r="F83" s="20">
        <f>CHOOSE(MATCH('Assumptions'!$C$4,{"Base","Upside","Downside"},0),C83,D83,E83)</f>
        <v>0</v>
      </c>
      <c r="G83" s="21" t="s">
        <v>164</v>
      </c>
    </row>
    <row r="84" spans="1:7">
      <c r="A84" s="18" t="s">
        <v>165</v>
      </c>
      <c r="B84" s="16" t="s">
        <v>111</v>
      </c>
      <c r="C84" s="19">
        <v>9000</v>
      </c>
      <c r="D84" s="19">
        <v>9000</v>
      </c>
      <c r="E84" s="19">
        <v>9000</v>
      </c>
      <c r="F84" s="20">
        <f>CHOOSE(MATCH('Assumptions'!$C$4,{"Base","Upside","Downside"},0),C84,D84,E84)</f>
        <v>0</v>
      </c>
      <c r="G84" s="21" t="s">
        <v>166</v>
      </c>
    </row>
    <row r="85" spans="1:7" ht="5" customHeight="1"/>
    <row r="86" spans="1:7">
      <c r="A86" s="14" t="s">
        <v>167</v>
      </c>
      <c r="B86" s="14"/>
      <c r="C86" s="14"/>
      <c r="D86" s="14"/>
      <c r="E86" s="14"/>
      <c r="F86" s="14"/>
      <c r="G86" s="14"/>
    </row>
    <row r="87" spans="1:7">
      <c r="A87" s="18" t="s">
        <v>168</v>
      </c>
      <c r="B87" s="16" t="s">
        <v>169</v>
      </c>
      <c r="C87" s="19">
        <v>40</v>
      </c>
      <c r="D87" s="19">
        <v>35</v>
      </c>
      <c r="E87" s="19">
        <v>48</v>
      </c>
      <c r="F87" s="20">
        <f>CHOOSE(MATCH('Assumptions'!$C$4,{"Base","Upside","Downside"},0),C87,D87,E87)</f>
        <v>0</v>
      </c>
      <c r="G87" s="21"/>
    </row>
    <row r="88" spans="1:7">
      <c r="A88" s="18" t="s">
        <v>170</v>
      </c>
      <c r="B88" s="16" t="s">
        <v>169</v>
      </c>
      <c r="C88" s="19">
        <v>35</v>
      </c>
      <c r="D88" s="19">
        <v>38</v>
      </c>
      <c r="E88" s="19">
        <v>30</v>
      </c>
      <c r="F88" s="20">
        <f>CHOOSE(MATCH('Assumptions'!$C$4,{"Base","Upside","Downside"},0),C88,D88,E88)</f>
        <v>0</v>
      </c>
      <c r="G88" s="21"/>
    </row>
    <row r="89" spans="1:7">
      <c r="A89" s="18" t="s">
        <v>171</v>
      </c>
      <c r="B89" s="16" t="s">
        <v>172</v>
      </c>
      <c r="C89" s="19">
        <v>0.6</v>
      </c>
      <c r="D89" s="19">
        <v>0.8</v>
      </c>
      <c r="E89" s="19">
        <v>0.4</v>
      </c>
      <c r="F89" s="20">
        <f>CHOOSE(MATCH('Assumptions'!$C$4,{"Base","Upside","Downside"},0),C89,D89,E89)</f>
        <v>0</v>
      </c>
      <c r="G89" s="21" t="s">
        <v>173</v>
      </c>
    </row>
    <row r="90" spans="1:7">
      <c r="A90" s="18" t="s">
        <v>174</v>
      </c>
      <c r="B90" s="16" t="s">
        <v>44</v>
      </c>
      <c r="C90" s="24">
        <v>0.08</v>
      </c>
      <c r="D90" s="24">
        <v>0.06</v>
      </c>
      <c r="E90" s="24">
        <v>0.12</v>
      </c>
      <c r="F90" s="25">
        <f>CHOOSE(MATCH('Assumptions'!$C$4,{"Base","Upside","Downside"},0),C90,D90,E90)</f>
        <v>0</v>
      </c>
      <c r="G90" s="21" t="s">
        <v>175</v>
      </c>
    </row>
    <row r="91" spans="1:7">
      <c r="A91" s="18" t="s">
        <v>176</v>
      </c>
      <c r="B91" s="16" t="s">
        <v>177</v>
      </c>
      <c r="C91" s="19">
        <v>30</v>
      </c>
      <c r="D91" s="19">
        <v>30</v>
      </c>
      <c r="E91" s="19">
        <v>24</v>
      </c>
      <c r="F91" s="20">
        <f>CHOOSE(MATCH('Assumptions'!$C$4,{"Base","Upside","Downside"},0),C91,D91,E91)</f>
        <v>0</v>
      </c>
      <c r="G91" s="21"/>
    </row>
    <row r="92" spans="1:7">
      <c r="A92" s="18" t="s">
        <v>178</v>
      </c>
      <c r="B92" s="16" t="s">
        <v>44</v>
      </c>
      <c r="C92" s="24">
        <v>0.04</v>
      </c>
      <c r="D92" s="24">
        <v>0.04</v>
      </c>
      <c r="E92" s="24">
        <v>0.04</v>
      </c>
      <c r="F92" s="25">
        <f>CHOOSE(MATCH('Assumptions'!$C$4,{"Base","Upside","Downside"},0),C92,D92,E92)</f>
        <v>0</v>
      </c>
      <c r="G92" s="21" t="s">
        <v>179</v>
      </c>
    </row>
    <row r="93" spans="1:7">
      <c r="A93" s="18" t="s">
        <v>180</v>
      </c>
      <c r="B93" s="16" t="s">
        <v>44</v>
      </c>
      <c r="C93" s="24">
        <v>0.1</v>
      </c>
      <c r="D93" s="24">
        <v>0.09</v>
      </c>
      <c r="E93" s="24">
        <v>0.12</v>
      </c>
      <c r="F93" s="25">
        <f>CHOOSE(MATCH('Assumptions'!$C$4,{"Base","Upside","Downside"},0),C93,D93,E93)</f>
        <v>0</v>
      </c>
      <c r="G93" s="21"/>
    </row>
    <row r="94" spans="1:7">
      <c r="A94" s="18" t="s">
        <v>181</v>
      </c>
      <c r="B94" s="16" t="s">
        <v>39</v>
      </c>
      <c r="C94" s="19">
        <v>2500000</v>
      </c>
      <c r="D94" s="19">
        <v>3000000</v>
      </c>
      <c r="E94" s="19">
        <v>2000000</v>
      </c>
      <c r="F94" s="20">
        <f>CHOOSE(MATCH('Assumptions'!$C$4,{"Base","Upside","Downside"},0),C94,D94,E94)</f>
        <v>0</v>
      </c>
      <c r="G94" s="21"/>
    </row>
    <row r="95" spans="1:7">
      <c r="A95" s="18" t="s">
        <v>182</v>
      </c>
      <c r="B95" s="16" t="s">
        <v>111</v>
      </c>
      <c r="C95" s="19">
        <v>60000</v>
      </c>
      <c r="D95" s="19">
        <v>60000</v>
      </c>
      <c r="E95" s="19">
        <v>50000</v>
      </c>
      <c r="F95" s="20">
        <f>CHOOSE(MATCH('Assumptions'!$C$4,{"Base","Upside","Downside"},0),C95,D95,E95)</f>
        <v>0</v>
      </c>
      <c r="G95" s="21"/>
    </row>
    <row r="96" spans="1:7">
      <c r="A96" s="18" t="s">
        <v>183</v>
      </c>
      <c r="B96" s="16" t="s">
        <v>39</v>
      </c>
      <c r="C96" s="19">
        <v>10000000</v>
      </c>
      <c r="D96" s="19">
        <v>12000000</v>
      </c>
      <c r="E96" s="19">
        <v>8000000</v>
      </c>
      <c r="F96" s="20">
        <f>CHOOSE(MATCH('Assumptions'!$C$4,{"Base","Upside","Downside"},0),C96,D96,E96)</f>
        <v>0</v>
      </c>
      <c r="G96" s="21"/>
    </row>
    <row r="97" spans="1:7">
      <c r="A97" s="18" t="s">
        <v>184</v>
      </c>
      <c r="B97" s="16" t="s">
        <v>39</v>
      </c>
      <c r="C97" s="19">
        <v>20000000</v>
      </c>
      <c r="D97" s="19">
        <v>24000000</v>
      </c>
      <c r="E97" s="19">
        <v>15000000</v>
      </c>
      <c r="F97" s="20">
        <f>CHOOSE(MATCH('Assumptions'!$C$4,{"Base","Upside","Downside"},0),C97,D97,E97)</f>
        <v>0</v>
      </c>
      <c r="G97" s="21"/>
    </row>
    <row r="98" spans="1:7" ht="5" customHeight="1"/>
    <row r="100" spans="1:7" ht="30" customHeight="1">
      <c r="A100" s="21" t="s">
        <v>185</v>
      </c>
      <c r="B100" s="21"/>
      <c r="C100" s="21"/>
      <c r="D100" s="21"/>
      <c r="E100" s="21"/>
      <c r="F100" s="21"/>
      <c r="G100" s="21"/>
    </row>
  </sheetData>
  <mergeCells count="13">
    <mergeCell ref="A1:G1"/>
    <mergeCell ref="A2:G2"/>
    <mergeCell ref="A7:G7"/>
    <mergeCell ref="A12:G12"/>
    <mergeCell ref="A32:G32"/>
    <mergeCell ref="A48:G48"/>
    <mergeCell ref="A59:G59"/>
    <mergeCell ref="A64:G64"/>
    <mergeCell ref="A69:G69"/>
    <mergeCell ref="A74:G74"/>
    <mergeCell ref="A79:G79"/>
    <mergeCell ref="A86:G86"/>
    <mergeCell ref="A100:G100"/>
  </mergeCells>
  <dataValidations count="1">
    <dataValidation type="list" allowBlank="1" showInputMessage="1" showErrorMessage="1" promptTitle="Choose a scenario" prompt="Base, Upside, or Downside." sqref="C4">
      <formula1>"Base,Upside,Downside"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25"/>
  <sheetViews>
    <sheetView showGridLines="0" zoomScale="110" zoomScaleNormal="11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40.7109375" customWidth="1"/>
    <col min="2" max="2" width="30.7109375" customWidth="1"/>
    <col min="3" max="38" width="11.7109375" customWidth="1"/>
    <col min="39" max="39" width="2.7109375" customWidth="1"/>
    <col min="40" max="51" width="12.7109375" customWidth="1"/>
    <col min="52" max="52" width="2.7109375" customWidth="1"/>
    <col min="53" max="55" width="12.7109375" customWidth="1"/>
  </cols>
  <sheetData>
    <row r="1" spans="1:55" ht="22" customHeight="1">
      <c r="A1" s="1" t="s">
        <v>186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ht="16" customHeight="1">
      <c r="A2" s="2" t="s">
        <v>187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</row>
    <row r="5" spans="1:55">
      <c r="A5" s="14" t="s">
        <v>191</v>
      </c>
      <c r="B5" s="14" t="s">
        <v>192</v>
      </c>
      <c r="C5" s="14" t="s">
        <v>188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N5" s="14" t="s">
        <v>189</v>
      </c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BA5" s="14" t="s">
        <v>190</v>
      </c>
      <c r="BB5" s="14"/>
      <c r="BC5" s="14"/>
    </row>
    <row r="6" spans="1:55">
      <c r="A6" s="17"/>
      <c r="B6" s="17"/>
      <c r="C6" s="28">
        <v>46023</v>
      </c>
      <c r="D6" s="28">
        <v>46054</v>
      </c>
      <c r="E6" s="28">
        <v>46082</v>
      </c>
      <c r="F6" s="28">
        <v>46113</v>
      </c>
      <c r="G6" s="28">
        <v>46143</v>
      </c>
      <c r="H6" s="28">
        <v>46174</v>
      </c>
      <c r="I6" s="28">
        <v>46204</v>
      </c>
      <c r="J6" s="28">
        <v>46235</v>
      </c>
      <c r="K6" s="28">
        <v>46266</v>
      </c>
      <c r="L6" s="28">
        <v>46296</v>
      </c>
      <c r="M6" s="28">
        <v>46327</v>
      </c>
      <c r="N6" s="28">
        <v>46357</v>
      </c>
      <c r="O6" s="28">
        <v>46388</v>
      </c>
      <c r="P6" s="28">
        <v>46419</v>
      </c>
      <c r="Q6" s="28">
        <v>46447</v>
      </c>
      <c r="R6" s="28">
        <v>46478</v>
      </c>
      <c r="S6" s="28">
        <v>46508</v>
      </c>
      <c r="T6" s="28">
        <v>46539</v>
      </c>
      <c r="U6" s="28">
        <v>46569</v>
      </c>
      <c r="V6" s="28">
        <v>46600</v>
      </c>
      <c r="W6" s="28">
        <v>46631</v>
      </c>
      <c r="X6" s="28">
        <v>46661</v>
      </c>
      <c r="Y6" s="28">
        <v>46692</v>
      </c>
      <c r="Z6" s="28">
        <v>46722</v>
      </c>
      <c r="AA6" s="28">
        <v>46753</v>
      </c>
      <c r="AB6" s="28">
        <v>46784</v>
      </c>
      <c r="AC6" s="28">
        <v>46813</v>
      </c>
      <c r="AD6" s="28">
        <v>46844</v>
      </c>
      <c r="AE6" s="28">
        <v>46874</v>
      </c>
      <c r="AF6" s="28">
        <v>46905</v>
      </c>
      <c r="AG6" s="28">
        <v>46935</v>
      </c>
      <c r="AH6" s="28">
        <v>46966</v>
      </c>
      <c r="AI6" s="28">
        <v>46997</v>
      </c>
      <c r="AJ6" s="28">
        <v>47027</v>
      </c>
      <c r="AK6" s="28">
        <v>47058</v>
      </c>
      <c r="AL6" s="28">
        <v>47088</v>
      </c>
      <c r="AN6" s="17" t="s">
        <v>193</v>
      </c>
      <c r="AO6" s="17" t="s">
        <v>194</v>
      </c>
      <c r="AP6" s="17" t="s">
        <v>195</v>
      </c>
      <c r="AQ6" s="17" t="s">
        <v>196</v>
      </c>
      <c r="AR6" s="17" t="s">
        <v>197</v>
      </c>
      <c r="AS6" s="17" t="s">
        <v>198</v>
      </c>
      <c r="AT6" s="17" t="s">
        <v>199</v>
      </c>
      <c r="AU6" s="17" t="s">
        <v>200</v>
      </c>
      <c r="AV6" s="17" t="s">
        <v>201</v>
      </c>
      <c r="AW6" s="17" t="s">
        <v>202</v>
      </c>
      <c r="AX6" s="17" t="s">
        <v>203</v>
      </c>
      <c r="AY6" s="17" t="s">
        <v>204</v>
      </c>
      <c r="BA6" s="17" t="s">
        <v>205</v>
      </c>
      <c r="BB6" s="17" t="s">
        <v>206</v>
      </c>
      <c r="BC6" s="17" t="s">
        <v>207</v>
      </c>
    </row>
    <row r="7" spans="1:55" ht="16" customHeight="1">
      <c r="A7" s="14" t="s">
        <v>208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</row>
    <row r="8" spans="1:55">
      <c r="A8" s="18" t="s">
        <v>209</v>
      </c>
      <c r="B8" s="16" t="s">
        <v>210</v>
      </c>
      <c r="C8" s="29">
        <f>ROUND('Assumptions'!$F$60,1)</f>
        <v>0</v>
      </c>
      <c r="D8" s="29">
        <f>ROUND(C8+'Assumptions'!$F$61/3,1)</f>
        <v>0</v>
      </c>
      <c r="E8" s="29">
        <f>ROUND(D8+'Assumptions'!$F$61/3,1)</f>
        <v>0</v>
      </c>
      <c r="F8" s="29">
        <f>ROUND(E8+'Assumptions'!$F$61/3,1)</f>
        <v>0</v>
      </c>
      <c r="G8" s="29">
        <f>ROUND(F8+'Assumptions'!$F$61/3,1)</f>
        <v>0</v>
      </c>
      <c r="H8" s="29">
        <f>ROUND(G8+'Assumptions'!$F$61/3,1)</f>
        <v>0</v>
      </c>
      <c r="I8" s="29">
        <f>ROUND(H8+'Assumptions'!$F$61/3,1)</f>
        <v>0</v>
      </c>
      <c r="J8" s="29">
        <f>ROUND(I8+'Assumptions'!$F$61/3,1)</f>
        <v>0</v>
      </c>
      <c r="K8" s="29">
        <f>ROUND(J8+'Assumptions'!$F$61/3,1)</f>
        <v>0</v>
      </c>
      <c r="L8" s="29">
        <f>ROUND(K8+'Assumptions'!$F$61/3,1)</f>
        <v>0</v>
      </c>
      <c r="M8" s="29">
        <f>ROUND(L8+'Assumptions'!$F$61/3,1)</f>
        <v>0</v>
      </c>
      <c r="N8" s="29">
        <f>ROUND(M8+'Assumptions'!$F$61/3,1)</f>
        <v>0</v>
      </c>
      <c r="O8" s="29">
        <f>ROUND(N8+'Assumptions'!$F$61/3,1)</f>
        <v>0</v>
      </c>
      <c r="P8" s="29">
        <f>ROUND(O8+'Assumptions'!$F$61/3,1)</f>
        <v>0</v>
      </c>
      <c r="Q8" s="29">
        <f>ROUND(P8+'Assumptions'!$F$61/3,1)</f>
        <v>0</v>
      </c>
      <c r="R8" s="29">
        <f>ROUND(Q8+'Assumptions'!$F$61/3,1)</f>
        <v>0</v>
      </c>
      <c r="S8" s="29">
        <f>ROUND(R8+'Assumptions'!$F$61/3,1)</f>
        <v>0</v>
      </c>
      <c r="T8" s="29">
        <f>ROUND(S8+'Assumptions'!$F$61/3,1)</f>
        <v>0</v>
      </c>
      <c r="U8" s="29">
        <f>ROUND(T8+'Assumptions'!$F$61/3,1)</f>
        <v>0</v>
      </c>
      <c r="V8" s="29">
        <f>ROUND(U8+'Assumptions'!$F$61/3,1)</f>
        <v>0</v>
      </c>
      <c r="W8" s="29">
        <f>ROUND(V8+'Assumptions'!$F$61/3,1)</f>
        <v>0</v>
      </c>
      <c r="X8" s="29">
        <f>ROUND(W8+'Assumptions'!$F$61/3,1)</f>
        <v>0</v>
      </c>
      <c r="Y8" s="29">
        <f>ROUND(X8+'Assumptions'!$F$61/3,1)</f>
        <v>0</v>
      </c>
      <c r="Z8" s="29">
        <f>ROUND(Y8+'Assumptions'!$F$61/3,1)</f>
        <v>0</v>
      </c>
      <c r="AA8" s="29">
        <f>ROUND(Z8+'Assumptions'!$F$61/3,1)</f>
        <v>0</v>
      </c>
      <c r="AB8" s="29">
        <f>ROUND(AA8+'Assumptions'!$F$61/3,1)</f>
        <v>0</v>
      </c>
      <c r="AC8" s="29">
        <f>ROUND(AB8+'Assumptions'!$F$61/3,1)</f>
        <v>0</v>
      </c>
      <c r="AD8" s="29">
        <f>ROUND(AC8+'Assumptions'!$F$61/3,1)</f>
        <v>0</v>
      </c>
      <c r="AE8" s="29">
        <f>ROUND(AD8+'Assumptions'!$F$61/3,1)</f>
        <v>0</v>
      </c>
      <c r="AF8" s="29">
        <f>ROUND(AE8+'Assumptions'!$F$61/3,1)</f>
        <v>0</v>
      </c>
      <c r="AG8" s="29">
        <f>ROUND(AF8+'Assumptions'!$F$61/3,1)</f>
        <v>0</v>
      </c>
      <c r="AH8" s="29">
        <f>ROUND(AG8+'Assumptions'!$F$61/3,1)</f>
        <v>0</v>
      </c>
      <c r="AI8" s="29">
        <f>ROUND(AH8+'Assumptions'!$F$61/3,1)</f>
        <v>0</v>
      </c>
      <c r="AJ8" s="29">
        <f>ROUND(AI8+'Assumptions'!$F$61/3,1)</f>
        <v>0</v>
      </c>
      <c r="AK8" s="29">
        <f>ROUND(AJ8+'Assumptions'!$F$61/3,1)</f>
        <v>0</v>
      </c>
      <c r="AL8" s="29">
        <f>ROUND(AK8+'Assumptions'!$F$61/3,1)</f>
        <v>0</v>
      </c>
      <c r="AN8" s="29">
        <f>E8</f>
        <v>0</v>
      </c>
      <c r="AO8" s="29">
        <f>H8</f>
        <v>0</v>
      </c>
      <c r="AP8" s="29">
        <f>K8</f>
        <v>0</v>
      </c>
      <c r="AQ8" s="29">
        <f>N8</f>
        <v>0</v>
      </c>
      <c r="AR8" s="29">
        <f>Q8</f>
        <v>0</v>
      </c>
      <c r="AS8" s="29">
        <f>T8</f>
        <v>0</v>
      </c>
      <c r="AT8" s="29">
        <f>W8</f>
        <v>0</v>
      </c>
      <c r="AU8" s="29">
        <f>Z8</f>
        <v>0</v>
      </c>
      <c r="AV8" s="29">
        <f>AC8</f>
        <v>0</v>
      </c>
      <c r="AW8" s="29">
        <f>AF8</f>
        <v>0</v>
      </c>
      <c r="AX8" s="29">
        <f>AI8</f>
        <v>0</v>
      </c>
      <c r="AY8" s="29">
        <f>AL8</f>
        <v>0</v>
      </c>
      <c r="BA8" s="29">
        <f>N8</f>
        <v>0</v>
      </c>
      <c r="BB8" s="29">
        <f>Z8</f>
        <v>0</v>
      </c>
      <c r="BC8" s="29">
        <f>AL8</f>
        <v>0</v>
      </c>
    </row>
    <row r="9" spans="1:55">
      <c r="A9" s="18" t="s">
        <v>211</v>
      </c>
      <c r="B9" s="16" t="s">
        <v>212</v>
      </c>
      <c r="C9" s="20">
        <f>C8*'Assumptions'!$F$62</f>
        <v>0</v>
      </c>
      <c r="D9" s="20">
        <f>D8*'Assumptions'!$F$62</f>
        <v>0</v>
      </c>
      <c r="E9" s="20">
        <f>E8*'Assumptions'!$F$62</f>
        <v>0</v>
      </c>
      <c r="F9" s="20">
        <f>F8*'Assumptions'!$F$62</f>
        <v>0</v>
      </c>
      <c r="G9" s="20">
        <f>G8*'Assumptions'!$F$62</f>
        <v>0</v>
      </c>
      <c r="H9" s="20">
        <f>H8*'Assumptions'!$F$62</f>
        <v>0</v>
      </c>
      <c r="I9" s="20">
        <f>I8*'Assumptions'!$F$62</f>
        <v>0</v>
      </c>
      <c r="J9" s="20">
        <f>J8*'Assumptions'!$F$62</f>
        <v>0</v>
      </c>
      <c r="K9" s="20">
        <f>K8*'Assumptions'!$F$62</f>
        <v>0</v>
      </c>
      <c r="L9" s="20">
        <f>L8*'Assumptions'!$F$62</f>
        <v>0</v>
      </c>
      <c r="M9" s="20">
        <f>M8*'Assumptions'!$F$62</f>
        <v>0</v>
      </c>
      <c r="N9" s="20">
        <f>N8*'Assumptions'!$F$62</f>
        <v>0</v>
      </c>
      <c r="O9" s="20">
        <f>O8*'Assumptions'!$F$62</f>
        <v>0</v>
      </c>
      <c r="P9" s="20">
        <f>P8*'Assumptions'!$F$62</f>
        <v>0</v>
      </c>
      <c r="Q9" s="20">
        <f>Q8*'Assumptions'!$F$62</f>
        <v>0</v>
      </c>
      <c r="R9" s="20">
        <f>R8*'Assumptions'!$F$62</f>
        <v>0</v>
      </c>
      <c r="S9" s="20">
        <f>S8*'Assumptions'!$F$62</f>
        <v>0</v>
      </c>
      <c r="T9" s="20">
        <f>T8*'Assumptions'!$F$62</f>
        <v>0</v>
      </c>
      <c r="U9" s="20">
        <f>U8*'Assumptions'!$F$62</f>
        <v>0</v>
      </c>
      <c r="V9" s="20">
        <f>V8*'Assumptions'!$F$62</f>
        <v>0</v>
      </c>
      <c r="W9" s="20">
        <f>W8*'Assumptions'!$F$62</f>
        <v>0</v>
      </c>
      <c r="X9" s="20">
        <f>X8*'Assumptions'!$F$62</f>
        <v>0</v>
      </c>
      <c r="Y9" s="20">
        <f>Y8*'Assumptions'!$F$62</f>
        <v>0</v>
      </c>
      <c r="Z9" s="20">
        <f>Z8*'Assumptions'!$F$62</f>
        <v>0</v>
      </c>
      <c r="AA9" s="20">
        <f>AA8*'Assumptions'!$F$62</f>
        <v>0</v>
      </c>
      <c r="AB9" s="20">
        <f>AB8*'Assumptions'!$F$62</f>
        <v>0</v>
      </c>
      <c r="AC9" s="20">
        <f>AC8*'Assumptions'!$F$62</f>
        <v>0</v>
      </c>
      <c r="AD9" s="20">
        <f>AD8*'Assumptions'!$F$62</f>
        <v>0</v>
      </c>
      <c r="AE9" s="20">
        <f>AE8*'Assumptions'!$F$62</f>
        <v>0</v>
      </c>
      <c r="AF9" s="20">
        <f>AF8*'Assumptions'!$F$62</f>
        <v>0</v>
      </c>
      <c r="AG9" s="20">
        <f>AG8*'Assumptions'!$F$62</f>
        <v>0</v>
      </c>
      <c r="AH9" s="20">
        <f>AH8*'Assumptions'!$F$62</f>
        <v>0</v>
      </c>
      <c r="AI9" s="20">
        <f>AI8*'Assumptions'!$F$62</f>
        <v>0</v>
      </c>
      <c r="AJ9" s="20">
        <f>AJ8*'Assumptions'!$F$62</f>
        <v>0</v>
      </c>
      <c r="AK9" s="20">
        <f>AK8*'Assumptions'!$F$62</f>
        <v>0</v>
      </c>
      <c r="AL9" s="20">
        <f>AL8*'Assumptions'!$F$62</f>
        <v>0</v>
      </c>
      <c r="AN9" s="20">
        <f>SUM(C9:E9)</f>
        <v>0</v>
      </c>
      <c r="AO9" s="20">
        <f>SUM(F9:H9)</f>
        <v>0</v>
      </c>
      <c r="AP9" s="20">
        <f>SUM(I9:K9)</f>
        <v>0</v>
      </c>
      <c r="AQ9" s="20">
        <f>SUM(L9:N9)</f>
        <v>0</v>
      </c>
      <c r="AR9" s="20">
        <f>SUM(O9:Q9)</f>
        <v>0</v>
      </c>
      <c r="AS9" s="20">
        <f>SUM(R9:T9)</f>
        <v>0</v>
      </c>
      <c r="AT9" s="20">
        <f>SUM(U9:W9)</f>
        <v>0</v>
      </c>
      <c r="AU9" s="20">
        <f>SUM(X9:Z9)</f>
        <v>0</v>
      </c>
      <c r="AV9" s="20">
        <f>SUM(AA9:AC9)</f>
        <v>0</v>
      </c>
      <c r="AW9" s="20">
        <f>SUM(AD9:AF9)</f>
        <v>0</v>
      </c>
      <c r="AX9" s="20">
        <f>SUM(AG9:AI9)</f>
        <v>0</v>
      </c>
      <c r="AY9" s="20">
        <f>SUM(AJ9:AL9)</f>
        <v>0</v>
      </c>
      <c r="BA9" s="20">
        <f>SUM(C9:N9)</f>
        <v>0</v>
      </c>
      <c r="BB9" s="20">
        <f>SUM(O9:Z9)</f>
        <v>0</v>
      </c>
      <c r="BC9" s="20">
        <f>SUM(AA9:AL9)</f>
        <v>0</v>
      </c>
    </row>
    <row r="10" spans="1:55" ht="5" customHeight="1"/>
    <row r="11" spans="1:55" ht="16" customHeight="1">
      <c r="A11" s="14" t="s">
        <v>213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</row>
    <row r="12" spans="1:55">
      <c r="A12" s="18" t="s">
        <v>214</v>
      </c>
      <c r="B12" s="16" t="s">
        <v>215</v>
      </c>
      <c r="C12" s="29">
        <f>ROUND('Assumptions'!$F$65,1)</f>
        <v>0</v>
      </c>
      <c r="D12" s="29">
        <f>ROUND(C12+'Assumptions'!$F$66/3,1)</f>
        <v>0</v>
      </c>
      <c r="E12" s="29">
        <f>ROUND(D12+'Assumptions'!$F$66/3,1)</f>
        <v>0</v>
      </c>
      <c r="F12" s="29">
        <f>ROUND(E12+'Assumptions'!$F$66/3,1)</f>
        <v>0</v>
      </c>
      <c r="G12" s="29">
        <f>ROUND(F12+'Assumptions'!$F$66/3,1)</f>
        <v>0</v>
      </c>
      <c r="H12" s="29">
        <f>ROUND(G12+'Assumptions'!$F$66/3,1)</f>
        <v>0</v>
      </c>
      <c r="I12" s="29">
        <f>ROUND(H12+'Assumptions'!$F$66/3,1)</f>
        <v>0</v>
      </c>
      <c r="J12" s="29">
        <f>ROUND(I12+'Assumptions'!$F$66/3,1)</f>
        <v>0</v>
      </c>
      <c r="K12" s="29">
        <f>ROUND(J12+'Assumptions'!$F$66/3,1)</f>
        <v>0</v>
      </c>
      <c r="L12" s="29">
        <f>ROUND(K12+'Assumptions'!$F$66/3,1)</f>
        <v>0</v>
      </c>
      <c r="M12" s="29">
        <f>ROUND(L12+'Assumptions'!$F$66/3,1)</f>
        <v>0</v>
      </c>
      <c r="N12" s="29">
        <f>ROUND(M12+'Assumptions'!$F$66/3,1)</f>
        <v>0</v>
      </c>
      <c r="O12" s="29">
        <f>ROUND(N12+'Assumptions'!$F$66/3,1)</f>
        <v>0</v>
      </c>
      <c r="P12" s="29">
        <f>ROUND(O12+'Assumptions'!$F$66/3,1)</f>
        <v>0</v>
      </c>
      <c r="Q12" s="29">
        <f>ROUND(P12+'Assumptions'!$F$66/3,1)</f>
        <v>0</v>
      </c>
      <c r="R12" s="29">
        <f>ROUND(Q12+'Assumptions'!$F$66/3,1)</f>
        <v>0</v>
      </c>
      <c r="S12" s="29">
        <f>ROUND(R12+'Assumptions'!$F$66/3,1)</f>
        <v>0</v>
      </c>
      <c r="T12" s="29">
        <f>ROUND(S12+'Assumptions'!$F$66/3,1)</f>
        <v>0</v>
      </c>
      <c r="U12" s="29">
        <f>ROUND(T12+'Assumptions'!$F$66/3,1)</f>
        <v>0</v>
      </c>
      <c r="V12" s="29">
        <f>ROUND(U12+'Assumptions'!$F$66/3,1)</f>
        <v>0</v>
      </c>
      <c r="W12" s="29">
        <f>ROUND(V12+'Assumptions'!$F$66/3,1)</f>
        <v>0</v>
      </c>
      <c r="X12" s="29">
        <f>ROUND(W12+'Assumptions'!$F$66/3,1)</f>
        <v>0</v>
      </c>
      <c r="Y12" s="29">
        <f>ROUND(X12+'Assumptions'!$F$66/3,1)</f>
        <v>0</v>
      </c>
      <c r="Z12" s="29">
        <f>ROUND(Y12+'Assumptions'!$F$66/3,1)</f>
        <v>0</v>
      </c>
      <c r="AA12" s="29">
        <f>ROUND(Z12+'Assumptions'!$F$66/3,1)</f>
        <v>0</v>
      </c>
      <c r="AB12" s="29">
        <f>ROUND(AA12+'Assumptions'!$F$66/3,1)</f>
        <v>0</v>
      </c>
      <c r="AC12" s="29">
        <f>ROUND(AB12+'Assumptions'!$F$66/3,1)</f>
        <v>0</v>
      </c>
      <c r="AD12" s="29">
        <f>ROUND(AC12+'Assumptions'!$F$66/3,1)</f>
        <v>0</v>
      </c>
      <c r="AE12" s="29">
        <f>ROUND(AD12+'Assumptions'!$F$66/3,1)</f>
        <v>0</v>
      </c>
      <c r="AF12" s="29">
        <f>ROUND(AE12+'Assumptions'!$F$66/3,1)</f>
        <v>0</v>
      </c>
      <c r="AG12" s="29">
        <f>ROUND(AF12+'Assumptions'!$F$66/3,1)</f>
        <v>0</v>
      </c>
      <c r="AH12" s="29">
        <f>ROUND(AG12+'Assumptions'!$F$66/3,1)</f>
        <v>0</v>
      </c>
      <c r="AI12" s="29">
        <f>ROUND(AH12+'Assumptions'!$F$66/3,1)</f>
        <v>0</v>
      </c>
      <c r="AJ12" s="29">
        <f>ROUND(AI12+'Assumptions'!$F$66/3,1)</f>
        <v>0</v>
      </c>
      <c r="AK12" s="29">
        <f>ROUND(AJ12+'Assumptions'!$F$66/3,1)</f>
        <v>0</v>
      </c>
      <c r="AL12" s="29">
        <f>ROUND(AK12+'Assumptions'!$F$66/3,1)</f>
        <v>0</v>
      </c>
      <c r="AN12" s="29">
        <f>E12</f>
        <v>0</v>
      </c>
      <c r="AO12" s="29">
        <f>H12</f>
        <v>0</v>
      </c>
      <c r="AP12" s="29">
        <f>K12</f>
        <v>0</v>
      </c>
      <c r="AQ12" s="29">
        <f>N12</f>
        <v>0</v>
      </c>
      <c r="AR12" s="29">
        <f>Q12</f>
        <v>0</v>
      </c>
      <c r="AS12" s="29">
        <f>T12</f>
        <v>0</v>
      </c>
      <c r="AT12" s="29">
        <f>W12</f>
        <v>0</v>
      </c>
      <c r="AU12" s="29">
        <f>Z12</f>
        <v>0</v>
      </c>
      <c r="AV12" s="29">
        <f>AC12</f>
        <v>0</v>
      </c>
      <c r="AW12" s="29">
        <f>AF12</f>
        <v>0</v>
      </c>
      <c r="AX12" s="29">
        <f>AI12</f>
        <v>0</v>
      </c>
      <c r="AY12" s="29">
        <f>AL12</f>
        <v>0</v>
      </c>
      <c r="BA12" s="29">
        <f>N12</f>
        <v>0</v>
      </c>
      <c r="BB12" s="29">
        <f>Z12</f>
        <v>0</v>
      </c>
      <c r="BC12" s="29">
        <f>AL12</f>
        <v>0</v>
      </c>
    </row>
    <row r="13" spans="1:55">
      <c r="A13" s="18" t="s">
        <v>216</v>
      </c>
      <c r="B13" s="16" t="s">
        <v>212</v>
      </c>
      <c r="C13" s="20">
        <f>C12*'Assumptions'!$F$67</f>
        <v>0</v>
      </c>
      <c r="D13" s="20">
        <f>D12*'Assumptions'!$F$67</f>
        <v>0</v>
      </c>
      <c r="E13" s="20">
        <f>E12*'Assumptions'!$F$67</f>
        <v>0</v>
      </c>
      <c r="F13" s="20">
        <f>F12*'Assumptions'!$F$67</f>
        <v>0</v>
      </c>
      <c r="G13" s="20">
        <f>G12*'Assumptions'!$F$67</f>
        <v>0</v>
      </c>
      <c r="H13" s="20">
        <f>H12*'Assumptions'!$F$67</f>
        <v>0</v>
      </c>
      <c r="I13" s="20">
        <f>I12*'Assumptions'!$F$67</f>
        <v>0</v>
      </c>
      <c r="J13" s="20">
        <f>J12*'Assumptions'!$F$67</f>
        <v>0</v>
      </c>
      <c r="K13" s="20">
        <f>K12*'Assumptions'!$F$67</f>
        <v>0</v>
      </c>
      <c r="L13" s="20">
        <f>L12*'Assumptions'!$F$67</f>
        <v>0</v>
      </c>
      <c r="M13" s="20">
        <f>M12*'Assumptions'!$F$67</f>
        <v>0</v>
      </c>
      <c r="N13" s="20">
        <f>N12*'Assumptions'!$F$67</f>
        <v>0</v>
      </c>
      <c r="O13" s="20">
        <f>O12*'Assumptions'!$F$67</f>
        <v>0</v>
      </c>
      <c r="P13" s="20">
        <f>P12*'Assumptions'!$F$67</f>
        <v>0</v>
      </c>
      <c r="Q13" s="20">
        <f>Q12*'Assumptions'!$F$67</f>
        <v>0</v>
      </c>
      <c r="R13" s="20">
        <f>R12*'Assumptions'!$F$67</f>
        <v>0</v>
      </c>
      <c r="S13" s="20">
        <f>S12*'Assumptions'!$F$67</f>
        <v>0</v>
      </c>
      <c r="T13" s="20">
        <f>T12*'Assumptions'!$F$67</f>
        <v>0</v>
      </c>
      <c r="U13" s="20">
        <f>U12*'Assumptions'!$F$67</f>
        <v>0</v>
      </c>
      <c r="V13" s="20">
        <f>V12*'Assumptions'!$F$67</f>
        <v>0</v>
      </c>
      <c r="W13" s="20">
        <f>W12*'Assumptions'!$F$67</f>
        <v>0</v>
      </c>
      <c r="X13" s="20">
        <f>X12*'Assumptions'!$F$67</f>
        <v>0</v>
      </c>
      <c r="Y13" s="20">
        <f>Y12*'Assumptions'!$F$67</f>
        <v>0</v>
      </c>
      <c r="Z13" s="20">
        <f>Z12*'Assumptions'!$F$67</f>
        <v>0</v>
      </c>
      <c r="AA13" s="20">
        <f>AA12*'Assumptions'!$F$67</f>
        <v>0</v>
      </c>
      <c r="AB13" s="20">
        <f>AB12*'Assumptions'!$F$67</f>
        <v>0</v>
      </c>
      <c r="AC13" s="20">
        <f>AC12*'Assumptions'!$F$67</f>
        <v>0</v>
      </c>
      <c r="AD13" s="20">
        <f>AD12*'Assumptions'!$F$67</f>
        <v>0</v>
      </c>
      <c r="AE13" s="20">
        <f>AE12*'Assumptions'!$F$67</f>
        <v>0</v>
      </c>
      <c r="AF13" s="20">
        <f>AF12*'Assumptions'!$F$67</f>
        <v>0</v>
      </c>
      <c r="AG13" s="20">
        <f>AG12*'Assumptions'!$F$67</f>
        <v>0</v>
      </c>
      <c r="AH13" s="20">
        <f>AH12*'Assumptions'!$F$67</f>
        <v>0</v>
      </c>
      <c r="AI13" s="20">
        <f>AI12*'Assumptions'!$F$67</f>
        <v>0</v>
      </c>
      <c r="AJ13" s="20">
        <f>AJ12*'Assumptions'!$F$67</f>
        <v>0</v>
      </c>
      <c r="AK13" s="20">
        <f>AK12*'Assumptions'!$F$67</f>
        <v>0</v>
      </c>
      <c r="AL13" s="20">
        <f>AL12*'Assumptions'!$F$67</f>
        <v>0</v>
      </c>
      <c r="AN13" s="20">
        <f>SUM(C13:E13)</f>
        <v>0</v>
      </c>
      <c r="AO13" s="20">
        <f>SUM(F13:H13)</f>
        <v>0</v>
      </c>
      <c r="AP13" s="20">
        <f>SUM(I13:K13)</f>
        <v>0</v>
      </c>
      <c r="AQ13" s="20">
        <f>SUM(L13:N13)</f>
        <v>0</v>
      </c>
      <c r="AR13" s="20">
        <f>SUM(O13:Q13)</f>
        <v>0</v>
      </c>
      <c r="AS13" s="20">
        <f>SUM(R13:T13)</f>
        <v>0</v>
      </c>
      <c r="AT13" s="20">
        <f>SUM(U13:W13)</f>
        <v>0</v>
      </c>
      <c r="AU13" s="20">
        <f>SUM(X13:Z13)</f>
        <v>0</v>
      </c>
      <c r="AV13" s="20">
        <f>SUM(AA13:AC13)</f>
        <v>0</v>
      </c>
      <c r="AW13" s="20">
        <f>SUM(AD13:AF13)</f>
        <v>0</v>
      </c>
      <c r="AX13" s="20">
        <f>SUM(AG13:AI13)</f>
        <v>0</v>
      </c>
      <c r="AY13" s="20">
        <f>SUM(AJ13:AL13)</f>
        <v>0</v>
      </c>
      <c r="BA13" s="20">
        <f>SUM(C13:N13)</f>
        <v>0</v>
      </c>
      <c r="BB13" s="20">
        <f>SUM(O13:Z13)</f>
        <v>0</v>
      </c>
      <c r="BC13" s="20">
        <f>SUM(AA13:AL13)</f>
        <v>0</v>
      </c>
    </row>
    <row r="14" spans="1:55">
      <c r="A14" s="18" t="s">
        <v>217</v>
      </c>
      <c r="B14" s="16" t="s">
        <v>218</v>
      </c>
      <c r="C14" s="29">
        <f>ROUND('Assumptions'!$F$70,1)</f>
        <v>0</v>
      </c>
      <c r="D14" s="29">
        <f>ROUND(C14+'Assumptions'!$F$71/3,1)</f>
        <v>0</v>
      </c>
      <c r="E14" s="29">
        <f>ROUND(D14+'Assumptions'!$F$71/3,1)</f>
        <v>0</v>
      </c>
      <c r="F14" s="29">
        <f>ROUND(E14+'Assumptions'!$F$71/3,1)</f>
        <v>0</v>
      </c>
      <c r="G14" s="29">
        <f>ROUND(F14+'Assumptions'!$F$71/3,1)</f>
        <v>0</v>
      </c>
      <c r="H14" s="29">
        <f>ROUND(G14+'Assumptions'!$F$71/3,1)</f>
        <v>0</v>
      </c>
      <c r="I14" s="29">
        <f>ROUND(H14+'Assumptions'!$F$71/3,1)</f>
        <v>0</v>
      </c>
      <c r="J14" s="29">
        <f>ROUND(I14+'Assumptions'!$F$71/3,1)</f>
        <v>0</v>
      </c>
      <c r="K14" s="29">
        <f>ROUND(J14+'Assumptions'!$F$71/3,1)</f>
        <v>0</v>
      </c>
      <c r="L14" s="29">
        <f>ROUND(K14+'Assumptions'!$F$71/3,1)</f>
        <v>0</v>
      </c>
      <c r="M14" s="29">
        <f>ROUND(L14+'Assumptions'!$F$71/3,1)</f>
        <v>0</v>
      </c>
      <c r="N14" s="29">
        <f>ROUND(M14+'Assumptions'!$F$71/3,1)</f>
        <v>0</v>
      </c>
      <c r="O14" s="29">
        <f>ROUND(N14+'Assumptions'!$F$71/3,1)</f>
        <v>0</v>
      </c>
      <c r="P14" s="29">
        <f>ROUND(O14+'Assumptions'!$F$71/3,1)</f>
        <v>0</v>
      </c>
      <c r="Q14" s="29">
        <f>ROUND(P14+'Assumptions'!$F$71/3,1)</f>
        <v>0</v>
      </c>
      <c r="R14" s="29">
        <f>ROUND(Q14+'Assumptions'!$F$71/3,1)</f>
        <v>0</v>
      </c>
      <c r="S14" s="29">
        <f>ROUND(R14+'Assumptions'!$F$71/3,1)</f>
        <v>0</v>
      </c>
      <c r="T14" s="29">
        <f>ROUND(S14+'Assumptions'!$F$71/3,1)</f>
        <v>0</v>
      </c>
      <c r="U14" s="29">
        <f>ROUND(T14+'Assumptions'!$F$71/3,1)</f>
        <v>0</v>
      </c>
      <c r="V14" s="29">
        <f>ROUND(U14+'Assumptions'!$F$71/3,1)</f>
        <v>0</v>
      </c>
      <c r="W14" s="29">
        <f>ROUND(V14+'Assumptions'!$F$71/3,1)</f>
        <v>0</v>
      </c>
      <c r="X14" s="29">
        <f>ROUND(W14+'Assumptions'!$F$71/3,1)</f>
        <v>0</v>
      </c>
      <c r="Y14" s="29">
        <f>ROUND(X14+'Assumptions'!$F$71/3,1)</f>
        <v>0</v>
      </c>
      <c r="Z14" s="29">
        <f>ROUND(Y14+'Assumptions'!$F$71/3,1)</f>
        <v>0</v>
      </c>
      <c r="AA14" s="29">
        <f>ROUND(Z14+'Assumptions'!$F$71/3,1)</f>
        <v>0</v>
      </c>
      <c r="AB14" s="29">
        <f>ROUND(AA14+'Assumptions'!$F$71/3,1)</f>
        <v>0</v>
      </c>
      <c r="AC14" s="29">
        <f>ROUND(AB14+'Assumptions'!$F$71/3,1)</f>
        <v>0</v>
      </c>
      <c r="AD14" s="29">
        <f>ROUND(AC14+'Assumptions'!$F$71/3,1)</f>
        <v>0</v>
      </c>
      <c r="AE14" s="29">
        <f>ROUND(AD14+'Assumptions'!$F$71/3,1)</f>
        <v>0</v>
      </c>
      <c r="AF14" s="29">
        <f>ROUND(AE14+'Assumptions'!$F$71/3,1)</f>
        <v>0</v>
      </c>
      <c r="AG14" s="29">
        <f>ROUND(AF14+'Assumptions'!$F$71/3,1)</f>
        <v>0</v>
      </c>
      <c r="AH14" s="29">
        <f>ROUND(AG14+'Assumptions'!$F$71/3,1)</f>
        <v>0</v>
      </c>
      <c r="AI14" s="29">
        <f>ROUND(AH14+'Assumptions'!$F$71/3,1)</f>
        <v>0</v>
      </c>
      <c r="AJ14" s="29">
        <f>ROUND(AI14+'Assumptions'!$F$71/3,1)</f>
        <v>0</v>
      </c>
      <c r="AK14" s="29">
        <f>ROUND(AJ14+'Assumptions'!$F$71/3,1)</f>
        <v>0</v>
      </c>
      <c r="AL14" s="29">
        <f>ROUND(AK14+'Assumptions'!$F$71/3,1)</f>
        <v>0</v>
      </c>
      <c r="AN14" s="29">
        <f>E14</f>
        <v>0</v>
      </c>
      <c r="AO14" s="29">
        <f>H14</f>
        <v>0</v>
      </c>
      <c r="AP14" s="29">
        <f>K14</f>
        <v>0</v>
      </c>
      <c r="AQ14" s="29">
        <f>N14</f>
        <v>0</v>
      </c>
      <c r="AR14" s="29">
        <f>Q14</f>
        <v>0</v>
      </c>
      <c r="AS14" s="29">
        <f>T14</f>
        <v>0</v>
      </c>
      <c r="AT14" s="29">
        <f>W14</f>
        <v>0</v>
      </c>
      <c r="AU14" s="29">
        <f>Z14</f>
        <v>0</v>
      </c>
      <c r="AV14" s="29">
        <f>AC14</f>
        <v>0</v>
      </c>
      <c r="AW14" s="29">
        <f>AF14</f>
        <v>0</v>
      </c>
      <c r="AX14" s="29">
        <f>AI14</f>
        <v>0</v>
      </c>
      <c r="AY14" s="29">
        <f>AL14</f>
        <v>0</v>
      </c>
      <c r="BA14" s="29">
        <f>N14</f>
        <v>0</v>
      </c>
      <c r="BB14" s="29">
        <f>Z14</f>
        <v>0</v>
      </c>
      <c r="BC14" s="29">
        <f>AL14</f>
        <v>0</v>
      </c>
    </row>
    <row r="15" spans="1:55">
      <c r="A15" s="18" t="s">
        <v>219</v>
      </c>
      <c r="B15" s="16" t="s">
        <v>212</v>
      </c>
      <c r="C15" s="20">
        <f>C14*'Assumptions'!$F$72</f>
        <v>0</v>
      </c>
      <c r="D15" s="20">
        <f>D14*'Assumptions'!$F$72</f>
        <v>0</v>
      </c>
      <c r="E15" s="20">
        <f>E14*'Assumptions'!$F$72</f>
        <v>0</v>
      </c>
      <c r="F15" s="20">
        <f>F14*'Assumptions'!$F$72</f>
        <v>0</v>
      </c>
      <c r="G15" s="20">
        <f>G14*'Assumptions'!$F$72</f>
        <v>0</v>
      </c>
      <c r="H15" s="20">
        <f>H14*'Assumptions'!$F$72</f>
        <v>0</v>
      </c>
      <c r="I15" s="20">
        <f>I14*'Assumptions'!$F$72</f>
        <v>0</v>
      </c>
      <c r="J15" s="20">
        <f>J14*'Assumptions'!$F$72</f>
        <v>0</v>
      </c>
      <c r="K15" s="20">
        <f>K14*'Assumptions'!$F$72</f>
        <v>0</v>
      </c>
      <c r="L15" s="20">
        <f>L14*'Assumptions'!$F$72</f>
        <v>0</v>
      </c>
      <c r="M15" s="20">
        <f>M14*'Assumptions'!$F$72</f>
        <v>0</v>
      </c>
      <c r="N15" s="20">
        <f>N14*'Assumptions'!$F$72</f>
        <v>0</v>
      </c>
      <c r="O15" s="20">
        <f>O14*'Assumptions'!$F$72</f>
        <v>0</v>
      </c>
      <c r="P15" s="20">
        <f>P14*'Assumptions'!$F$72</f>
        <v>0</v>
      </c>
      <c r="Q15" s="20">
        <f>Q14*'Assumptions'!$F$72</f>
        <v>0</v>
      </c>
      <c r="R15" s="20">
        <f>R14*'Assumptions'!$F$72</f>
        <v>0</v>
      </c>
      <c r="S15" s="20">
        <f>S14*'Assumptions'!$F$72</f>
        <v>0</v>
      </c>
      <c r="T15" s="20">
        <f>T14*'Assumptions'!$F$72</f>
        <v>0</v>
      </c>
      <c r="U15" s="20">
        <f>U14*'Assumptions'!$F$72</f>
        <v>0</v>
      </c>
      <c r="V15" s="20">
        <f>V14*'Assumptions'!$F$72</f>
        <v>0</v>
      </c>
      <c r="W15" s="20">
        <f>W14*'Assumptions'!$F$72</f>
        <v>0</v>
      </c>
      <c r="X15" s="20">
        <f>X14*'Assumptions'!$F$72</f>
        <v>0</v>
      </c>
      <c r="Y15" s="20">
        <f>Y14*'Assumptions'!$F$72</f>
        <v>0</v>
      </c>
      <c r="Z15" s="20">
        <f>Z14*'Assumptions'!$F$72</f>
        <v>0</v>
      </c>
      <c r="AA15" s="20">
        <f>AA14*'Assumptions'!$F$72</f>
        <v>0</v>
      </c>
      <c r="AB15" s="20">
        <f>AB14*'Assumptions'!$F$72</f>
        <v>0</v>
      </c>
      <c r="AC15" s="20">
        <f>AC14*'Assumptions'!$F$72</f>
        <v>0</v>
      </c>
      <c r="AD15" s="20">
        <f>AD14*'Assumptions'!$F$72</f>
        <v>0</v>
      </c>
      <c r="AE15" s="20">
        <f>AE14*'Assumptions'!$F$72</f>
        <v>0</v>
      </c>
      <c r="AF15" s="20">
        <f>AF14*'Assumptions'!$F$72</f>
        <v>0</v>
      </c>
      <c r="AG15" s="20">
        <f>AG14*'Assumptions'!$F$72</f>
        <v>0</v>
      </c>
      <c r="AH15" s="20">
        <f>AH14*'Assumptions'!$F$72</f>
        <v>0</v>
      </c>
      <c r="AI15" s="20">
        <f>AI14*'Assumptions'!$F$72</f>
        <v>0</v>
      </c>
      <c r="AJ15" s="20">
        <f>AJ14*'Assumptions'!$F$72</f>
        <v>0</v>
      </c>
      <c r="AK15" s="20">
        <f>AK14*'Assumptions'!$F$72</f>
        <v>0</v>
      </c>
      <c r="AL15" s="20">
        <f>AL14*'Assumptions'!$F$72</f>
        <v>0</v>
      </c>
      <c r="AN15" s="20">
        <f>SUM(C15:E15)</f>
        <v>0</v>
      </c>
      <c r="AO15" s="20">
        <f>SUM(F15:H15)</f>
        <v>0</v>
      </c>
      <c r="AP15" s="20">
        <f>SUM(I15:K15)</f>
        <v>0</v>
      </c>
      <c r="AQ15" s="20">
        <f>SUM(L15:N15)</f>
        <v>0</v>
      </c>
      <c r="AR15" s="20">
        <f>SUM(O15:Q15)</f>
        <v>0</v>
      </c>
      <c r="AS15" s="20">
        <f>SUM(R15:T15)</f>
        <v>0</v>
      </c>
      <c r="AT15" s="20">
        <f>SUM(U15:W15)</f>
        <v>0</v>
      </c>
      <c r="AU15" s="20">
        <f>SUM(X15:Z15)</f>
        <v>0</v>
      </c>
      <c r="AV15" s="20">
        <f>SUM(AA15:AC15)</f>
        <v>0</v>
      </c>
      <c r="AW15" s="20">
        <f>SUM(AD15:AF15)</f>
        <v>0</v>
      </c>
      <c r="AX15" s="20">
        <f>SUM(AG15:AI15)</f>
        <v>0</v>
      </c>
      <c r="AY15" s="20">
        <f>SUM(AJ15:AL15)</f>
        <v>0</v>
      </c>
      <c r="BA15" s="20">
        <f>SUM(C15:N15)</f>
        <v>0</v>
      </c>
      <c r="BB15" s="20">
        <f>SUM(O15:Z15)</f>
        <v>0</v>
      </c>
      <c r="BC15" s="20">
        <f>SUM(AA15:AL15)</f>
        <v>0</v>
      </c>
    </row>
    <row r="16" spans="1:55">
      <c r="A16" s="18" t="s">
        <v>220</v>
      </c>
      <c r="B16" s="16" t="s">
        <v>221</v>
      </c>
      <c r="C16" s="29">
        <f>ROUND('Assumptions'!$F$75,1)</f>
        <v>0</v>
      </c>
      <c r="D16" s="29">
        <f>ROUND(C16+'Assumptions'!$F$76/3,1)</f>
        <v>0</v>
      </c>
      <c r="E16" s="29">
        <f>ROUND(D16+'Assumptions'!$F$76/3,1)</f>
        <v>0</v>
      </c>
      <c r="F16" s="29">
        <f>ROUND(E16+'Assumptions'!$F$76/3,1)</f>
        <v>0</v>
      </c>
      <c r="G16" s="29">
        <f>ROUND(F16+'Assumptions'!$F$76/3,1)</f>
        <v>0</v>
      </c>
      <c r="H16" s="29">
        <f>ROUND(G16+'Assumptions'!$F$76/3,1)</f>
        <v>0</v>
      </c>
      <c r="I16" s="29">
        <f>ROUND(H16+'Assumptions'!$F$76/3,1)</f>
        <v>0</v>
      </c>
      <c r="J16" s="29">
        <f>ROUND(I16+'Assumptions'!$F$76/3,1)</f>
        <v>0</v>
      </c>
      <c r="K16" s="29">
        <f>ROUND(J16+'Assumptions'!$F$76/3,1)</f>
        <v>0</v>
      </c>
      <c r="L16" s="29">
        <f>ROUND(K16+'Assumptions'!$F$76/3,1)</f>
        <v>0</v>
      </c>
      <c r="M16" s="29">
        <f>ROUND(L16+'Assumptions'!$F$76/3,1)</f>
        <v>0</v>
      </c>
      <c r="N16" s="29">
        <f>ROUND(M16+'Assumptions'!$F$76/3,1)</f>
        <v>0</v>
      </c>
      <c r="O16" s="29">
        <f>ROUND(N16+'Assumptions'!$F$76/3,1)</f>
        <v>0</v>
      </c>
      <c r="P16" s="29">
        <f>ROUND(O16+'Assumptions'!$F$76/3,1)</f>
        <v>0</v>
      </c>
      <c r="Q16" s="29">
        <f>ROUND(P16+'Assumptions'!$F$76/3,1)</f>
        <v>0</v>
      </c>
      <c r="R16" s="29">
        <f>ROUND(Q16+'Assumptions'!$F$76/3,1)</f>
        <v>0</v>
      </c>
      <c r="S16" s="29">
        <f>ROUND(R16+'Assumptions'!$F$76/3,1)</f>
        <v>0</v>
      </c>
      <c r="T16" s="29">
        <f>ROUND(S16+'Assumptions'!$F$76/3,1)</f>
        <v>0</v>
      </c>
      <c r="U16" s="29">
        <f>ROUND(T16+'Assumptions'!$F$76/3,1)</f>
        <v>0</v>
      </c>
      <c r="V16" s="29">
        <f>ROUND(U16+'Assumptions'!$F$76/3,1)</f>
        <v>0</v>
      </c>
      <c r="W16" s="29">
        <f>ROUND(V16+'Assumptions'!$F$76/3,1)</f>
        <v>0</v>
      </c>
      <c r="X16" s="29">
        <f>ROUND(W16+'Assumptions'!$F$76/3,1)</f>
        <v>0</v>
      </c>
      <c r="Y16" s="29">
        <f>ROUND(X16+'Assumptions'!$F$76/3,1)</f>
        <v>0</v>
      </c>
      <c r="Z16" s="29">
        <f>ROUND(Y16+'Assumptions'!$F$76/3,1)</f>
        <v>0</v>
      </c>
      <c r="AA16" s="29">
        <f>ROUND(Z16+'Assumptions'!$F$76/3,1)</f>
        <v>0</v>
      </c>
      <c r="AB16" s="29">
        <f>ROUND(AA16+'Assumptions'!$F$76/3,1)</f>
        <v>0</v>
      </c>
      <c r="AC16" s="29">
        <f>ROUND(AB16+'Assumptions'!$F$76/3,1)</f>
        <v>0</v>
      </c>
      <c r="AD16" s="29">
        <f>ROUND(AC16+'Assumptions'!$F$76/3,1)</f>
        <v>0</v>
      </c>
      <c r="AE16" s="29">
        <f>ROUND(AD16+'Assumptions'!$F$76/3,1)</f>
        <v>0</v>
      </c>
      <c r="AF16" s="29">
        <f>ROUND(AE16+'Assumptions'!$F$76/3,1)</f>
        <v>0</v>
      </c>
      <c r="AG16" s="29">
        <f>ROUND(AF16+'Assumptions'!$F$76/3,1)</f>
        <v>0</v>
      </c>
      <c r="AH16" s="29">
        <f>ROUND(AG16+'Assumptions'!$F$76/3,1)</f>
        <v>0</v>
      </c>
      <c r="AI16" s="29">
        <f>ROUND(AH16+'Assumptions'!$F$76/3,1)</f>
        <v>0</v>
      </c>
      <c r="AJ16" s="29">
        <f>ROUND(AI16+'Assumptions'!$F$76/3,1)</f>
        <v>0</v>
      </c>
      <c r="AK16" s="29">
        <f>ROUND(AJ16+'Assumptions'!$F$76/3,1)</f>
        <v>0</v>
      </c>
      <c r="AL16" s="29">
        <f>ROUND(AK16+'Assumptions'!$F$76/3,1)</f>
        <v>0</v>
      </c>
      <c r="AN16" s="29">
        <f>E16</f>
        <v>0</v>
      </c>
      <c r="AO16" s="29">
        <f>H16</f>
        <v>0</v>
      </c>
      <c r="AP16" s="29">
        <f>K16</f>
        <v>0</v>
      </c>
      <c r="AQ16" s="29">
        <f>N16</f>
        <v>0</v>
      </c>
      <c r="AR16" s="29">
        <f>Q16</f>
        <v>0</v>
      </c>
      <c r="AS16" s="29">
        <f>T16</f>
        <v>0</v>
      </c>
      <c r="AT16" s="29">
        <f>W16</f>
        <v>0</v>
      </c>
      <c r="AU16" s="29">
        <f>Z16</f>
        <v>0</v>
      </c>
      <c r="AV16" s="29">
        <f>AC16</f>
        <v>0</v>
      </c>
      <c r="AW16" s="29">
        <f>AF16</f>
        <v>0</v>
      </c>
      <c r="AX16" s="29">
        <f>AI16</f>
        <v>0</v>
      </c>
      <c r="AY16" s="29">
        <f>AL16</f>
        <v>0</v>
      </c>
      <c r="BA16" s="29">
        <f>N16</f>
        <v>0</v>
      </c>
      <c r="BB16" s="29">
        <f>Z16</f>
        <v>0</v>
      </c>
      <c r="BC16" s="29">
        <f>AL16</f>
        <v>0</v>
      </c>
    </row>
    <row r="17" spans="1:55">
      <c r="A17" s="18" t="s">
        <v>222</v>
      </c>
      <c r="B17" s="16" t="s">
        <v>212</v>
      </c>
      <c r="C17" s="20">
        <f>C16*'Assumptions'!$F$77</f>
        <v>0</v>
      </c>
      <c r="D17" s="20">
        <f>D16*'Assumptions'!$F$77</f>
        <v>0</v>
      </c>
      <c r="E17" s="20">
        <f>E16*'Assumptions'!$F$77</f>
        <v>0</v>
      </c>
      <c r="F17" s="20">
        <f>F16*'Assumptions'!$F$77</f>
        <v>0</v>
      </c>
      <c r="G17" s="20">
        <f>G16*'Assumptions'!$F$77</f>
        <v>0</v>
      </c>
      <c r="H17" s="20">
        <f>H16*'Assumptions'!$F$77</f>
        <v>0</v>
      </c>
      <c r="I17" s="20">
        <f>I16*'Assumptions'!$F$77</f>
        <v>0</v>
      </c>
      <c r="J17" s="20">
        <f>J16*'Assumptions'!$F$77</f>
        <v>0</v>
      </c>
      <c r="K17" s="20">
        <f>K16*'Assumptions'!$F$77</f>
        <v>0</v>
      </c>
      <c r="L17" s="20">
        <f>L16*'Assumptions'!$F$77</f>
        <v>0</v>
      </c>
      <c r="M17" s="20">
        <f>M16*'Assumptions'!$F$77</f>
        <v>0</v>
      </c>
      <c r="N17" s="20">
        <f>N16*'Assumptions'!$F$77</f>
        <v>0</v>
      </c>
      <c r="O17" s="20">
        <f>O16*'Assumptions'!$F$77</f>
        <v>0</v>
      </c>
      <c r="P17" s="20">
        <f>P16*'Assumptions'!$F$77</f>
        <v>0</v>
      </c>
      <c r="Q17" s="20">
        <f>Q16*'Assumptions'!$F$77</f>
        <v>0</v>
      </c>
      <c r="R17" s="20">
        <f>R16*'Assumptions'!$F$77</f>
        <v>0</v>
      </c>
      <c r="S17" s="20">
        <f>S16*'Assumptions'!$F$77</f>
        <v>0</v>
      </c>
      <c r="T17" s="20">
        <f>T16*'Assumptions'!$F$77</f>
        <v>0</v>
      </c>
      <c r="U17" s="20">
        <f>U16*'Assumptions'!$F$77</f>
        <v>0</v>
      </c>
      <c r="V17" s="20">
        <f>V16*'Assumptions'!$F$77</f>
        <v>0</v>
      </c>
      <c r="W17" s="20">
        <f>W16*'Assumptions'!$F$77</f>
        <v>0</v>
      </c>
      <c r="X17" s="20">
        <f>X16*'Assumptions'!$F$77</f>
        <v>0</v>
      </c>
      <c r="Y17" s="20">
        <f>Y16*'Assumptions'!$F$77</f>
        <v>0</v>
      </c>
      <c r="Z17" s="20">
        <f>Z16*'Assumptions'!$F$77</f>
        <v>0</v>
      </c>
      <c r="AA17" s="20">
        <f>AA16*'Assumptions'!$F$77</f>
        <v>0</v>
      </c>
      <c r="AB17" s="20">
        <f>AB16*'Assumptions'!$F$77</f>
        <v>0</v>
      </c>
      <c r="AC17" s="20">
        <f>AC16*'Assumptions'!$F$77</f>
        <v>0</v>
      </c>
      <c r="AD17" s="20">
        <f>AD16*'Assumptions'!$F$77</f>
        <v>0</v>
      </c>
      <c r="AE17" s="20">
        <f>AE16*'Assumptions'!$F$77</f>
        <v>0</v>
      </c>
      <c r="AF17" s="20">
        <f>AF16*'Assumptions'!$F$77</f>
        <v>0</v>
      </c>
      <c r="AG17" s="20">
        <f>AG16*'Assumptions'!$F$77</f>
        <v>0</v>
      </c>
      <c r="AH17" s="20">
        <f>AH16*'Assumptions'!$F$77</f>
        <v>0</v>
      </c>
      <c r="AI17" s="20">
        <f>AI16*'Assumptions'!$F$77</f>
        <v>0</v>
      </c>
      <c r="AJ17" s="20">
        <f>AJ16*'Assumptions'!$F$77</f>
        <v>0</v>
      </c>
      <c r="AK17" s="20">
        <f>AK16*'Assumptions'!$F$77</f>
        <v>0</v>
      </c>
      <c r="AL17" s="20">
        <f>AL16*'Assumptions'!$F$77</f>
        <v>0</v>
      </c>
      <c r="AN17" s="20">
        <f>SUM(C17:E17)</f>
        <v>0</v>
      </c>
      <c r="AO17" s="20">
        <f>SUM(F17:H17)</f>
        <v>0</v>
      </c>
      <c r="AP17" s="20">
        <f>SUM(I17:K17)</f>
        <v>0</v>
      </c>
      <c r="AQ17" s="20">
        <f>SUM(L17:N17)</f>
        <v>0</v>
      </c>
      <c r="AR17" s="20">
        <f>SUM(O17:Q17)</f>
        <v>0</v>
      </c>
      <c r="AS17" s="20">
        <f>SUM(R17:T17)</f>
        <v>0</v>
      </c>
      <c r="AT17" s="20">
        <f>SUM(U17:W17)</f>
        <v>0</v>
      </c>
      <c r="AU17" s="20">
        <f>SUM(X17:Z17)</f>
        <v>0</v>
      </c>
      <c r="AV17" s="20">
        <f>SUM(AA17:AC17)</f>
        <v>0</v>
      </c>
      <c r="AW17" s="20">
        <f>SUM(AD17:AF17)</f>
        <v>0</v>
      </c>
      <c r="AX17" s="20">
        <f>SUM(AG17:AI17)</f>
        <v>0</v>
      </c>
      <c r="AY17" s="20">
        <f>SUM(AJ17:AL17)</f>
        <v>0</v>
      </c>
      <c r="BA17" s="20">
        <f>SUM(C17:N17)</f>
        <v>0</v>
      </c>
      <c r="BB17" s="20">
        <f>SUM(O17:Z17)</f>
        <v>0</v>
      </c>
      <c r="BC17" s="20">
        <f>SUM(AA17:AL17)</f>
        <v>0</v>
      </c>
    </row>
    <row r="18" spans="1:55" ht="5" customHeight="1"/>
    <row r="19" spans="1:55" ht="16" customHeight="1">
      <c r="A19" s="14" t="s">
        <v>223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</row>
    <row r="20" spans="1:55">
      <c r="A20" s="30" t="s">
        <v>224</v>
      </c>
      <c r="B20" s="16" t="s">
        <v>225</v>
      </c>
      <c r="C20" s="29">
        <f>C8+C12+C14+C16</f>
        <v>0</v>
      </c>
      <c r="D20" s="29">
        <f>D8+D12+D14+D16</f>
        <v>0</v>
      </c>
      <c r="E20" s="29">
        <f>E8+E12+E14+E16</f>
        <v>0</v>
      </c>
      <c r="F20" s="29">
        <f>F8+F12+F14+F16</f>
        <v>0</v>
      </c>
      <c r="G20" s="29">
        <f>G8+G12+G14+G16</f>
        <v>0</v>
      </c>
      <c r="H20" s="29">
        <f>H8+H12+H14+H16</f>
        <v>0</v>
      </c>
      <c r="I20" s="29">
        <f>I8+I12+I14+I16</f>
        <v>0</v>
      </c>
      <c r="J20" s="29">
        <f>J8+J12+J14+J16</f>
        <v>0</v>
      </c>
      <c r="K20" s="29">
        <f>K8+K12+K14+K16</f>
        <v>0</v>
      </c>
      <c r="L20" s="29">
        <f>L8+L12+L14+L16</f>
        <v>0</v>
      </c>
      <c r="M20" s="29">
        <f>M8+M12+M14+M16</f>
        <v>0</v>
      </c>
      <c r="N20" s="29">
        <f>N8+N12+N14+N16</f>
        <v>0</v>
      </c>
      <c r="O20" s="29">
        <f>O8+O12+O14+O16</f>
        <v>0</v>
      </c>
      <c r="P20" s="29">
        <f>P8+P12+P14+P16</f>
        <v>0</v>
      </c>
      <c r="Q20" s="29">
        <f>Q8+Q12+Q14+Q16</f>
        <v>0</v>
      </c>
      <c r="R20" s="29">
        <f>R8+R12+R14+R16</f>
        <v>0</v>
      </c>
      <c r="S20" s="29">
        <f>S8+S12+S14+S16</f>
        <v>0</v>
      </c>
      <c r="T20" s="29">
        <f>T8+T12+T14+T16</f>
        <v>0</v>
      </c>
      <c r="U20" s="29">
        <f>U8+U12+U14+U16</f>
        <v>0</v>
      </c>
      <c r="V20" s="29">
        <f>V8+V12+V14+V16</f>
        <v>0</v>
      </c>
      <c r="W20" s="29">
        <f>W8+W12+W14+W16</f>
        <v>0</v>
      </c>
      <c r="X20" s="29">
        <f>X8+X12+X14+X16</f>
        <v>0</v>
      </c>
      <c r="Y20" s="29">
        <f>Y8+Y12+Y14+Y16</f>
        <v>0</v>
      </c>
      <c r="Z20" s="29">
        <f>Z8+Z12+Z14+Z16</f>
        <v>0</v>
      </c>
      <c r="AA20" s="29">
        <f>AA8+AA12+AA14+AA16</f>
        <v>0</v>
      </c>
      <c r="AB20" s="29">
        <f>AB8+AB12+AB14+AB16</f>
        <v>0</v>
      </c>
      <c r="AC20" s="29">
        <f>AC8+AC12+AC14+AC16</f>
        <v>0</v>
      </c>
      <c r="AD20" s="29">
        <f>AD8+AD12+AD14+AD16</f>
        <v>0</v>
      </c>
      <c r="AE20" s="29">
        <f>AE8+AE12+AE14+AE16</f>
        <v>0</v>
      </c>
      <c r="AF20" s="29">
        <f>AF8+AF12+AF14+AF16</f>
        <v>0</v>
      </c>
      <c r="AG20" s="29">
        <f>AG8+AG12+AG14+AG16</f>
        <v>0</v>
      </c>
      <c r="AH20" s="29">
        <f>AH8+AH12+AH14+AH16</f>
        <v>0</v>
      </c>
      <c r="AI20" s="29">
        <f>AI8+AI12+AI14+AI16</f>
        <v>0</v>
      </c>
      <c r="AJ20" s="29">
        <f>AJ8+AJ12+AJ14+AJ16</f>
        <v>0</v>
      </c>
      <c r="AK20" s="29">
        <f>AK8+AK12+AK14+AK16</f>
        <v>0</v>
      </c>
      <c r="AL20" s="29">
        <f>AL8+AL12+AL14+AL16</f>
        <v>0</v>
      </c>
      <c r="AN20" s="29">
        <f>E20</f>
        <v>0</v>
      </c>
      <c r="AO20" s="29">
        <f>H20</f>
        <v>0</v>
      </c>
      <c r="AP20" s="29">
        <f>K20</f>
        <v>0</v>
      </c>
      <c r="AQ20" s="29">
        <f>N20</f>
        <v>0</v>
      </c>
      <c r="AR20" s="29">
        <f>Q20</f>
        <v>0</v>
      </c>
      <c r="AS20" s="29">
        <f>T20</f>
        <v>0</v>
      </c>
      <c r="AT20" s="29">
        <f>W20</f>
        <v>0</v>
      </c>
      <c r="AU20" s="29">
        <f>Z20</f>
        <v>0</v>
      </c>
      <c r="AV20" s="29">
        <f>AC20</f>
        <v>0</v>
      </c>
      <c r="AW20" s="29">
        <f>AF20</f>
        <v>0</v>
      </c>
      <c r="AX20" s="29">
        <f>AI20</f>
        <v>0</v>
      </c>
      <c r="AY20" s="29">
        <f>AL20</f>
        <v>0</v>
      </c>
      <c r="BA20" s="29">
        <f>N20</f>
        <v>0</v>
      </c>
      <c r="BB20" s="29">
        <f>Z20</f>
        <v>0</v>
      </c>
      <c r="BC20" s="29">
        <f>AL20</f>
        <v>0</v>
      </c>
    </row>
    <row r="21" spans="1:55">
      <c r="A21" s="30" t="s">
        <v>226</v>
      </c>
      <c r="B21" s="16" t="s">
        <v>227</v>
      </c>
      <c r="C21" s="31">
        <f>C9</f>
        <v>0</v>
      </c>
      <c r="D21" s="31">
        <f>D9</f>
        <v>0</v>
      </c>
      <c r="E21" s="31">
        <f>E9</f>
        <v>0</v>
      </c>
      <c r="F21" s="31">
        <f>F9</f>
        <v>0</v>
      </c>
      <c r="G21" s="31">
        <f>G9</f>
        <v>0</v>
      </c>
      <c r="H21" s="31">
        <f>H9</f>
        <v>0</v>
      </c>
      <c r="I21" s="31">
        <f>I9</f>
        <v>0</v>
      </c>
      <c r="J21" s="31">
        <f>J9</f>
        <v>0</v>
      </c>
      <c r="K21" s="31">
        <f>K9</f>
        <v>0</v>
      </c>
      <c r="L21" s="31">
        <f>L9</f>
        <v>0</v>
      </c>
      <c r="M21" s="31">
        <f>M9</f>
        <v>0</v>
      </c>
      <c r="N21" s="31">
        <f>N9</f>
        <v>0</v>
      </c>
      <c r="O21" s="31">
        <f>O9</f>
        <v>0</v>
      </c>
      <c r="P21" s="31">
        <f>P9</f>
        <v>0</v>
      </c>
      <c r="Q21" s="31">
        <f>Q9</f>
        <v>0</v>
      </c>
      <c r="R21" s="31">
        <f>R9</f>
        <v>0</v>
      </c>
      <c r="S21" s="31">
        <f>S9</f>
        <v>0</v>
      </c>
      <c r="T21" s="31">
        <f>T9</f>
        <v>0</v>
      </c>
      <c r="U21" s="31">
        <f>U9</f>
        <v>0</v>
      </c>
      <c r="V21" s="31">
        <f>V9</f>
        <v>0</v>
      </c>
      <c r="W21" s="31">
        <f>W9</f>
        <v>0</v>
      </c>
      <c r="X21" s="31">
        <f>X9</f>
        <v>0</v>
      </c>
      <c r="Y21" s="31">
        <f>Y9</f>
        <v>0</v>
      </c>
      <c r="Z21" s="31">
        <f>Z9</f>
        <v>0</v>
      </c>
      <c r="AA21" s="31">
        <f>AA9</f>
        <v>0</v>
      </c>
      <c r="AB21" s="31">
        <f>AB9</f>
        <v>0</v>
      </c>
      <c r="AC21" s="31">
        <f>AC9</f>
        <v>0</v>
      </c>
      <c r="AD21" s="31">
        <f>AD9</f>
        <v>0</v>
      </c>
      <c r="AE21" s="31">
        <f>AE9</f>
        <v>0</v>
      </c>
      <c r="AF21" s="31">
        <f>AF9</f>
        <v>0</v>
      </c>
      <c r="AG21" s="31">
        <f>AG9</f>
        <v>0</v>
      </c>
      <c r="AH21" s="31">
        <f>AH9</f>
        <v>0</v>
      </c>
      <c r="AI21" s="31">
        <f>AI9</f>
        <v>0</v>
      </c>
      <c r="AJ21" s="31">
        <f>AJ9</f>
        <v>0</v>
      </c>
      <c r="AK21" s="31">
        <f>AK9</f>
        <v>0</v>
      </c>
      <c r="AL21" s="31">
        <f>AL9</f>
        <v>0</v>
      </c>
      <c r="AN21" s="31">
        <f>SUM(C21:E21)</f>
        <v>0</v>
      </c>
      <c r="AO21" s="31">
        <f>SUM(F21:H21)</f>
        <v>0</v>
      </c>
      <c r="AP21" s="31">
        <f>SUM(I21:K21)</f>
        <v>0</v>
      </c>
      <c r="AQ21" s="31">
        <f>SUM(L21:N21)</f>
        <v>0</v>
      </c>
      <c r="AR21" s="31">
        <f>SUM(O21:Q21)</f>
        <v>0</v>
      </c>
      <c r="AS21" s="31">
        <f>SUM(R21:T21)</f>
        <v>0</v>
      </c>
      <c r="AT21" s="31">
        <f>SUM(U21:W21)</f>
        <v>0</v>
      </c>
      <c r="AU21" s="31">
        <f>SUM(X21:Z21)</f>
        <v>0</v>
      </c>
      <c r="AV21" s="31">
        <f>SUM(AA21:AC21)</f>
        <v>0</v>
      </c>
      <c r="AW21" s="31">
        <f>SUM(AD21:AF21)</f>
        <v>0</v>
      </c>
      <c r="AX21" s="31">
        <f>SUM(AG21:AI21)</f>
        <v>0</v>
      </c>
      <c r="AY21" s="31">
        <f>SUM(AJ21:AL21)</f>
        <v>0</v>
      </c>
      <c r="BA21" s="31">
        <f>SUM(C21:N21)</f>
        <v>0</v>
      </c>
      <c r="BB21" s="31">
        <f>SUM(O21:Z21)</f>
        <v>0</v>
      </c>
      <c r="BC21" s="31">
        <f>SUM(AA21:AL21)</f>
        <v>0</v>
      </c>
    </row>
    <row r="22" spans="1:55">
      <c r="A22" s="30" t="s">
        <v>228</v>
      </c>
      <c r="B22" s="16" t="s">
        <v>229</v>
      </c>
      <c r="C22" s="31">
        <f>C13+C15+C17</f>
        <v>0</v>
      </c>
      <c r="D22" s="31">
        <f>D13+D15+D17</f>
        <v>0</v>
      </c>
      <c r="E22" s="31">
        <f>E13+E15+E17</f>
        <v>0</v>
      </c>
      <c r="F22" s="31">
        <f>F13+F15+F17</f>
        <v>0</v>
      </c>
      <c r="G22" s="31">
        <f>G13+G15+G17</f>
        <v>0</v>
      </c>
      <c r="H22" s="31">
        <f>H13+H15+H17</f>
        <v>0</v>
      </c>
      <c r="I22" s="31">
        <f>I13+I15+I17</f>
        <v>0</v>
      </c>
      <c r="J22" s="31">
        <f>J13+J15+J17</f>
        <v>0</v>
      </c>
      <c r="K22" s="31">
        <f>K13+K15+K17</f>
        <v>0</v>
      </c>
      <c r="L22" s="31">
        <f>L13+L15+L17</f>
        <v>0</v>
      </c>
      <c r="M22" s="31">
        <f>M13+M15+M17</f>
        <v>0</v>
      </c>
      <c r="N22" s="31">
        <f>N13+N15+N17</f>
        <v>0</v>
      </c>
      <c r="O22" s="31">
        <f>O13+O15+O17</f>
        <v>0</v>
      </c>
      <c r="P22" s="31">
        <f>P13+P15+P17</f>
        <v>0</v>
      </c>
      <c r="Q22" s="31">
        <f>Q13+Q15+Q17</f>
        <v>0</v>
      </c>
      <c r="R22" s="31">
        <f>R13+R15+R17</f>
        <v>0</v>
      </c>
      <c r="S22" s="31">
        <f>S13+S15+S17</f>
        <v>0</v>
      </c>
      <c r="T22" s="31">
        <f>T13+T15+T17</f>
        <v>0</v>
      </c>
      <c r="U22" s="31">
        <f>U13+U15+U17</f>
        <v>0</v>
      </c>
      <c r="V22" s="31">
        <f>V13+V15+V17</f>
        <v>0</v>
      </c>
      <c r="W22" s="31">
        <f>W13+W15+W17</f>
        <v>0</v>
      </c>
      <c r="X22" s="31">
        <f>X13+X15+X17</f>
        <v>0</v>
      </c>
      <c r="Y22" s="31">
        <f>Y13+Y15+Y17</f>
        <v>0</v>
      </c>
      <c r="Z22" s="31">
        <f>Z13+Z15+Z17</f>
        <v>0</v>
      </c>
      <c r="AA22" s="31">
        <f>AA13+AA15+AA17</f>
        <v>0</v>
      </c>
      <c r="AB22" s="31">
        <f>AB13+AB15+AB17</f>
        <v>0</v>
      </c>
      <c r="AC22" s="31">
        <f>AC13+AC15+AC17</f>
        <v>0</v>
      </c>
      <c r="AD22" s="31">
        <f>AD13+AD15+AD17</f>
        <v>0</v>
      </c>
      <c r="AE22" s="31">
        <f>AE13+AE15+AE17</f>
        <v>0</v>
      </c>
      <c r="AF22" s="31">
        <f>AF13+AF15+AF17</f>
        <v>0</v>
      </c>
      <c r="AG22" s="31">
        <f>AG13+AG15+AG17</f>
        <v>0</v>
      </c>
      <c r="AH22" s="31">
        <f>AH13+AH15+AH17</f>
        <v>0</v>
      </c>
      <c r="AI22" s="31">
        <f>AI13+AI15+AI17</f>
        <v>0</v>
      </c>
      <c r="AJ22" s="31">
        <f>AJ13+AJ15+AJ17</f>
        <v>0</v>
      </c>
      <c r="AK22" s="31">
        <f>AK13+AK15+AK17</f>
        <v>0</v>
      </c>
      <c r="AL22" s="31">
        <f>AL13+AL15+AL17</f>
        <v>0</v>
      </c>
      <c r="AN22" s="31">
        <f>SUM(C22:E22)</f>
        <v>0</v>
      </c>
      <c r="AO22" s="31">
        <f>SUM(F22:H22)</f>
        <v>0</v>
      </c>
      <c r="AP22" s="31">
        <f>SUM(I22:K22)</f>
        <v>0</v>
      </c>
      <c r="AQ22" s="31">
        <f>SUM(L22:N22)</f>
        <v>0</v>
      </c>
      <c r="AR22" s="31">
        <f>SUM(O22:Q22)</f>
        <v>0</v>
      </c>
      <c r="AS22" s="31">
        <f>SUM(R22:T22)</f>
        <v>0</v>
      </c>
      <c r="AT22" s="31">
        <f>SUM(U22:W22)</f>
        <v>0</v>
      </c>
      <c r="AU22" s="31">
        <f>SUM(X22:Z22)</f>
        <v>0</v>
      </c>
      <c r="AV22" s="31">
        <f>SUM(AA22:AC22)</f>
        <v>0</v>
      </c>
      <c r="AW22" s="31">
        <f>SUM(AD22:AF22)</f>
        <v>0</v>
      </c>
      <c r="AX22" s="31">
        <f>SUM(AG22:AI22)</f>
        <v>0</v>
      </c>
      <c r="AY22" s="31">
        <f>SUM(AJ22:AL22)</f>
        <v>0</v>
      </c>
      <c r="BA22" s="31">
        <f>SUM(C22:N22)</f>
        <v>0</v>
      </c>
      <c r="BB22" s="31">
        <f>SUM(O22:Z22)</f>
        <v>0</v>
      </c>
      <c r="BC22" s="31">
        <f>SUM(AA22:AL22)</f>
        <v>0</v>
      </c>
    </row>
    <row r="23" spans="1:55">
      <c r="A23" s="18" t="s">
        <v>230</v>
      </c>
      <c r="B23" s="16"/>
      <c r="C23" s="20">
        <f>C17</f>
        <v>0</v>
      </c>
      <c r="D23" s="20">
        <f>D17</f>
        <v>0</v>
      </c>
      <c r="E23" s="20">
        <f>E17</f>
        <v>0</v>
      </c>
      <c r="F23" s="20">
        <f>F17</f>
        <v>0</v>
      </c>
      <c r="G23" s="20">
        <f>G17</f>
        <v>0</v>
      </c>
      <c r="H23" s="20">
        <f>H17</f>
        <v>0</v>
      </c>
      <c r="I23" s="20">
        <f>I17</f>
        <v>0</v>
      </c>
      <c r="J23" s="20">
        <f>J17</f>
        <v>0</v>
      </c>
      <c r="K23" s="20">
        <f>K17</f>
        <v>0</v>
      </c>
      <c r="L23" s="20">
        <f>L17</f>
        <v>0</v>
      </c>
      <c r="M23" s="20">
        <f>M17</f>
        <v>0</v>
      </c>
      <c r="N23" s="20">
        <f>N17</f>
        <v>0</v>
      </c>
      <c r="O23" s="20">
        <f>O17</f>
        <v>0</v>
      </c>
      <c r="P23" s="20">
        <f>P17</f>
        <v>0</v>
      </c>
      <c r="Q23" s="20">
        <f>Q17</f>
        <v>0</v>
      </c>
      <c r="R23" s="20">
        <f>R17</f>
        <v>0</v>
      </c>
      <c r="S23" s="20">
        <f>S17</f>
        <v>0</v>
      </c>
      <c r="T23" s="20">
        <f>T17</f>
        <v>0</v>
      </c>
      <c r="U23" s="20">
        <f>U17</f>
        <v>0</v>
      </c>
      <c r="V23" s="20">
        <f>V17</f>
        <v>0</v>
      </c>
      <c r="W23" s="20">
        <f>W17</f>
        <v>0</v>
      </c>
      <c r="X23" s="20">
        <f>X17</f>
        <v>0</v>
      </c>
      <c r="Y23" s="20">
        <f>Y17</f>
        <v>0</v>
      </c>
      <c r="Z23" s="20">
        <f>Z17</f>
        <v>0</v>
      </c>
      <c r="AA23" s="20">
        <f>AA17</f>
        <v>0</v>
      </c>
      <c r="AB23" s="20">
        <f>AB17</f>
        <v>0</v>
      </c>
      <c r="AC23" s="20">
        <f>AC17</f>
        <v>0</v>
      </c>
      <c r="AD23" s="20">
        <f>AD17</f>
        <v>0</v>
      </c>
      <c r="AE23" s="20">
        <f>AE17</f>
        <v>0</v>
      </c>
      <c r="AF23" s="20">
        <f>AF17</f>
        <v>0</v>
      </c>
      <c r="AG23" s="20">
        <f>AG17</f>
        <v>0</v>
      </c>
      <c r="AH23" s="20">
        <f>AH17</f>
        <v>0</v>
      </c>
      <c r="AI23" s="20">
        <f>AI17</f>
        <v>0</v>
      </c>
      <c r="AJ23" s="20">
        <f>AJ17</f>
        <v>0</v>
      </c>
      <c r="AK23" s="20">
        <f>AK17</f>
        <v>0</v>
      </c>
      <c r="AL23" s="20">
        <f>AL17</f>
        <v>0</v>
      </c>
      <c r="AN23" s="20">
        <f>SUM(C23:E23)</f>
        <v>0</v>
      </c>
      <c r="AO23" s="20">
        <f>SUM(F23:H23)</f>
        <v>0</v>
      </c>
      <c r="AP23" s="20">
        <f>SUM(I23:K23)</f>
        <v>0</v>
      </c>
      <c r="AQ23" s="20">
        <f>SUM(L23:N23)</f>
        <v>0</v>
      </c>
      <c r="AR23" s="20">
        <f>SUM(O23:Q23)</f>
        <v>0</v>
      </c>
      <c r="AS23" s="20">
        <f>SUM(R23:T23)</f>
        <v>0</v>
      </c>
      <c r="AT23" s="20">
        <f>SUM(U23:W23)</f>
        <v>0</v>
      </c>
      <c r="AU23" s="20">
        <f>SUM(X23:Z23)</f>
        <v>0</v>
      </c>
      <c r="AV23" s="20">
        <f>SUM(AA23:AC23)</f>
        <v>0</v>
      </c>
      <c r="AW23" s="20">
        <f>SUM(AD23:AF23)</f>
        <v>0</v>
      </c>
      <c r="AX23" s="20">
        <f>SUM(AG23:AI23)</f>
        <v>0</v>
      </c>
      <c r="AY23" s="20">
        <f>SUM(AJ23:AL23)</f>
        <v>0</v>
      </c>
      <c r="BA23" s="20">
        <f>SUM(C23:N23)</f>
        <v>0</v>
      </c>
      <c r="BB23" s="20">
        <f>SUM(O23:Z23)</f>
        <v>0</v>
      </c>
      <c r="BC23" s="20">
        <f>SUM(AA23:AL23)</f>
        <v>0</v>
      </c>
    </row>
    <row r="24" spans="1:55">
      <c r="A24" s="18" t="s">
        <v>231</v>
      </c>
      <c r="B24" s="16"/>
      <c r="C24" s="20">
        <f>C13</f>
        <v>0</v>
      </c>
      <c r="D24" s="20">
        <f>D13</f>
        <v>0</v>
      </c>
      <c r="E24" s="20">
        <f>E13</f>
        <v>0</v>
      </c>
      <c r="F24" s="20">
        <f>F13</f>
        <v>0</v>
      </c>
      <c r="G24" s="20">
        <f>G13</f>
        <v>0</v>
      </c>
      <c r="H24" s="20">
        <f>H13</f>
        <v>0</v>
      </c>
      <c r="I24" s="20">
        <f>I13</f>
        <v>0</v>
      </c>
      <c r="J24" s="20">
        <f>J13</f>
        <v>0</v>
      </c>
      <c r="K24" s="20">
        <f>K13</f>
        <v>0</v>
      </c>
      <c r="L24" s="20">
        <f>L13</f>
        <v>0</v>
      </c>
      <c r="M24" s="20">
        <f>M13</f>
        <v>0</v>
      </c>
      <c r="N24" s="20">
        <f>N13</f>
        <v>0</v>
      </c>
      <c r="O24" s="20">
        <f>O13</f>
        <v>0</v>
      </c>
      <c r="P24" s="20">
        <f>P13</f>
        <v>0</v>
      </c>
      <c r="Q24" s="20">
        <f>Q13</f>
        <v>0</v>
      </c>
      <c r="R24" s="20">
        <f>R13</f>
        <v>0</v>
      </c>
      <c r="S24" s="20">
        <f>S13</f>
        <v>0</v>
      </c>
      <c r="T24" s="20">
        <f>T13</f>
        <v>0</v>
      </c>
      <c r="U24" s="20">
        <f>U13</f>
        <v>0</v>
      </c>
      <c r="V24" s="20">
        <f>V13</f>
        <v>0</v>
      </c>
      <c r="W24" s="20">
        <f>W13</f>
        <v>0</v>
      </c>
      <c r="X24" s="20">
        <f>X13</f>
        <v>0</v>
      </c>
      <c r="Y24" s="20">
        <f>Y13</f>
        <v>0</v>
      </c>
      <c r="Z24" s="20">
        <f>Z13</f>
        <v>0</v>
      </c>
      <c r="AA24" s="20">
        <f>AA13</f>
        <v>0</v>
      </c>
      <c r="AB24" s="20">
        <f>AB13</f>
        <v>0</v>
      </c>
      <c r="AC24" s="20">
        <f>AC13</f>
        <v>0</v>
      </c>
      <c r="AD24" s="20">
        <f>AD13</f>
        <v>0</v>
      </c>
      <c r="AE24" s="20">
        <f>AE13</f>
        <v>0</v>
      </c>
      <c r="AF24" s="20">
        <f>AF13</f>
        <v>0</v>
      </c>
      <c r="AG24" s="20">
        <f>AG13</f>
        <v>0</v>
      </c>
      <c r="AH24" s="20">
        <f>AH13</f>
        <v>0</v>
      </c>
      <c r="AI24" s="20">
        <f>AI13</f>
        <v>0</v>
      </c>
      <c r="AJ24" s="20">
        <f>AJ13</f>
        <v>0</v>
      </c>
      <c r="AK24" s="20">
        <f>AK13</f>
        <v>0</v>
      </c>
      <c r="AL24" s="20">
        <f>AL13</f>
        <v>0</v>
      </c>
      <c r="AN24" s="20">
        <f>SUM(C24:E24)</f>
        <v>0</v>
      </c>
      <c r="AO24" s="20">
        <f>SUM(F24:H24)</f>
        <v>0</v>
      </c>
      <c r="AP24" s="20">
        <f>SUM(I24:K24)</f>
        <v>0</v>
      </c>
      <c r="AQ24" s="20">
        <f>SUM(L24:N24)</f>
        <v>0</v>
      </c>
      <c r="AR24" s="20">
        <f>SUM(O24:Q24)</f>
        <v>0</v>
      </c>
      <c r="AS24" s="20">
        <f>SUM(R24:T24)</f>
        <v>0</v>
      </c>
      <c r="AT24" s="20">
        <f>SUM(U24:W24)</f>
        <v>0</v>
      </c>
      <c r="AU24" s="20">
        <f>SUM(X24:Z24)</f>
        <v>0</v>
      </c>
      <c r="AV24" s="20">
        <f>SUM(AA24:AC24)</f>
        <v>0</v>
      </c>
      <c r="AW24" s="20">
        <f>SUM(AD24:AF24)</f>
        <v>0</v>
      </c>
      <c r="AX24" s="20">
        <f>SUM(AG24:AI24)</f>
        <v>0</v>
      </c>
      <c r="AY24" s="20">
        <f>SUM(AJ24:AL24)</f>
        <v>0</v>
      </c>
      <c r="BA24" s="20">
        <f>SUM(C24:N24)</f>
        <v>0</v>
      </c>
      <c r="BB24" s="20">
        <f>SUM(O24:Z24)</f>
        <v>0</v>
      </c>
      <c r="BC24" s="20">
        <f>SUM(AA24:AL24)</f>
        <v>0</v>
      </c>
    </row>
    <row r="25" spans="1:55">
      <c r="A25" s="18" t="s">
        <v>232</v>
      </c>
      <c r="B25" s="16"/>
      <c r="C25" s="20">
        <f>C15</f>
        <v>0</v>
      </c>
      <c r="D25" s="20">
        <f>D15</f>
        <v>0</v>
      </c>
      <c r="E25" s="20">
        <f>E15</f>
        <v>0</v>
      </c>
      <c r="F25" s="20">
        <f>F15</f>
        <v>0</v>
      </c>
      <c r="G25" s="20">
        <f>G15</f>
        <v>0</v>
      </c>
      <c r="H25" s="20">
        <f>H15</f>
        <v>0</v>
      </c>
      <c r="I25" s="20">
        <f>I15</f>
        <v>0</v>
      </c>
      <c r="J25" s="20">
        <f>J15</f>
        <v>0</v>
      </c>
      <c r="K25" s="20">
        <f>K15</f>
        <v>0</v>
      </c>
      <c r="L25" s="20">
        <f>L15</f>
        <v>0</v>
      </c>
      <c r="M25" s="20">
        <f>M15</f>
        <v>0</v>
      </c>
      <c r="N25" s="20">
        <f>N15</f>
        <v>0</v>
      </c>
      <c r="O25" s="20">
        <f>O15</f>
        <v>0</v>
      </c>
      <c r="P25" s="20">
        <f>P15</f>
        <v>0</v>
      </c>
      <c r="Q25" s="20">
        <f>Q15</f>
        <v>0</v>
      </c>
      <c r="R25" s="20">
        <f>R15</f>
        <v>0</v>
      </c>
      <c r="S25" s="20">
        <f>S15</f>
        <v>0</v>
      </c>
      <c r="T25" s="20">
        <f>T15</f>
        <v>0</v>
      </c>
      <c r="U25" s="20">
        <f>U15</f>
        <v>0</v>
      </c>
      <c r="V25" s="20">
        <f>V15</f>
        <v>0</v>
      </c>
      <c r="W25" s="20">
        <f>W15</f>
        <v>0</v>
      </c>
      <c r="X25" s="20">
        <f>X15</f>
        <v>0</v>
      </c>
      <c r="Y25" s="20">
        <f>Y15</f>
        <v>0</v>
      </c>
      <c r="Z25" s="20">
        <f>Z15</f>
        <v>0</v>
      </c>
      <c r="AA25" s="20">
        <f>AA15</f>
        <v>0</v>
      </c>
      <c r="AB25" s="20">
        <f>AB15</f>
        <v>0</v>
      </c>
      <c r="AC25" s="20">
        <f>AC15</f>
        <v>0</v>
      </c>
      <c r="AD25" s="20">
        <f>AD15</f>
        <v>0</v>
      </c>
      <c r="AE25" s="20">
        <f>AE15</f>
        <v>0</v>
      </c>
      <c r="AF25" s="20">
        <f>AF15</f>
        <v>0</v>
      </c>
      <c r="AG25" s="20">
        <f>AG15</f>
        <v>0</v>
      </c>
      <c r="AH25" s="20">
        <f>AH15</f>
        <v>0</v>
      </c>
      <c r="AI25" s="20">
        <f>AI15</f>
        <v>0</v>
      </c>
      <c r="AJ25" s="20">
        <f>AJ15</f>
        <v>0</v>
      </c>
      <c r="AK25" s="20">
        <f>AK15</f>
        <v>0</v>
      </c>
      <c r="AL25" s="20">
        <f>AL15</f>
        <v>0</v>
      </c>
      <c r="AN25" s="20">
        <f>SUM(C25:E25)</f>
        <v>0</v>
      </c>
      <c r="AO25" s="20">
        <f>SUM(F25:H25)</f>
        <v>0</v>
      </c>
      <c r="AP25" s="20">
        <f>SUM(I25:K25)</f>
        <v>0</v>
      </c>
      <c r="AQ25" s="20">
        <f>SUM(L25:N25)</f>
        <v>0</v>
      </c>
      <c r="AR25" s="20">
        <f>SUM(O25:Q25)</f>
        <v>0</v>
      </c>
      <c r="AS25" s="20">
        <f>SUM(R25:T25)</f>
        <v>0</v>
      </c>
      <c r="AT25" s="20">
        <f>SUM(U25:W25)</f>
        <v>0</v>
      </c>
      <c r="AU25" s="20">
        <f>SUM(X25:Z25)</f>
        <v>0</v>
      </c>
      <c r="AV25" s="20">
        <f>SUM(AA25:AC25)</f>
        <v>0</v>
      </c>
      <c r="AW25" s="20">
        <f>SUM(AD25:AF25)</f>
        <v>0</v>
      </c>
      <c r="AX25" s="20">
        <f>SUM(AG25:AI25)</f>
        <v>0</v>
      </c>
      <c r="AY25" s="20">
        <f>SUM(AJ25:AL25)</f>
        <v>0</v>
      </c>
      <c r="BA25" s="20">
        <f>SUM(C25:N25)</f>
        <v>0</v>
      </c>
      <c r="BB25" s="20">
        <f>SUM(O25:Z25)</f>
        <v>0</v>
      </c>
      <c r="BC25" s="20">
        <f>SUM(AA25:AL25)</f>
        <v>0</v>
      </c>
    </row>
  </sheetData>
  <mergeCells count="8">
    <mergeCell ref="A1:BC1"/>
    <mergeCell ref="A2:BC2"/>
    <mergeCell ref="C5:AL5"/>
    <mergeCell ref="AN5:AY5"/>
    <mergeCell ref="BA5:BC5"/>
    <mergeCell ref="A7:BC7"/>
    <mergeCell ref="A11:BC11"/>
    <mergeCell ref="A19:BC19"/>
  </mergeCells>
  <pageMargins left="0.7" right="0.7" top="0.75" bottom="0.75" header="0.3" footer="0.3"/>
  <pageSetup paperSize="9" scale="55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68"/>
  <sheetViews>
    <sheetView showGridLines="0" zoomScale="110" zoomScaleNormal="11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40.7109375" customWidth="1"/>
    <col min="2" max="2" width="30.7109375" customWidth="1"/>
    <col min="3" max="38" width="11.7109375" customWidth="1"/>
    <col min="39" max="39" width="2.7109375" customWidth="1"/>
    <col min="40" max="51" width="12.7109375" customWidth="1"/>
    <col min="52" max="52" width="2.7109375" customWidth="1"/>
    <col min="53" max="55" width="12.7109375" customWidth="1"/>
  </cols>
  <sheetData>
    <row r="1" spans="1:55" ht="22" customHeight="1">
      <c r="A1" s="1" t="s">
        <v>233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ht="16" customHeight="1">
      <c r="A2" s="2" t="s">
        <v>234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</row>
    <row r="5" spans="1:55">
      <c r="A5" s="14" t="s">
        <v>191</v>
      </c>
      <c r="B5" s="14" t="s">
        <v>192</v>
      </c>
      <c r="C5" s="14" t="s">
        <v>188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N5" s="14" t="s">
        <v>189</v>
      </c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BA5" s="14" t="s">
        <v>190</v>
      </c>
      <c r="BB5" s="14"/>
      <c r="BC5" s="14"/>
    </row>
    <row r="6" spans="1:55">
      <c r="A6" s="17"/>
      <c r="B6" s="17"/>
      <c r="C6" s="28">
        <v>46023</v>
      </c>
      <c r="D6" s="28">
        <v>46054</v>
      </c>
      <c r="E6" s="28">
        <v>46082</v>
      </c>
      <c r="F6" s="28">
        <v>46113</v>
      </c>
      <c r="G6" s="28">
        <v>46143</v>
      </c>
      <c r="H6" s="28">
        <v>46174</v>
      </c>
      <c r="I6" s="28">
        <v>46204</v>
      </c>
      <c r="J6" s="28">
        <v>46235</v>
      </c>
      <c r="K6" s="28">
        <v>46266</v>
      </c>
      <c r="L6" s="28">
        <v>46296</v>
      </c>
      <c r="M6" s="28">
        <v>46327</v>
      </c>
      <c r="N6" s="28">
        <v>46357</v>
      </c>
      <c r="O6" s="28">
        <v>46388</v>
      </c>
      <c r="P6" s="28">
        <v>46419</v>
      </c>
      <c r="Q6" s="28">
        <v>46447</v>
      </c>
      <c r="R6" s="28">
        <v>46478</v>
      </c>
      <c r="S6" s="28">
        <v>46508</v>
      </c>
      <c r="T6" s="28">
        <v>46539</v>
      </c>
      <c r="U6" s="28">
        <v>46569</v>
      </c>
      <c r="V6" s="28">
        <v>46600</v>
      </c>
      <c r="W6" s="28">
        <v>46631</v>
      </c>
      <c r="X6" s="28">
        <v>46661</v>
      </c>
      <c r="Y6" s="28">
        <v>46692</v>
      </c>
      <c r="Z6" s="28">
        <v>46722</v>
      </c>
      <c r="AA6" s="28">
        <v>46753</v>
      </c>
      <c r="AB6" s="28">
        <v>46784</v>
      </c>
      <c r="AC6" s="28">
        <v>46813</v>
      </c>
      <c r="AD6" s="28">
        <v>46844</v>
      </c>
      <c r="AE6" s="28">
        <v>46874</v>
      </c>
      <c r="AF6" s="28">
        <v>46905</v>
      </c>
      <c r="AG6" s="28">
        <v>46935</v>
      </c>
      <c r="AH6" s="28">
        <v>46966</v>
      </c>
      <c r="AI6" s="28">
        <v>46997</v>
      </c>
      <c r="AJ6" s="28">
        <v>47027</v>
      </c>
      <c r="AK6" s="28">
        <v>47058</v>
      </c>
      <c r="AL6" s="28">
        <v>47088</v>
      </c>
      <c r="AN6" s="17" t="s">
        <v>193</v>
      </c>
      <c r="AO6" s="17" t="s">
        <v>194</v>
      </c>
      <c r="AP6" s="17" t="s">
        <v>195</v>
      </c>
      <c r="AQ6" s="17" t="s">
        <v>196</v>
      </c>
      <c r="AR6" s="17" t="s">
        <v>197</v>
      </c>
      <c r="AS6" s="17" t="s">
        <v>198</v>
      </c>
      <c r="AT6" s="17" t="s">
        <v>199</v>
      </c>
      <c r="AU6" s="17" t="s">
        <v>200</v>
      </c>
      <c r="AV6" s="17" t="s">
        <v>201</v>
      </c>
      <c r="AW6" s="17" t="s">
        <v>202</v>
      </c>
      <c r="AX6" s="17" t="s">
        <v>203</v>
      </c>
      <c r="AY6" s="17" t="s">
        <v>204</v>
      </c>
      <c r="BA6" s="17" t="s">
        <v>205</v>
      </c>
      <c r="BB6" s="17" t="s">
        <v>206</v>
      </c>
      <c r="BC6" s="17" t="s">
        <v>207</v>
      </c>
    </row>
    <row r="7" spans="1:55" ht="16" customHeight="1">
      <c r="A7" s="14" t="s">
        <v>235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</row>
    <row r="8" spans="1:55">
      <c r="A8" s="18" t="s">
        <v>236</v>
      </c>
      <c r="B8" s="16"/>
      <c r="C8" s="29">
        <f>'Assumptions'!$F$13</f>
        <v>0</v>
      </c>
      <c r="D8" s="29">
        <f>C11</f>
        <v>0</v>
      </c>
      <c r="E8" s="29">
        <f>D11</f>
        <v>0</v>
      </c>
      <c r="F8" s="29">
        <f>E11</f>
        <v>0</v>
      </c>
      <c r="G8" s="29">
        <f>F11</f>
        <v>0</v>
      </c>
      <c r="H8" s="29">
        <f>G11</f>
        <v>0</v>
      </c>
      <c r="I8" s="29">
        <f>H11</f>
        <v>0</v>
      </c>
      <c r="J8" s="29">
        <f>I11</f>
        <v>0</v>
      </c>
      <c r="K8" s="29">
        <f>J11</f>
        <v>0</v>
      </c>
      <c r="L8" s="29">
        <f>K11</f>
        <v>0</v>
      </c>
      <c r="M8" s="29">
        <f>L11</f>
        <v>0</v>
      </c>
      <c r="N8" s="29">
        <f>M11</f>
        <v>0</v>
      </c>
      <c r="O8" s="29">
        <f>N11</f>
        <v>0</v>
      </c>
      <c r="P8" s="29">
        <f>O11</f>
        <v>0</v>
      </c>
      <c r="Q8" s="29">
        <f>P11</f>
        <v>0</v>
      </c>
      <c r="R8" s="29">
        <f>Q11</f>
        <v>0</v>
      </c>
      <c r="S8" s="29">
        <f>R11</f>
        <v>0</v>
      </c>
      <c r="T8" s="29">
        <f>S11</f>
        <v>0</v>
      </c>
      <c r="U8" s="29">
        <f>T11</f>
        <v>0</v>
      </c>
      <c r="V8" s="29">
        <f>U11</f>
        <v>0</v>
      </c>
      <c r="W8" s="29">
        <f>V11</f>
        <v>0</v>
      </c>
      <c r="X8" s="29">
        <f>W11</f>
        <v>0</v>
      </c>
      <c r="Y8" s="29">
        <f>X11</f>
        <v>0</v>
      </c>
      <c r="Z8" s="29">
        <f>Y11</f>
        <v>0</v>
      </c>
      <c r="AA8" s="29">
        <f>Z11</f>
        <v>0</v>
      </c>
      <c r="AB8" s="29">
        <f>AA11</f>
        <v>0</v>
      </c>
      <c r="AC8" s="29">
        <f>AB11</f>
        <v>0</v>
      </c>
      <c r="AD8" s="29">
        <f>AC11</f>
        <v>0</v>
      </c>
      <c r="AE8" s="29">
        <f>AD11</f>
        <v>0</v>
      </c>
      <c r="AF8" s="29">
        <f>AE11</f>
        <v>0</v>
      </c>
      <c r="AG8" s="29">
        <f>AF11</f>
        <v>0</v>
      </c>
      <c r="AH8" s="29">
        <f>AG11</f>
        <v>0</v>
      </c>
      <c r="AI8" s="29">
        <f>AH11</f>
        <v>0</v>
      </c>
      <c r="AJ8" s="29">
        <f>AI11</f>
        <v>0</v>
      </c>
      <c r="AK8" s="29">
        <f>AJ11</f>
        <v>0</v>
      </c>
      <c r="AL8" s="29">
        <f>AK11</f>
        <v>0</v>
      </c>
      <c r="AN8" s="29">
        <f>E8</f>
        <v>0</v>
      </c>
      <c r="AO8" s="29">
        <f>H8</f>
        <v>0</v>
      </c>
      <c r="AP8" s="29">
        <f>K8</f>
        <v>0</v>
      </c>
      <c r="AQ8" s="29">
        <f>N8</f>
        <v>0</v>
      </c>
      <c r="AR8" s="29">
        <f>Q8</f>
        <v>0</v>
      </c>
      <c r="AS8" s="29">
        <f>T8</f>
        <v>0</v>
      </c>
      <c r="AT8" s="29">
        <f>W8</f>
        <v>0</v>
      </c>
      <c r="AU8" s="29">
        <f>Z8</f>
        <v>0</v>
      </c>
      <c r="AV8" s="29">
        <f>AC8</f>
        <v>0</v>
      </c>
      <c r="AW8" s="29">
        <f>AF8</f>
        <v>0</v>
      </c>
      <c r="AX8" s="29">
        <f>AI8</f>
        <v>0</v>
      </c>
      <c r="AY8" s="29">
        <f>AL8</f>
        <v>0</v>
      </c>
      <c r="BA8" s="29">
        <f>N8</f>
        <v>0</v>
      </c>
      <c r="BB8" s="29">
        <f>Z8</f>
        <v>0</v>
      </c>
      <c r="BC8" s="29">
        <f>AL8</f>
        <v>0</v>
      </c>
    </row>
    <row r="9" spans="1:55">
      <c r="A9" s="18" t="s">
        <v>237</v>
      </c>
      <c r="B9" s="16"/>
      <c r="C9" s="29">
        <f>'Assumptions'!$F$14</f>
        <v>0</v>
      </c>
      <c r="D9" s="29">
        <f>C9*(1+'Assumptions'!$F$15)</f>
        <v>0</v>
      </c>
      <c r="E9" s="29">
        <f>D9*(1+'Assumptions'!$F$15)</f>
        <v>0</v>
      </c>
      <c r="F9" s="29">
        <f>E9*(1+'Assumptions'!$F$15)</f>
        <v>0</v>
      </c>
      <c r="G9" s="29">
        <f>F9*(1+'Assumptions'!$F$15)</f>
        <v>0</v>
      </c>
      <c r="H9" s="29">
        <f>G9*(1+'Assumptions'!$F$15)</f>
        <v>0</v>
      </c>
      <c r="I9" s="29">
        <f>H9*(1+'Assumptions'!$F$15)</f>
        <v>0</v>
      </c>
      <c r="J9" s="29">
        <f>I9*(1+'Assumptions'!$F$15)</f>
        <v>0</v>
      </c>
      <c r="K9" s="29">
        <f>J9*(1+'Assumptions'!$F$15)</f>
        <v>0</v>
      </c>
      <c r="L9" s="29">
        <f>K9*(1+'Assumptions'!$F$15)</f>
        <v>0</v>
      </c>
      <c r="M9" s="29">
        <f>L9*(1+'Assumptions'!$F$15)</f>
        <v>0</v>
      </c>
      <c r="N9" s="29">
        <f>M9*(1+'Assumptions'!$F$15)</f>
        <v>0</v>
      </c>
      <c r="O9" s="29">
        <f>N9*(1+'Assumptions'!$F$15)</f>
        <v>0</v>
      </c>
      <c r="P9" s="29">
        <f>O9*(1+'Assumptions'!$F$15)</f>
        <v>0</v>
      </c>
      <c r="Q9" s="29">
        <f>P9*(1+'Assumptions'!$F$15)</f>
        <v>0</v>
      </c>
      <c r="R9" s="29">
        <f>Q9*(1+'Assumptions'!$F$15)</f>
        <v>0</v>
      </c>
      <c r="S9" s="29">
        <f>R9*(1+'Assumptions'!$F$15)</f>
        <v>0</v>
      </c>
      <c r="T9" s="29">
        <f>S9*(1+'Assumptions'!$F$15)</f>
        <v>0</v>
      </c>
      <c r="U9" s="29">
        <f>T9*(1+'Assumptions'!$F$15)</f>
        <v>0</v>
      </c>
      <c r="V9" s="29">
        <f>U9*(1+'Assumptions'!$F$15)</f>
        <v>0</v>
      </c>
      <c r="W9" s="29">
        <f>V9*(1+'Assumptions'!$F$15)</f>
        <v>0</v>
      </c>
      <c r="X9" s="29">
        <f>W9*(1+'Assumptions'!$F$15)</f>
        <v>0</v>
      </c>
      <c r="Y9" s="29">
        <f>X9*(1+'Assumptions'!$F$15)</f>
        <v>0</v>
      </c>
      <c r="Z9" s="29">
        <f>Y9*(1+'Assumptions'!$F$15)</f>
        <v>0</v>
      </c>
      <c r="AA9" s="29">
        <f>Z9*(1+'Assumptions'!$F$15)</f>
        <v>0</v>
      </c>
      <c r="AB9" s="29">
        <f>AA9*(1+'Assumptions'!$F$15)</f>
        <v>0</v>
      </c>
      <c r="AC9" s="29">
        <f>AB9*(1+'Assumptions'!$F$15)</f>
        <v>0</v>
      </c>
      <c r="AD9" s="29">
        <f>AC9*(1+'Assumptions'!$F$15)</f>
        <v>0</v>
      </c>
      <c r="AE9" s="29">
        <f>AD9*(1+'Assumptions'!$F$15)</f>
        <v>0</v>
      </c>
      <c r="AF9" s="29">
        <f>AE9*(1+'Assumptions'!$F$15)</f>
        <v>0</v>
      </c>
      <c r="AG9" s="29">
        <f>AF9*(1+'Assumptions'!$F$15)</f>
        <v>0</v>
      </c>
      <c r="AH9" s="29">
        <f>AG9*(1+'Assumptions'!$F$15)</f>
        <v>0</v>
      </c>
      <c r="AI9" s="29">
        <f>AH9*(1+'Assumptions'!$F$15)</f>
        <v>0</v>
      </c>
      <c r="AJ9" s="29">
        <f>AI9*(1+'Assumptions'!$F$15)</f>
        <v>0</v>
      </c>
      <c r="AK9" s="29">
        <f>AJ9*(1+'Assumptions'!$F$15)</f>
        <v>0</v>
      </c>
      <c r="AL9" s="29">
        <f>AK9*(1+'Assumptions'!$F$15)</f>
        <v>0</v>
      </c>
      <c r="AN9" s="29">
        <f>SUM(C9:E9)</f>
        <v>0</v>
      </c>
      <c r="AO9" s="29">
        <f>SUM(F9:H9)</f>
        <v>0</v>
      </c>
      <c r="AP9" s="29">
        <f>SUM(I9:K9)</f>
        <v>0</v>
      </c>
      <c r="AQ9" s="29">
        <f>SUM(L9:N9)</f>
        <v>0</v>
      </c>
      <c r="AR9" s="29">
        <f>SUM(O9:Q9)</f>
        <v>0</v>
      </c>
      <c r="AS9" s="29">
        <f>SUM(R9:T9)</f>
        <v>0</v>
      </c>
      <c r="AT9" s="29">
        <f>SUM(U9:W9)</f>
        <v>0</v>
      </c>
      <c r="AU9" s="29">
        <f>SUM(X9:Z9)</f>
        <v>0</v>
      </c>
      <c r="AV9" s="29">
        <f>SUM(AA9:AC9)</f>
        <v>0</v>
      </c>
      <c r="AW9" s="29">
        <f>SUM(AD9:AF9)</f>
        <v>0</v>
      </c>
      <c r="AX9" s="29">
        <f>SUM(AG9:AI9)</f>
        <v>0</v>
      </c>
      <c r="AY9" s="29">
        <f>SUM(AJ9:AL9)</f>
        <v>0</v>
      </c>
      <c r="BA9" s="29">
        <f>SUM(C9:N9)</f>
        <v>0</v>
      </c>
      <c r="BB9" s="29">
        <f>SUM(O9:Z9)</f>
        <v>0</v>
      </c>
      <c r="BC9" s="29">
        <f>SUM(AA9:AL9)</f>
        <v>0</v>
      </c>
    </row>
    <row r="10" spans="1:55">
      <c r="A10" s="18" t="s">
        <v>238</v>
      </c>
      <c r="B10" s="16"/>
      <c r="C10" s="29">
        <f>-C8*'Assumptions'!$F$16</f>
        <v>0</v>
      </c>
      <c r="D10" s="29">
        <f>-D8*'Assumptions'!$F$16</f>
        <v>0</v>
      </c>
      <c r="E10" s="29">
        <f>-E8*'Assumptions'!$F$16</f>
        <v>0</v>
      </c>
      <c r="F10" s="29">
        <f>-F8*'Assumptions'!$F$16</f>
        <v>0</v>
      </c>
      <c r="G10" s="29">
        <f>-G8*'Assumptions'!$F$16</f>
        <v>0</v>
      </c>
      <c r="H10" s="29">
        <f>-H8*'Assumptions'!$F$16</f>
        <v>0</v>
      </c>
      <c r="I10" s="29">
        <f>-I8*'Assumptions'!$F$16</f>
        <v>0</v>
      </c>
      <c r="J10" s="29">
        <f>-J8*'Assumptions'!$F$16</f>
        <v>0</v>
      </c>
      <c r="K10" s="29">
        <f>-K8*'Assumptions'!$F$16</f>
        <v>0</v>
      </c>
      <c r="L10" s="29">
        <f>-L8*'Assumptions'!$F$16</f>
        <v>0</v>
      </c>
      <c r="M10" s="29">
        <f>-M8*'Assumptions'!$F$16</f>
        <v>0</v>
      </c>
      <c r="N10" s="29">
        <f>-N8*'Assumptions'!$F$16</f>
        <v>0</v>
      </c>
      <c r="O10" s="29">
        <f>-O8*'Assumptions'!$F$16</f>
        <v>0</v>
      </c>
      <c r="P10" s="29">
        <f>-P8*'Assumptions'!$F$16</f>
        <v>0</v>
      </c>
      <c r="Q10" s="29">
        <f>-Q8*'Assumptions'!$F$16</f>
        <v>0</v>
      </c>
      <c r="R10" s="29">
        <f>-R8*'Assumptions'!$F$16</f>
        <v>0</v>
      </c>
      <c r="S10" s="29">
        <f>-S8*'Assumptions'!$F$16</f>
        <v>0</v>
      </c>
      <c r="T10" s="29">
        <f>-T8*'Assumptions'!$F$16</f>
        <v>0</v>
      </c>
      <c r="U10" s="29">
        <f>-U8*'Assumptions'!$F$16</f>
        <v>0</v>
      </c>
      <c r="V10" s="29">
        <f>-V8*'Assumptions'!$F$16</f>
        <v>0</v>
      </c>
      <c r="W10" s="29">
        <f>-W8*'Assumptions'!$F$16</f>
        <v>0</v>
      </c>
      <c r="X10" s="29">
        <f>-X8*'Assumptions'!$F$16</f>
        <v>0</v>
      </c>
      <c r="Y10" s="29">
        <f>-Y8*'Assumptions'!$F$16</f>
        <v>0</v>
      </c>
      <c r="Z10" s="29">
        <f>-Z8*'Assumptions'!$F$16</f>
        <v>0</v>
      </c>
      <c r="AA10" s="29">
        <f>-AA8*'Assumptions'!$F$16</f>
        <v>0</v>
      </c>
      <c r="AB10" s="29">
        <f>-AB8*'Assumptions'!$F$16</f>
        <v>0</v>
      </c>
      <c r="AC10" s="29">
        <f>-AC8*'Assumptions'!$F$16</f>
        <v>0</v>
      </c>
      <c r="AD10" s="29">
        <f>-AD8*'Assumptions'!$F$16</f>
        <v>0</v>
      </c>
      <c r="AE10" s="29">
        <f>-AE8*'Assumptions'!$F$16</f>
        <v>0</v>
      </c>
      <c r="AF10" s="29">
        <f>-AF8*'Assumptions'!$F$16</f>
        <v>0</v>
      </c>
      <c r="AG10" s="29">
        <f>-AG8*'Assumptions'!$F$16</f>
        <v>0</v>
      </c>
      <c r="AH10" s="29">
        <f>-AH8*'Assumptions'!$F$16</f>
        <v>0</v>
      </c>
      <c r="AI10" s="29">
        <f>-AI8*'Assumptions'!$F$16</f>
        <v>0</v>
      </c>
      <c r="AJ10" s="29">
        <f>-AJ8*'Assumptions'!$F$16</f>
        <v>0</v>
      </c>
      <c r="AK10" s="29">
        <f>-AK8*'Assumptions'!$F$16</f>
        <v>0</v>
      </c>
      <c r="AL10" s="29">
        <f>-AL8*'Assumptions'!$F$16</f>
        <v>0</v>
      </c>
      <c r="AN10" s="29">
        <f>SUM(C10:E10)</f>
        <v>0</v>
      </c>
      <c r="AO10" s="29">
        <f>SUM(F10:H10)</f>
        <v>0</v>
      </c>
      <c r="AP10" s="29">
        <f>SUM(I10:K10)</f>
        <v>0</v>
      </c>
      <c r="AQ10" s="29">
        <f>SUM(L10:N10)</f>
        <v>0</v>
      </c>
      <c r="AR10" s="29">
        <f>SUM(O10:Q10)</f>
        <v>0</v>
      </c>
      <c r="AS10" s="29">
        <f>SUM(R10:T10)</f>
        <v>0</v>
      </c>
      <c r="AT10" s="29">
        <f>SUM(U10:W10)</f>
        <v>0</v>
      </c>
      <c r="AU10" s="29">
        <f>SUM(X10:Z10)</f>
        <v>0</v>
      </c>
      <c r="AV10" s="29">
        <f>SUM(AA10:AC10)</f>
        <v>0</v>
      </c>
      <c r="AW10" s="29">
        <f>SUM(AD10:AF10)</f>
        <v>0</v>
      </c>
      <c r="AX10" s="29">
        <f>SUM(AG10:AI10)</f>
        <v>0</v>
      </c>
      <c r="AY10" s="29">
        <f>SUM(AJ10:AL10)</f>
        <v>0</v>
      </c>
      <c r="BA10" s="29">
        <f>SUM(C10:N10)</f>
        <v>0</v>
      </c>
      <c r="BB10" s="29">
        <f>SUM(O10:Z10)</f>
        <v>0</v>
      </c>
      <c r="BC10" s="29">
        <f>SUM(AA10:AL10)</f>
        <v>0</v>
      </c>
    </row>
    <row r="11" spans="1:55">
      <c r="A11" s="30" t="s">
        <v>239</v>
      </c>
      <c r="B11" s="16"/>
      <c r="C11" s="29">
        <f>C8+C9+C10</f>
        <v>0</v>
      </c>
      <c r="D11" s="29">
        <f>D8+D9+D10</f>
        <v>0</v>
      </c>
      <c r="E11" s="29">
        <f>E8+E9+E10</f>
        <v>0</v>
      </c>
      <c r="F11" s="29">
        <f>F8+F9+F10</f>
        <v>0</v>
      </c>
      <c r="G11" s="29">
        <f>G8+G9+G10</f>
        <v>0</v>
      </c>
      <c r="H11" s="29">
        <f>H8+H9+H10</f>
        <v>0</v>
      </c>
      <c r="I11" s="29">
        <f>I8+I9+I10</f>
        <v>0</v>
      </c>
      <c r="J11" s="29">
        <f>J8+J9+J10</f>
        <v>0</v>
      </c>
      <c r="K11" s="29">
        <f>K8+K9+K10</f>
        <v>0</v>
      </c>
      <c r="L11" s="29">
        <f>L8+L9+L10</f>
        <v>0</v>
      </c>
      <c r="M11" s="29">
        <f>M8+M9+M10</f>
        <v>0</v>
      </c>
      <c r="N11" s="29">
        <f>N8+N9+N10</f>
        <v>0</v>
      </c>
      <c r="O11" s="29">
        <f>O8+O9+O10</f>
        <v>0</v>
      </c>
      <c r="P11" s="29">
        <f>P8+P9+P10</f>
        <v>0</v>
      </c>
      <c r="Q11" s="29">
        <f>Q8+Q9+Q10</f>
        <v>0</v>
      </c>
      <c r="R11" s="29">
        <f>R8+R9+R10</f>
        <v>0</v>
      </c>
      <c r="S11" s="29">
        <f>S8+S9+S10</f>
        <v>0</v>
      </c>
      <c r="T11" s="29">
        <f>T8+T9+T10</f>
        <v>0</v>
      </c>
      <c r="U11" s="29">
        <f>U8+U9+U10</f>
        <v>0</v>
      </c>
      <c r="V11" s="29">
        <f>V8+V9+V10</f>
        <v>0</v>
      </c>
      <c r="W11" s="29">
        <f>W8+W9+W10</f>
        <v>0</v>
      </c>
      <c r="X11" s="29">
        <f>X8+X9+X10</f>
        <v>0</v>
      </c>
      <c r="Y11" s="29">
        <f>Y8+Y9+Y10</f>
        <v>0</v>
      </c>
      <c r="Z11" s="29">
        <f>Z8+Z9+Z10</f>
        <v>0</v>
      </c>
      <c r="AA11" s="29">
        <f>AA8+AA9+AA10</f>
        <v>0</v>
      </c>
      <c r="AB11" s="29">
        <f>AB8+AB9+AB10</f>
        <v>0</v>
      </c>
      <c r="AC11" s="29">
        <f>AC8+AC9+AC10</f>
        <v>0</v>
      </c>
      <c r="AD11" s="29">
        <f>AD8+AD9+AD10</f>
        <v>0</v>
      </c>
      <c r="AE11" s="29">
        <f>AE8+AE9+AE10</f>
        <v>0</v>
      </c>
      <c r="AF11" s="29">
        <f>AF8+AF9+AF10</f>
        <v>0</v>
      </c>
      <c r="AG11" s="29">
        <f>AG8+AG9+AG10</f>
        <v>0</v>
      </c>
      <c r="AH11" s="29">
        <f>AH8+AH9+AH10</f>
        <v>0</v>
      </c>
      <c r="AI11" s="29">
        <f>AI8+AI9+AI10</f>
        <v>0</v>
      </c>
      <c r="AJ11" s="29">
        <f>AJ8+AJ9+AJ10</f>
        <v>0</v>
      </c>
      <c r="AK11" s="29">
        <f>AK8+AK9+AK10</f>
        <v>0</v>
      </c>
      <c r="AL11" s="29">
        <f>AL8+AL9+AL10</f>
        <v>0</v>
      </c>
      <c r="AN11" s="29">
        <f>E11</f>
        <v>0</v>
      </c>
      <c r="AO11" s="29">
        <f>H11</f>
        <v>0</v>
      </c>
      <c r="AP11" s="29">
        <f>K11</f>
        <v>0</v>
      </c>
      <c r="AQ11" s="29">
        <f>N11</f>
        <v>0</v>
      </c>
      <c r="AR11" s="29">
        <f>Q11</f>
        <v>0</v>
      </c>
      <c r="AS11" s="29">
        <f>T11</f>
        <v>0</v>
      </c>
      <c r="AT11" s="29">
        <f>W11</f>
        <v>0</v>
      </c>
      <c r="AU11" s="29">
        <f>Z11</f>
        <v>0</v>
      </c>
      <c r="AV11" s="29">
        <f>AC11</f>
        <v>0</v>
      </c>
      <c r="AW11" s="29">
        <f>AF11</f>
        <v>0</v>
      </c>
      <c r="AX11" s="29">
        <f>AI11</f>
        <v>0</v>
      </c>
      <c r="AY11" s="29">
        <f>AL11</f>
        <v>0</v>
      </c>
      <c r="BA11" s="29">
        <f>N11</f>
        <v>0</v>
      </c>
      <c r="BB11" s="29">
        <f>Z11</f>
        <v>0</v>
      </c>
      <c r="BC11" s="29">
        <f>AL11</f>
        <v>0</v>
      </c>
    </row>
    <row r="12" spans="1:55">
      <c r="A12" s="18" t="s">
        <v>240</v>
      </c>
      <c r="B12" s="16" t="s">
        <v>241</v>
      </c>
      <c r="C12" s="32">
        <f>'Assumptions'!$F$17</f>
        <v>0</v>
      </c>
      <c r="D12" s="32">
        <f>C12*(1+'Assumptions'!$F$18)</f>
        <v>0</v>
      </c>
      <c r="E12" s="32">
        <f>D12*(1+'Assumptions'!$F$18)</f>
        <v>0</v>
      </c>
      <c r="F12" s="32">
        <f>E12*(1+'Assumptions'!$F$18)</f>
        <v>0</v>
      </c>
      <c r="G12" s="32">
        <f>F12*(1+'Assumptions'!$F$18)</f>
        <v>0</v>
      </c>
      <c r="H12" s="32">
        <f>G12*(1+'Assumptions'!$F$18)</f>
        <v>0</v>
      </c>
      <c r="I12" s="32">
        <f>H12*(1+'Assumptions'!$F$18)</f>
        <v>0</v>
      </c>
      <c r="J12" s="32">
        <f>I12*(1+'Assumptions'!$F$18)</f>
        <v>0</v>
      </c>
      <c r="K12" s="32">
        <f>J12*(1+'Assumptions'!$F$18)</f>
        <v>0</v>
      </c>
      <c r="L12" s="32">
        <f>K12*(1+'Assumptions'!$F$18)</f>
        <v>0</v>
      </c>
      <c r="M12" s="32">
        <f>L12*(1+'Assumptions'!$F$18)</f>
        <v>0</v>
      </c>
      <c r="N12" s="32">
        <f>M12*(1+'Assumptions'!$F$18)</f>
        <v>0</v>
      </c>
      <c r="O12" s="32">
        <f>N12*(1+'Assumptions'!$F$18)</f>
        <v>0</v>
      </c>
      <c r="P12" s="32">
        <f>O12*(1+'Assumptions'!$F$18)</f>
        <v>0</v>
      </c>
      <c r="Q12" s="32">
        <f>P12*(1+'Assumptions'!$F$18)</f>
        <v>0</v>
      </c>
      <c r="R12" s="32">
        <f>Q12*(1+'Assumptions'!$F$18)</f>
        <v>0</v>
      </c>
      <c r="S12" s="32">
        <f>R12*(1+'Assumptions'!$F$18)</f>
        <v>0</v>
      </c>
      <c r="T12" s="32">
        <f>S12*(1+'Assumptions'!$F$18)</f>
        <v>0</v>
      </c>
      <c r="U12" s="32">
        <f>T12*(1+'Assumptions'!$F$18)</f>
        <v>0</v>
      </c>
      <c r="V12" s="32">
        <f>U12*(1+'Assumptions'!$F$18)</f>
        <v>0</v>
      </c>
      <c r="W12" s="32">
        <f>V12*(1+'Assumptions'!$F$18)</f>
        <v>0</v>
      </c>
      <c r="X12" s="32">
        <f>W12*(1+'Assumptions'!$F$18)</f>
        <v>0</v>
      </c>
      <c r="Y12" s="32">
        <f>X12*(1+'Assumptions'!$F$18)</f>
        <v>0</v>
      </c>
      <c r="Z12" s="32">
        <f>Y12*(1+'Assumptions'!$F$18)</f>
        <v>0</v>
      </c>
      <c r="AA12" s="32">
        <f>Z12*(1+'Assumptions'!$F$18)</f>
        <v>0</v>
      </c>
      <c r="AB12" s="32">
        <f>AA12*(1+'Assumptions'!$F$18)</f>
        <v>0</v>
      </c>
      <c r="AC12" s="32">
        <f>AB12*(1+'Assumptions'!$F$18)</f>
        <v>0</v>
      </c>
      <c r="AD12" s="32">
        <f>AC12*(1+'Assumptions'!$F$18)</f>
        <v>0</v>
      </c>
      <c r="AE12" s="32">
        <f>AD12*(1+'Assumptions'!$F$18)</f>
        <v>0</v>
      </c>
      <c r="AF12" s="32">
        <f>AE12*(1+'Assumptions'!$F$18)</f>
        <v>0</v>
      </c>
      <c r="AG12" s="32">
        <f>AF12*(1+'Assumptions'!$F$18)</f>
        <v>0</v>
      </c>
      <c r="AH12" s="32">
        <f>AG12*(1+'Assumptions'!$F$18)</f>
        <v>0</v>
      </c>
      <c r="AI12" s="32">
        <f>AH12*(1+'Assumptions'!$F$18)</f>
        <v>0</v>
      </c>
      <c r="AJ12" s="32">
        <f>AI12*(1+'Assumptions'!$F$18)</f>
        <v>0</v>
      </c>
      <c r="AK12" s="32">
        <f>AJ12*(1+'Assumptions'!$F$18)</f>
        <v>0</v>
      </c>
      <c r="AL12" s="32">
        <f>AK12*(1+'Assumptions'!$F$18)</f>
        <v>0</v>
      </c>
      <c r="AN12" s="32">
        <f>AVERAGE(C12:E12)</f>
        <v>0</v>
      </c>
      <c r="AO12" s="32">
        <f>AVERAGE(F12:H12)</f>
        <v>0</v>
      </c>
      <c r="AP12" s="32">
        <f>AVERAGE(I12:K12)</f>
        <v>0</v>
      </c>
      <c r="AQ12" s="32">
        <f>AVERAGE(L12:N12)</f>
        <v>0</v>
      </c>
      <c r="AR12" s="32">
        <f>AVERAGE(O12:Q12)</f>
        <v>0</v>
      </c>
      <c r="AS12" s="32">
        <f>AVERAGE(R12:T12)</f>
        <v>0</v>
      </c>
      <c r="AT12" s="32">
        <f>AVERAGE(U12:W12)</f>
        <v>0</v>
      </c>
      <c r="AU12" s="32">
        <f>AVERAGE(X12:Z12)</f>
        <v>0</v>
      </c>
      <c r="AV12" s="32">
        <f>AVERAGE(AA12:AC12)</f>
        <v>0</v>
      </c>
      <c r="AW12" s="32">
        <f>AVERAGE(AD12:AF12)</f>
        <v>0</v>
      </c>
      <c r="AX12" s="32">
        <f>AVERAGE(AG12:AI12)</f>
        <v>0</v>
      </c>
      <c r="AY12" s="32">
        <f>AVERAGE(AJ12:AL12)</f>
        <v>0</v>
      </c>
      <c r="BA12" s="32">
        <f>AVERAGE(C12:N12)</f>
        <v>0</v>
      </c>
      <c r="BB12" s="32">
        <f>AVERAGE(O12:Z12)</f>
        <v>0</v>
      </c>
      <c r="BC12" s="32">
        <f>AVERAGE(AA12:AL12)</f>
        <v>0</v>
      </c>
    </row>
    <row r="13" spans="1:55">
      <c r="A13" s="18" t="s">
        <v>242</v>
      </c>
      <c r="B13" s="16" t="s">
        <v>243</v>
      </c>
      <c r="C13" s="20">
        <f>C11*C12</f>
        <v>0</v>
      </c>
      <c r="D13" s="20">
        <f>D11*D12</f>
        <v>0</v>
      </c>
      <c r="E13" s="20">
        <f>E11*E12</f>
        <v>0</v>
      </c>
      <c r="F13" s="20">
        <f>F11*F12</f>
        <v>0</v>
      </c>
      <c r="G13" s="20">
        <f>G11*G12</f>
        <v>0</v>
      </c>
      <c r="H13" s="20">
        <f>H11*H12</f>
        <v>0</v>
      </c>
      <c r="I13" s="20">
        <f>I11*I12</f>
        <v>0</v>
      </c>
      <c r="J13" s="20">
        <f>J11*J12</f>
        <v>0</v>
      </c>
      <c r="K13" s="20">
        <f>K11*K12</f>
        <v>0</v>
      </c>
      <c r="L13" s="20">
        <f>L11*L12</f>
        <v>0</v>
      </c>
      <c r="M13" s="20">
        <f>M11*M12</f>
        <v>0</v>
      </c>
      <c r="N13" s="20">
        <f>N11*N12</f>
        <v>0</v>
      </c>
      <c r="O13" s="20">
        <f>O11*O12</f>
        <v>0</v>
      </c>
      <c r="P13" s="20">
        <f>P11*P12</f>
        <v>0</v>
      </c>
      <c r="Q13" s="20">
        <f>Q11*Q12</f>
        <v>0</v>
      </c>
      <c r="R13" s="20">
        <f>R11*R12</f>
        <v>0</v>
      </c>
      <c r="S13" s="20">
        <f>S11*S12</f>
        <v>0</v>
      </c>
      <c r="T13" s="20">
        <f>T11*T12</f>
        <v>0</v>
      </c>
      <c r="U13" s="20">
        <f>U11*U12</f>
        <v>0</v>
      </c>
      <c r="V13" s="20">
        <f>V11*V12</f>
        <v>0</v>
      </c>
      <c r="W13" s="20">
        <f>W11*W12</f>
        <v>0</v>
      </c>
      <c r="X13" s="20">
        <f>X11*X12</f>
        <v>0</v>
      </c>
      <c r="Y13" s="20">
        <f>Y11*Y12</f>
        <v>0</v>
      </c>
      <c r="Z13" s="20">
        <f>Z11*Z12</f>
        <v>0</v>
      </c>
      <c r="AA13" s="20">
        <f>AA11*AA12</f>
        <v>0</v>
      </c>
      <c r="AB13" s="20">
        <f>AB11*AB12</f>
        <v>0</v>
      </c>
      <c r="AC13" s="20">
        <f>AC11*AC12</f>
        <v>0</v>
      </c>
      <c r="AD13" s="20">
        <f>AD11*AD12</f>
        <v>0</v>
      </c>
      <c r="AE13" s="20">
        <f>AE11*AE12</f>
        <v>0</v>
      </c>
      <c r="AF13" s="20">
        <f>AF11*AF12</f>
        <v>0</v>
      </c>
      <c r="AG13" s="20">
        <f>AG11*AG12</f>
        <v>0</v>
      </c>
      <c r="AH13" s="20">
        <f>AH11*AH12</f>
        <v>0</v>
      </c>
      <c r="AI13" s="20">
        <f>AI11*AI12</f>
        <v>0</v>
      </c>
      <c r="AJ13" s="20">
        <f>AJ11*AJ12</f>
        <v>0</v>
      </c>
      <c r="AK13" s="20">
        <f>AK11*AK12</f>
        <v>0</v>
      </c>
      <c r="AL13" s="20">
        <f>AL11*AL12</f>
        <v>0</v>
      </c>
      <c r="AN13" s="20">
        <f>SUM(C13:E13)</f>
        <v>0</v>
      </c>
      <c r="AO13" s="20">
        <f>SUM(F13:H13)</f>
        <v>0</v>
      </c>
      <c r="AP13" s="20">
        <f>SUM(I13:K13)</f>
        <v>0</v>
      </c>
      <c r="AQ13" s="20">
        <f>SUM(L13:N13)</f>
        <v>0</v>
      </c>
      <c r="AR13" s="20">
        <f>SUM(O13:Q13)</f>
        <v>0</v>
      </c>
      <c r="AS13" s="20">
        <f>SUM(R13:T13)</f>
        <v>0</v>
      </c>
      <c r="AT13" s="20">
        <f>SUM(U13:W13)</f>
        <v>0</v>
      </c>
      <c r="AU13" s="20">
        <f>SUM(X13:Z13)</f>
        <v>0</v>
      </c>
      <c r="AV13" s="20">
        <f>SUM(AA13:AC13)</f>
        <v>0</v>
      </c>
      <c r="AW13" s="20">
        <f>SUM(AD13:AF13)</f>
        <v>0</v>
      </c>
      <c r="AX13" s="20">
        <f>SUM(AG13:AI13)</f>
        <v>0</v>
      </c>
      <c r="AY13" s="20">
        <f>SUM(AJ13:AL13)</f>
        <v>0</v>
      </c>
      <c r="BA13" s="20">
        <f>SUM(C13:N13)</f>
        <v>0</v>
      </c>
      <c r="BB13" s="20">
        <f>SUM(O13:Z13)</f>
        <v>0</v>
      </c>
      <c r="BC13" s="20">
        <f>SUM(AA13:AL13)</f>
        <v>0</v>
      </c>
    </row>
    <row r="14" spans="1:55" ht="5" customHeight="1"/>
    <row r="15" spans="1:55" ht="16" customHeight="1">
      <c r="A15" s="14" t="s">
        <v>244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</row>
    <row r="16" spans="1:55">
      <c r="A16" s="18" t="s">
        <v>245</v>
      </c>
      <c r="B16" s="16"/>
      <c r="C16" s="29">
        <f>'Assumptions'!$F$19</f>
        <v>0</v>
      </c>
      <c r="D16" s="29">
        <f>C19</f>
        <v>0</v>
      </c>
      <c r="E16" s="29">
        <f>D19</f>
        <v>0</v>
      </c>
      <c r="F16" s="29">
        <f>E19</f>
        <v>0</v>
      </c>
      <c r="G16" s="29">
        <f>F19</f>
        <v>0</v>
      </c>
      <c r="H16" s="29">
        <f>G19</f>
        <v>0</v>
      </c>
      <c r="I16" s="29">
        <f>H19</f>
        <v>0</v>
      </c>
      <c r="J16" s="29">
        <f>I19</f>
        <v>0</v>
      </c>
      <c r="K16" s="29">
        <f>J19</f>
        <v>0</v>
      </c>
      <c r="L16" s="29">
        <f>K19</f>
        <v>0</v>
      </c>
      <c r="M16" s="29">
        <f>L19</f>
        <v>0</v>
      </c>
      <c r="N16" s="29">
        <f>M19</f>
        <v>0</v>
      </c>
      <c r="O16" s="29">
        <f>N19</f>
        <v>0</v>
      </c>
      <c r="P16" s="29">
        <f>O19</f>
        <v>0</v>
      </c>
      <c r="Q16" s="29">
        <f>P19</f>
        <v>0</v>
      </c>
      <c r="R16" s="29">
        <f>Q19</f>
        <v>0</v>
      </c>
      <c r="S16" s="29">
        <f>R19</f>
        <v>0</v>
      </c>
      <c r="T16" s="29">
        <f>S19</f>
        <v>0</v>
      </c>
      <c r="U16" s="29">
        <f>T19</f>
        <v>0</v>
      </c>
      <c r="V16" s="29">
        <f>U19</f>
        <v>0</v>
      </c>
      <c r="W16" s="29">
        <f>V19</f>
        <v>0</v>
      </c>
      <c r="X16" s="29">
        <f>W19</f>
        <v>0</v>
      </c>
      <c r="Y16" s="29">
        <f>X19</f>
        <v>0</v>
      </c>
      <c r="Z16" s="29">
        <f>Y19</f>
        <v>0</v>
      </c>
      <c r="AA16" s="29">
        <f>Z19</f>
        <v>0</v>
      </c>
      <c r="AB16" s="29">
        <f>AA19</f>
        <v>0</v>
      </c>
      <c r="AC16" s="29">
        <f>AB19</f>
        <v>0</v>
      </c>
      <c r="AD16" s="29">
        <f>AC19</f>
        <v>0</v>
      </c>
      <c r="AE16" s="29">
        <f>AD19</f>
        <v>0</v>
      </c>
      <c r="AF16" s="29">
        <f>AE19</f>
        <v>0</v>
      </c>
      <c r="AG16" s="29">
        <f>AF19</f>
        <v>0</v>
      </c>
      <c r="AH16" s="29">
        <f>AG19</f>
        <v>0</v>
      </c>
      <c r="AI16" s="29">
        <f>AH19</f>
        <v>0</v>
      </c>
      <c r="AJ16" s="29">
        <f>AI19</f>
        <v>0</v>
      </c>
      <c r="AK16" s="29">
        <f>AJ19</f>
        <v>0</v>
      </c>
      <c r="AL16" s="29">
        <f>AK19</f>
        <v>0</v>
      </c>
      <c r="AN16" s="29">
        <f>E16</f>
        <v>0</v>
      </c>
      <c r="AO16" s="29">
        <f>H16</f>
        <v>0</v>
      </c>
      <c r="AP16" s="29">
        <f>K16</f>
        <v>0</v>
      </c>
      <c r="AQ16" s="29">
        <f>N16</f>
        <v>0</v>
      </c>
      <c r="AR16" s="29">
        <f>Q16</f>
        <v>0</v>
      </c>
      <c r="AS16" s="29">
        <f>T16</f>
        <v>0</v>
      </c>
      <c r="AT16" s="29">
        <f>W16</f>
        <v>0</v>
      </c>
      <c r="AU16" s="29">
        <f>Z16</f>
        <v>0</v>
      </c>
      <c r="AV16" s="29">
        <f>AC16</f>
        <v>0</v>
      </c>
      <c r="AW16" s="29">
        <f>AF16</f>
        <v>0</v>
      </c>
      <c r="AX16" s="29">
        <f>AI16</f>
        <v>0</v>
      </c>
      <c r="AY16" s="29">
        <f>AL16</f>
        <v>0</v>
      </c>
      <c r="BA16" s="29">
        <f>N16</f>
        <v>0</v>
      </c>
      <c r="BB16" s="29">
        <f>Z16</f>
        <v>0</v>
      </c>
      <c r="BC16" s="29">
        <f>AL16</f>
        <v>0</v>
      </c>
    </row>
    <row r="17" spans="1:55">
      <c r="A17" s="18" t="s">
        <v>246</v>
      </c>
      <c r="B17" s="16"/>
      <c r="C17" s="29">
        <f>'Assumptions'!$F$20</f>
        <v>0</v>
      </c>
      <c r="D17" s="29">
        <f>C17*(1+'Assumptions'!$F$21)</f>
        <v>0</v>
      </c>
      <c r="E17" s="29">
        <f>D17*(1+'Assumptions'!$F$21)</f>
        <v>0</v>
      </c>
      <c r="F17" s="29">
        <f>E17*(1+'Assumptions'!$F$21)</f>
        <v>0</v>
      </c>
      <c r="G17" s="29">
        <f>F17*(1+'Assumptions'!$F$21)</f>
        <v>0</v>
      </c>
      <c r="H17" s="29">
        <f>G17*(1+'Assumptions'!$F$21)</f>
        <v>0</v>
      </c>
      <c r="I17" s="29">
        <f>H17*(1+'Assumptions'!$F$21)</f>
        <v>0</v>
      </c>
      <c r="J17" s="29">
        <f>I17*(1+'Assumptions'!$F$21)</f>
        <v>0</v>
      </c>
      <c r="K17" s="29">
        <f>J17*(1+'Assumptions'!$F$21)</f>
        <v>0</v>
      </c>
      <c r="L17" s="29">
        <f>K17*(1+'Assumptions'!$F$21)</f>
        <v>0</v>
      </c>
      <c r="M17" s="29">
        <f>L17*(1+'Assumptions'!$F$21)</f>
        <v>0</v>
      </c>
      <c r="N17" s="29">
        <f>M17*(1+'Assumptions'!$F$21)</f>
        <v>0</v>
      </c>
      <c r="O17" s="29">
        <f>N17*(1+'Assumptions'!$F$21)</f>
        <v>0</v>
      </c>
      <c r="P17" s="29">
        <f>O17*(1+'Assumptions'!$F$21)</f>
        <v>0</v>
      </c>
      <c r="Q17" s="29">
        <f>P17*(1+'Assumptions'!$F$21)</f>
        <v>0</v>
      </c>
      <c r="R17" s="29">
        <f>Q17*(1+'Assumptions'!$F$21)</f>
        <v>0</v>
      </c>
      <c r="S17" s="29">
        <f>R17*(1+'Assumptions'!$F$21)</f>
        <v>0</v>
      </c>
      <c r="T17" s="29">
        <f>S17*(1+'Assumptions'!$F$21)</f>
        <v>0</v>
      </c>
      <c r="U17" s="29">
        <f>T17*(1+'Assumptions'!$F$21)</f>
        <v>0</v>
      </c>
      <c r="V17" s="29">
        <f>U17*(1+'Assumptions'!$F$21)</f>
        <v>0</v>
      </c>
      <c r="W17" s="29">
        <f>V17*(1+'Assumptions'!$F$21)</f>
        <v>0</v>
      </c>
      <c r="X17" s="29">
        <f>W17*(1+'Assumptions'!$F$21)</f>
        <v>0</v>
      </c>
      <c r="Y17" s="29">
        <f>X17*(1+'Assumptions'!$F$21)</f>
        <v>0</v>
      </c>
      <c r="Z17" s="29">
        <f>Y17*(1+'Assumptions'!$F$21)</f>
        <v>0</v>
      </c>
      <c r="AA17" s="29">
        <f>Z17*(1+'Assumptions'!$F$21)</f>
        <v>0</v>
      </c>
      <c r="AB17" s="29">
        <f>AA17*(1+'Assumptions'!$F$21)</f>
        <v>0</v>
      </c>
      <c r="AC17" s="29">
        <f>AB17*(1+'Assumptions'!$F$21)</f>
        <v>0</v>
      </c>
      <c r="AD17" s="29">
        <f>AC17*(1+'Assumptions'!$F$21)</f>
        <v>0</v>
      </c>
      <c r="AE17" s="29">
        <f>AD17*(1+'Assumptions'!$F$21)</f>
        <v>0</v>
      </c>
      <c r="AF17" s="29">
        <f>AE17*(1+'Assumptions'!$F$21)</f>
        <v>0</v>
      </c>
      <c r="AG17" s="29">
        <f>AF17*(1+'Assumptions'!$F$21)</f>
        <v>0</v>
      </c>
      <c r="AH17" s="29">
        <f>AG17*(1+'Assumptions'!$F$21)</f>
        <v>0</v>
      </c>
      <c r="AI17" s="29">
        <f>AH17*(1+'Assumptions'!$F$21)</f>
        <v>0</v>
      </c>
      <c r="AJ17" s="29">
        <f>AI17*(1+'Assumptions'!$F$21)</f>
        <v>0</v>
      </c>
      <c r="AK17" s="29">
        <f>AJ17*(1+'Assumptions'!$F$21)</f>
        <v>0</v>
      </c>
      <c r="AL17" s="29">
        <f>AK17*(1+'Assumptions'!$F$21)</f>
        <v>0</v>
      </c>
      <c r="AN17" s="29">
        <f>SUM(C17:E17)</f>
        <v>0</v>
      </c>
      <c r="AO17" s="29">
        <f>SUM(F17:H17)</f>
        <v>0</v>
      </c>
      <c r="AP17" s="29">
        <f>SUM(I17:K17)</f>
        <v>0</v>
      </c>
      <c r="AQ17" s="29">
        <f>SUM(L17:N17)</f>
        <v>0</v>
      </c>
      <c r="AR17" s="29">
        <f>SUM(O17:Q17)</f>
        <v>0</v>
      </c>
      <c r="AS17" s="29">
        <f>SUM(R17:T17)</f>
        <v>0</v>
      </c>
      <c r="AT17" s="29">
        <f>SUM(U17:W17)</f>
        <v>0</v>
      </c>
      <c r="AU17" s="29">
        <f>SUM(X17:Z17)</f>
        <v>0</v>
      </c>
      <c r="AV17" s="29">
        <f>SUM(AA17:AC17)</f>
        <v>0</v>
      </c>
      <c r="AW17" s="29">
        <f>SUM(AD17:AF17)</f>
        <v>0</v>
      </c>
      <c r="AX17" s="29">
        <f>SUM(AG17:AI17)</f>
        <v>0</v>
      </c>
      <c r="AY17" s="29">
        <f>SUM(AJ17:AL17)</f>
        <v>0</v>
      </c>
      <c r="BA17" s="29">
        <f>SUM(C17:N17)</f>
        <v>0</v>
      </c>
      <c r="BB17" s="29">
        <f>SUM(O17:Z17)</f>
        <v>0</v>
      </c>
      <c r="BC17" s="29">
        <f>SUM(AA17:AL17)</f>
        <v>0</v>
      </c>
    </row>
    <row r="18" spans="1:55">
      <c r="A18" s="18" t="s">
        <v>247</v>
      </c>
      <c r="B18" s="16"/>
      <c r="C18" s="29">
        <f>-C16*'Assumptions'!$F$22</f>
        <v>0</v>
      </c>
      <c r="D18" s="29">
        <f>-D16*'Assumptions'!$F$22</f>
        <v>0</v>
      </c>
      <c r="E18" s="29">
        <f>-E16*'Assumptions'!$F$22</f>
        <v>0</v>
      </c>
      <c r="F18" s="29">
        <f>-F16*'Assumptions'!$F$22</f>
        <v>0</v>
      </c>
      <c r="G18" s="29">
        <f>-G16*'Assumptions'!$F$22</f>
        <v>0</v>
      </c>
      <c r="H18" s="29">
        <f>-H16*'Assumptions'!$F$22</f>
        <v>0</v>
      </c>
      <c r="I18" s="29">
        <f>-I16*'Assumptions'!$F$22</f>
        <v>0</v>
      </c>
      <c r="J18" s="29">
        <f>-J16*'Assumptions'!$F$22</f>
        <v>0</v>
      </c>
      <c r="K18" s="29">
        <f>-K16*'Assumptions'!$F$22</f>
        <v>0</v>
      </c>
      <c r="L18" s="29">
        <f>-L16*'Assumptions'!$F$22</f>
        <v>0</v>
      </c>
      <c r="M18" s="29">
        <f>-M16*'Assumptions'!$F$22</f>
        <v>0</v>
      </c>
      <c r="N18" s="29">
        <f>-N16*'Assumptions'!$F$22</f>
        <v>0</v>
      </c>
      <c r="O18" s="29">
        <f>-O16*'Assumptions'!$F$22</f>
        <v>0</v>
      </c>
      <c r="P18" s="29">
        <f>-P16*'Assumptions'!$F$22</f>
        <v>0</v>
      </c>
      <c r="Q18" s="29">
        <f>-Q16*'Assumptions'!$F$22</f>
        <v>0</v>
      </c>
      <c r="R18" s="29">
        <f>-R16*'Assumptions'!$F$22</f>
        <v>0</v>
      </c>
      <c r="S18" s="29">
        <f>-S16*'Assumptions'!$F$22</f>
        <v>0</v>
      </c>
      <c r="T18" s="29">
        <f>-T16*'Assumptions'!$F$22</f>
        <v>0</v>
      </c>
      <c r="U18" s="29">
        <f>-U16*'Assumptions'!$F$22</f>
        <v>0</v>
      </c>
      <c r="V18" s="29">
        <f>-V16*'Assumptions'!$F$22</f>
        <v>0</v>
      </c>
      <c r="W18" s="29">
        <f>-W16*'Assumptions'!$F$22</f>
        <v>0</v>
      </c>
      <c r="X18" s="29">
        <f>-X16*'Assumptions'!$F$22</f>
        <v>0</v>
      </c>
      <c r="Y18" s="29">
        <f>-Y16*'Assumptions'!$F$22</f>
        <v>0</v>
      </c>
      <c r="Z18" s="29">
        <f>-Z16*'Assumptions'!$F$22</f>
        <v>0</v>
      </c>
      <c r="AA18" s="29">
        <f>-AA16*'Assumptions'!$F$22</f>
        <v>0</v>
      </c>
      <c r="AB18" s="29">
        <f>-AB16*'Assumptions'!$F$22</f>
        <v>0</v>
      </c>
      <c r="AC18" s="29">
        <f>-AC16*'Assumptions'!$F$22</f>
        <v>0</v>
      </c>
      <c r="AD18" s="29">
        <f>-AD16*'Assumptions'!$F$22</f>
        <v>0</v>
      </c>
      <c r="AE18" s="29">
        <f>-AE16*'Assumptions'!$F$22</f>
        <v>0</v>
      </c>
      <c r="AF18" s="29">
        <f>-AF16*'Assumptions'!$F$22</f>
        <v>0</v>
      </c>
      <c r="AG18" s="29">
        <f>-AG16*'Assumptions'!$F$22</f>
        <v>0</v>
      </c>
      <c r="AH18" s="29">
        <f>-AH16*'Assumptions'!$F$22</f>
        <v>0</v>
      </c>
      <c r="AI18" s="29">
        <f>-AI16*'Assumptions'!$F$22</f>
        <v>0</v>
      </c>
      <c r="AJ18" s="29">
        <f>-AJ16*'Assumptions'!$F$22</f>
        <v>0</v>
      </c>
      <c r="AK18" s="29">
        <f>-AK16*'Assumptions'!$F$22</f>
        <v>0</v>
      </c>
      <c r="AL18" s="29">
        <f>-AL16*'Assumptions'!$F$22</f>
        <v>0</v>
      </c>
      <c r="AN18" s="29">
        <f>SUM(C18:E18)</f>
        <v>0</v>
      </c>
      <c r="AO18" s="29">
        <f>SUM(F18:H18)</f>
        <v>0</v>
      </c>
      <c r="AP18" s="29">
        <f>SUM(I18:K18)</f>
        <v>0</v>
      </c>
      <c r="AQ18" s="29">
        <f>SUM(L18:N18)</f>
        <v>0</v>
      </c>
      <c r="AR18" s="29">
        <f>SUM(O18:Q18)</f>
        <v>0</v>
      </c>
      <c r="AS18" s="29">
        <f>SUM(R18:T18)</f>
        <v>0</v>
      </c>
      <c r="AT18" s="29">
        <f>SUM(U18:W18)</f>
        <v>0</v>
      </c>
      <c r="AU18" s="29">
        <f>SUM(X18:Z18)</f>
        <v>0</v>
      </c>
      <c r="AV18" s="29">
        <f>SUM(AA18:AC18)</f>
        <v>0</v>
      </c>
      <c r="AW18" s="29">
        <f>SUM(AD18:AF18)</f>
        <v>0</v>
      </c>
      <c r="AX18" s="29">
        <f>SUM(AG18:AI18)</f>
        <v>0</v>
      </c>
      <c r="AY18" s="29">
        <f>SUM(AJ18:AL18)</f>
        <v>0</v>
      </c>
      <c r="BA18" s="29">
        <f>SUM(C18:N18)</f>
        <v>0</v>
      </c>
      <c r="BB18" s="29">
        <f>SUM(O18:Z18)</f>
        <v>0</v>
      </c>
      <c r="BC18" s="29">
        <f>SUM(AA18:AL18)</f>
        <v>0</v>
      </c>
    </row>
    <row r="19" spans="1:55">
      <c r="A19" s="30" t="s">
        <v>248</v>
      </c>
      <c r="B19" s="16"/>
      <c r="C19" s="29">
        <f>C16+C17+C18</f>
        <v>0</v>
      </c>
      <c r="D19" s="29">
        <f>D16+D17+D18</f>
        <v>0</v>
      </c>
      <c r="E19" s="29">
        <f>E16+E17+E18</f>
        <v>0</v>
      </c>
      <c r="F19" s="29">
        <f>F16+F17+F18</f>
        <v>0</v>
      </c>
      <c r="G19" s="29">
        <f>G16+G17+G18</f>
        <v>0</v>
      </c>
      <c r="H19" s="29">
        <f>H16+H17+H18</f>
        <v>0</v>
      </c>
      <c r="I19" s="29">
        <f>I16+I17+I18</f>
        <v>0</v>
      </c>
      <c r="J19" s="29">
        <f>J16+J17+J18</f>
        <v>0</v>
      </c>
      <c r="K19" s="29">
        <f>K16+K17+K18</f>
        <v>0</v>
      </c>
      <c r="L19" s="29">
        <f>L16+L17+L18</f>
        <v>0</v>
      </c>
      <c r="M19" s="29">
        <f>M16+M17+M18</f>
        <v>0</v>
      </c>
      <c r="N19" s="29">
        <f>N16+N17+N18</f>
        <v>0</v>
      </c>
      <c r="O19" s="29">
        <f>O16+O17+O18</f>
        <v>0</v>
      </c>
      <c r="P19" s="29">
        <f>P16+P17+P18</f>
        <v>0</v>
      </c>
      <c r="Q19" s="29">
        <f>Q16+Q17+Q18</f>
        <v>0</v>
      </c>
      <c r="R19" s="29">
        <f>R16+R17+R18</f>
        <v>0</v>
      </c>
      <c r="S19" s="29">
        <f>S16+S17+S18</f>
        <v>0</v>
      </c>
      <c r="T19" s="29">
        <f>T16+T17+T18</f>
        <v>0</v>
      </c>
      <c r="U19" s="29">
        <f>U16+U17+U18</f>
        <v>0</v>
      </c>
      <c r="V19" s="29">
        <f>V16+V17+V18</f>
        <v>0</v>
      </c>
      <c r="W19" s="29">
        <f>W16+W17+W18</f>
        <v>0</v>
      </c>
      <c r="X19" s="29">
        <f>X16+X17+X18</f>
        <v>0</v>
      </c>
      <c r="Y19" s="29">
        <f>Y16+Y17+Y18</f>
        <v>0</v>
      </c>
      <c r="Z19" s="29">
        <f>Z16+Z17+Z18</f>
        <v>0</v>
      </c>
      <c r="AA19" s="29">
        <f>AA16+AA17+AA18</f>
        <v>0</v>
      </c>
      <c r="AB19" s="29">
        <f>AB16+AB17+AB18</f>
        <v>0</v>
      </c>
      <c r="AC19" s="29">
        <f>AC16+AC17+AC18</f>
        <v>0</v>
      </c>
      <c r="AD19" s="29">
        <f>AD16+AD17+AD18</f>
        <v>0</v>
      </c>
      <c r="AE19" s="29">
        <f>AE16+AE17+AE18</f>
        <v>0</v>
      </c>
      <c r="AF19" s="29">
        <f>AF16+AF17+AF18</f>
        <v>0</v>
      </c>
      <c r="AG19" s="29">
        <f>AG16+AG17+AG18</f>
        <v>0</v>
      </c>
      <c r="AH19" s="29">
        <f>AH16+AH17+AH18</f>
        <v>0</v>
      </c>
      <c r="AI19" s="29">
        <f>AI16+AI17+AI18</f>
        <v>0</v>
      </c>
      <c r="AJ19" s="29">
        <f>AJ16+AJ17+AJ18</f>
        <v>0</v>
      </c>
      <c r="AK19" s="29">
        <f>AK16+AK17+AK18</f>
        <v>0</v>
      </c>
      <c r="AL19" s="29">
        <f>AL16+AL17+AL18</f>
        <v>0</v>
      </c>
      <c r="AN19" s="29">
        <f>E19</f>
        <v>0</v>
      </c>
      <c r="AO19" s="29">
        <f>H19</f>
        <v>0</v>
      </c>
      <c r="AP19" s="29">
        <f>K19</f>
        <v>0</v>
      </c>
      <c r="AQ19" s="29">
        <f>N19</f>
        <v>0</v>
      </c>
      <c r="AR19" s="29">
        <f>Q19</f>
        <v>0</v>
      </c>
      <c r="AS19" s="29">
        <f>T19</f>
        <v>0</v>
      </c>
      <c r="AT19" s="29">
        <f>W19</f>
        <v>0</v>
      </c>
      <c r="AU19" s="29">
        <f>Z19</f>
        <v>0</v>
      </c>
      <c r="AV19" s="29">
        <f>AC19</f>
        <v>0</v>
      </c>
      <c r="AW19" s="29">
        <f>AF19</f>
        <v>0</v>
      </c>
      <c r="AX19" s="29">
        <f>AI19</f>
        <v>0</v>
      </c>
      <c r="AY19" s="29">
        <f>AL19</f>
        <v>0</v>
      </c>
      <c r="BA19" s="29">
        <f>N19</f>
        <v>0</v>
      </c>
      <c r="BB19" s="29">
        <f>Z19</f>
        <v>0</v>
      </c>
      <c r="BC19" s="29">
        <f>AL19</f>
        <v>0</v>
      </c>
    </row>
    <row r="20" spans="1:55">
      <c r="A20" s="18" t="s">
        <v>249</v>
      </c>
      <c r="B20" s="16" t="s">
        <v>241</v>
      </c>
      <c r="C20" s="32">
        <f>'Assumptions'!$F$23</f>
        <v>0</v>
      </c>
      <c r="D20" s="32">
        <f>C20*(1+'Assumptions'!$F$24)</f>
        <v>0</v>
      </c>
      <c r="E20" s="32">
        <f>D20*(1+'Assumptions'!$F$24)</f>
        <v>0</v>
      </c>
      <c r="F20" s="32">
        <f>E20*(1+'Assumptions'!$F$24)</f>
        <v>0</v>
      </c>
      <c r="G20" s="32">
        <f>F20*(1+'Assumptions'!$F$24)</f>
        <v>0</v>
      </c>
      <c r="H20" s="32">
        <f>G20*(1+'Assumptions'!$F$24)</f>
        <v>0</v>
      </c>
      <c r="I20" s="32">
        <f>H20*(1+'Assumptions'!$F$24)</f>
        <v>0</v>
      </c>
      <c r="J20" s="32">
        <f>I20*(1+'Assumptions'!$F$24)</f>
        <v>0</v>
      </c>
      <c r="K20" s="32">
        <f>J20*(1+'Assumptions'!$F$24)</f>
        <v>0</v>
      </c>
      <c r="L20" s="32">
        <f>K20*(1+'Assumptions'!$F$24)</f>
        <v>0</v>
      </c>
      <c r="M20" s="32">
        <f>L20*(1+'Assumptions'!$F$24)</f>
        <v>0</v>
      </c>
      <c r="N20" s="32">
        <f>M20*(1+'Assumptions'!$F$24)</f>
        <v>0</v>
      </c>
      <c r="O20" s="32">
        <f>N20*(1+'Assumptions'!$F$24)</f>
        <v>0</v>
      </c>
      <c r="P20" s="32">
        <f>O20*(1+'Assumptions'!$F$24)</f>
        <v>0</v>
      </c>
      <c r="Q20" s="32">
        <f>P20*(1+'Assumptions'!$F$24)</f>
        <v>0</v>
      </c>
      <c r="R20" s="32">
        <f>Q20*(1+'Assumptions'!$F$24)</f>
        <v>0</v>
      </c>
      <c r="S20" s="32">
        <f>R20*(1+'Assumptions'!$F$24)</f>
        <v>0</v>
      </c>
      <c r="T20" s="32">
        <f>S20*(1+'Assumptions'!$F$24)</f>
        <v>0</v>
      </c>
      <c r="U20" s="32">
        <f>T20*(1+'Assumptions'!$F$24)</f>
        <v>0</v>
      </c>
      <c r="V20" s="32">
        <f>U20*(1+'Assumptions'!$F$24)</f>
        <v>0</v>
      </c>
      <c r="W20" s="32">
        <f>V20*(1+'Assumptions'!$F$24)</f>
        <v>0</v>
      </c>
      <c r="X20" s="32">
        <f>W20*(1+'Assumptions'!$F$24)</f>
        <v>0</v>
      </c>
      <c r="Y20" s="32">
        <f>X20*(1+'Assumptions'!$F$24)</f>
        <v>0</v>
      </c>
      <c r="Z20" s="32">
        <f>Y20*(1+'Assumptions'!$F$24)</f>
        <v>0</v>
      </c>
      <c r="AA20" s="32">
        <f>Z20*(1+'Assumptions'!$F$24)</f>
        <v>0</v>
      </c>
      <c r="AB20" s="32">
        <f>AA20*(1+'Assumptions'!$F$24)</f>
        <v>0</v>
      </c>
      <c r="AC20" s="32">
        <f>AB20*(1+'Assumptions'!$F$24)</f>
        <v>0</v>
      </c>
      <c r="AD20" s="32">
        <f>AC20*(1+'Assumptions'!$F$24)</f>
        <v>0</v>
      </c>
      <c r="AE20" s="32">
        <f>AD20*(1+'Assumptions'!$F$24)</f>
        <v>0</v>
      </c>
      <c r="AF20" s="32">
        <f>AE20*(1+'Assumptions'!$F$24)</f>
        <v>0</v>
      </c>
      <c r="AG20" s="32">
        <f>AF20*(1+'Assumptions'!$F$24)</f>
        <v>0</v>
      </c>
      <c r="AH20" s="32">
        <f>AG20*(1+'Assumptions'!$F$24)</f>
        <v>0</v>
      </c>
      <c r="AI20" s="32">
        <f>AH20*(1+'Assumptions'!$F$24)</f>
        <v>0</v>
      </c>
      <c r="AJ20" s="32">
        <f>AI20*(1+'Assumptions'!$F$24)</f>
        <v>0</v>
      </c>
      <c r="AK20" s="32">
        <f>AJ20*(1+'Assumptions'!$F$24)</f>
        <v>0</v>
      </c>
      <c r="AL20" s="32">
        <f>AK20*(1+'Assumptions'!$F$24)</f>
        <v>0</v>
      </c>
      <c r="AN20" s="32">
        <f>AVERAGE(C20:E20)</f>
        <v>0</v>
      </c>
      <c r="AO20" s="32">
        <f>AVERAGE(F20:H20)</f>
        <v>0</v>
      </c>
      <c r="AP20" s="32">
        <f>AVERAGE(I20:K20)</f>
        <v>0</v>
      </c>
      <c r="AQ20" s="32">
        <f>AVERAGE(L20:N20)</f>
        <v>0</v>
      </c>
      <c r="AR20" s="32">
        <f>AVERAGE(O20:Q20)</f>
        <v>0</v>
      </c>
      <c r="AS20" s="32">
        <f>AVERAGE(R20:T20)</f>
        <v>0</v>
      </c>
      <c r="AT20" s="32">
        <f>AVERAGE(U20:W20)</f>
        <v>0</v>
      </c>
      <c r="AU20" s="32">
        <f>AVERAGE(X20:Z20)</f>
        <v>0</v>
      </c>
      <c r="AV20" s="32">
        <f>AVERAGE(AA20:AC20)</f>
        <v>0</v>
      </c>
      <c r="AW20" s="32">
        <f>AVERAGE(AD20:AF20)</f>
        <v>0</v>
      </c>
      <c r="AX20" s="32">
        <f>AVERAGE(AG20:AI20)</f>
        <v>0</v>
      </c>
      <c r="AY20" s="32">
        <f>AVERAGE(AJ20:AL20)</f>
        <v>0</v>
      </c>
      <c r="BA20" s="32">
        <f>AVERAGE(C20:N20)</f>
        <v>0</v>
      </c>
      <c r="BB20" s="32">
        <f>AVERAGE(O20:Z20)</f>
        <v>0</v>
      </c>
      <c r="BC20" s="32">
        <f>AVERAGE(AA20:AL20)</f>
        <v>0</v>
      </c>
    </row>
    <row r="21" spans="1:55">
      <c r="A21" s="18" t="s">
        <v>250</v>
      </c>
      <c r="B21" s="16" t="s">
        <v>243</v>
      </c>
      <c r="C21" s="20">
        <f>C19*C20</f>
        <v>0</v>
      </c>
      <c r="D21" s="20">
        <f>D19*D20</f>
        <v>0</v>
      </c>
      <c r="E21" s="20">
        <f>E19*E20</f>
        <v>0</v>
      </c>
      <c r="F21" s="20">
        <f>F19*F20</f>
        <v>0</v>
      </c>
      <c r="G21" s="20">
        <f>G19*G20</f>
        <v>0</v>
      </c>
      <c r="H21" s="20">
        <f>H19*H20</f>
        <v>0</v>
      </c>
      <c r="I21" s="20">
        <f>I19*I20</f>
        <v>0</v>
      </c>
      <c r="J21" s="20">
        <f>J19*J20</f>
        <v>0</v>
      </c>
      <c r="K21" s="20">
        <f>K19*K20</f>
        <v>0</v>
      </c>
      <c r="L21" s="20">
        <f>L19*L20</f>
        <v>0</v>
      </c>
      <c r="M21" s="20">
        <f>M19*M20</f>
        <v>0</v>
      </c>
      <c r="N21" s="20">
        <f>N19*N20</f>
        <v>0</v>
      </c>
      <c r="O21" s="20">
        <f>O19*O20</f>
        <v>0</v>
      </c>
      <c r="P21" s="20">
        <f>P19*P20</f>
        <v>0</v>
      </c>
      <c r="Q21" s="20">
        <f>Q19*Q20</f>
        <v>0</v>
      </c>
      <c r="R21" s="20">
        <f>R19*R20</f>
        <v>0</v>
      </c>
      <c r="S21" s="20">
        <f>S19*S20</f>
        <v>0</v>
      </c>
      <c r="T21" s="20">
        <f>T19*T20</f>
        <v>0</v>
      </c>
      <c r="U21" s="20">
        <f>U19*U20</f>
        <v>0</v>
      </c>
      <c r="V21" s="20">
        <f>V19*V20</f>
        <v>0</v>
      </c>
      <c r="W21" s="20">
        <f>W19*W20</f>
        <v>0</v>
      </c>
      <c r="X21" s="20">
        <f>X19*X20</f>
        <v>0</v>
      </c>
      <c r="Y21" s="20">
        <f>Y19*Y20</f>
        <v>0</v>
      </c>
      <c r="Z21" s="20">
        <f>Z19*Z20</f>
        <v>0</v>
      </c>
      <c r="AA21" s="20">
        <f>AA19*AA20</f>
        <v>0</v>
      </c>
      <c r="AB21" s="20">
        <f>AB19*AB20</f>
        <v>0</v>
      </c>
      <c r="AC21" s="20">
        <f>AC19*AC20</f>
        <v>0</v>
      </c>
      <c r="AD21" s="20">
        <f>AD19*AD20</f>
        <v>0</v>
      </c>
      <c r="AE21" s="20">
        <f>AE19*AE20</f>
        <v>0</v>
      </c>
      <c r="AF21" s="20">
        <f>AF19*AF20</f>
        <v>0</v>
      </c>
      <c r="AG21" s="20">
        <f>AG19*AG20</f>
        <v>0</v>
      </c>
      <c r="AH21" s="20">
        <f>AH19*AH20</f>
        <v>0</v>
      </c>
      <c r="AI21" s="20">
        <f>AI19*AI20</f>
        <v>0</v>
      </c>
      <c r="AJ21" s="20">
        <f>AJ19*AJ20</f>
        <v>0</v>
      </c>
      <c r="AK21" s="20">
        <f>AK19*AK20</f>
        <v>0</v>
      </c>
      <c r="AL21" s="20">
        <f>AL19*AL20</f>
        <v>0</v>
      </c>
      <c r="AN21" s="20">
        <f>SUM(C21:E21)</f>
        <v>0</v>
      </c>
      <c r="AO21" s="20">
        <f>SUM(F21:H21)</f>
        <v>0</v>
      </c>
      <c r="AP21" s="20">
        <f>SUM(I21:K21)</f>
        <v>0</v>
      </c>
      <c r="AQ21" s="20">
        <f>SUM(L21:N21)</f>
        <v>0</v>
      </c>
      <c r="AR21" s="20">
        <f>SUM(O21:Q21)</f>
        <v>0</v>
      </c>
      <c r="AS21" s="20">
        <f>SUM(R21:T21)</f>
        <v>0</v>
      </c>
      <c r="AT21" s="20">
        <f>SUM(U21:W21)</f>
        <v>0</v>
      </c>
      <c r="AU21" s="20">
        <f>SUM(X21:Z21)</f>
        <v>0</v>
      </c>
      <c r="AV21" s="20">
        <f>SUM(AA21:AC21)</f>
        <v>0</v>
      </c>
      <c r="AW21" s="20">
        <f>SUM(AD21:AF21)</f>
        <v>0</v>
      </c>
      <c r="AX21" s="20">
        <f>SUM(AG21:AI21)</f>
        <v>0</v>
      </c>
      <c r="AY21" s="20">
        <f>SUM(AJ21:AL21)</f>
        <v>0</v>
      </c>
      <c r="BA21" s="20">
        <f>SUM(C21:N21)</f>
        <v>0</v>
      </c>
      <c r="BB21" s="20">
        <f>SUM(O21:Z21)</f>
        <v>0</v>
      </c>
      <c r="BC21" s="20">
        <f>SUM(AA21:AL21)</f>
        <v>0</v>
      </c>
    </row>
    <row r="22" spans="1:55" ht="5" customHeight="1"/>
    <row r="23" spans="1:55" ht="16" customHeight="1">
      <c r="A23" s="14" t="s">
        <v>251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</row>
    <row r="24" spans="1:55">
      <c r="A24" s="18" t="s">
        <v>252</v>
      </c>
      <c r="B24" s="16"/>
      <c r="C24" s="29">
        <f>'Assumptions'!$F$25</f>
        <v>0</v>
      </c>
      <c r="D24" s="29">
        <f>C27</f>
        <v>0</v>
      </c>
      <c r="E24" s="29">
        <f>D27</f>
        <v>0</v>
      </c>
      <c r="F24" s="29">
        <f>E27</f>
        <v>0</v>
      </c>
      <c r="G24" s="29">
        <f>F27</f>
        <v>0</v>
      </c>
      <c r="H24" s="29">
        <f>G27</f>
        <v>0</v>
      </c>
      <c r="I24" s="29">
        <f>H27</f>
        <v>0</v>
      </c>
      <c r="J24" s="29">
        <f>I27</f>
        <v>0</v>
      </c>
      <c r="K24" s="29">
        <f>J27</f>
        <v>0</v>
      </c>
      <c r="L24" s="29">
        <f>K27</f>
        <v>0</v>
      </c>
      <c r="M24" s="29">
        <f>L27</f>
        <v>0</v>
      </c>
      <c r="N24" s="29">
        <f>M27</f>
        <v>0</v>
      </c>
      <c r="O24" s="29">
        <f>N27</f>
        <v>0</v>
      </c>
      <c r="P24" s="29">
        <f>O27</f>
        <v>0</v>
      </c>
      <c r="Q24" s="29">
        <f>P27</f>
        <v>0</v>
      </c>
      <c r="R24" s="29">
        <f>Q27</f>
        <v>0</v>
      </c>
      <c r="S24" s="29">
        <f>R27</f>
        <v>0</v>
      </c>
      <c r="T24" s="29">
        <f>S27</f>
        <v>0</v>
      </c>
      <c r="U24" s="29">
        <f>T27</f>
        <v>0</v>
      </c>
      <c r="V24" s="29">
        <f>U27</f>
        <v>0</v>
      </c>
      <c r="W24" s="29">
        <f>V27</f>
        <v>0</v>
      </c>
      <c r="X24" s="29">
        <f>W27</f>
        <v>0</v>
      </c>
      <c r="Y24" s="29">
        <f>X27</f>
        <v>0</v>
      </c>
      <c r="Z24" s="29">
        <f>Y27</f>
        <v>0</v>
      </c>
      <c r="AA24" s="29">
        <f>Z27</f>
        <v>0</v>
      </c>
      <c r="AB24" s="29">
        <f>AA27</f>
        <v>0</v>
      </c>
      <c r="AC24" s="29">
        <f>AB27</f>
        <v>0</v>
      </c>
      <c r="AD24" s="29">
        <f>AC27</f>
        <v>0</v>
      </c>
      <c r="AE24" s="29">
        <f>AD27</f>
        <v>0</v>
      </c>
      <c r="AF24" s="29">
        <f>AE27</f>
        <v>0</v>
      </c>
      <c r="AG24" s="29">
        <f>AF27</f>
        <v>0</v>
      </c>
      <c r="AH24" s="29">
        <f>AG27</f>
        <v>0</v>
      </c>
      <c r="AI24" s="29">
        <f>AH27</f>
        <v>0</v>
      </c>
      <c r="AJ24" s="29">
        <f>AI27</f>
        <v>0</v>
      </c>
      <c r="AK24" s="29">
        <f>AJ27</f>
        <v>0</v>
      </c>
      <c r="AL24" s="29">
        <f>AK27</f>
        <v>0</v>
      </c>
      <c r="AN24" s="29">
        <f>E24</f>
        <v>0</v>
      </c>
      <c r="AO24" s="29">
        <f>H24</f>
        <v>0</v>
      </c>
      <c r="AP24" s="29">
        <f>K24</f>
        <v>0</v>
      </c>
      <c r="AQ24" s="29">
        <f>N24</f>
        <v>0</v>
      </c>
      <c r="AR24" s="29">
        <f>Q24</f>
        <v>0</v>
      </c>
      <c r="AS24" s="29">
        <f>T24</f>
        <v>0</v>
      </c>
      <c r="AT24" s="29">
        <f>W24</f>
        <v>0</v>
      </c>
      <c r="AU24" s="29">
        <f>Z24</f>
        <v>0</v>
      </c>
      <c r="AV24" s="29">
        <f>AC24</f>
        <v>0</v>
      </c>
      <c r="AW24" s="29">
        <f>AF24</f>
        <v>0</v>
      </c>
      <c r="AX24" s="29">
        <f>AI24</f>
        <v>0</v>
      </c>
      <c r="AY24" s="29">
        <f>AL24</f>
        <v>0</v>
      </c>
      <c r="BA24" s="29">
        <f>N24</f>
        <v>0</v>
      </c>
      <c r="BB24" s="29">
        <f>Z24</f>
        <v>0</v>
      </c>
      <c r="BC24" s="29">
        <f>AL24</f>
        <v>0</v>
      </c>
    </row>
    <row r="25" spans="1:55">
      <c r="A25" s="18" t="s">
        <v>253</v>
      </c>
      <c r="B25" s="16"/>
      <c r="C25" s="29">
        <f>'Assumptions'!$F$26</f>
        <v>0</v>
      </c>
      <c r="D25" s="29">
        <f>C25*(1+'Assumptions'!$F$27)</f>
        <v>0</v>
      </c>
      <c r="E25" s="29">
        <f>D25*(1+'Assumptions'!$F$27)</f>
        <v>0</v>
      </c>
      <c r="F25" s="29">
        <f>E25*(1+'Assumptions'!$F$27)</f>
        <v>0</v>
      </c>
      <c r="G25" s="29">
        <f>F25*(1+'Assumptions'!$F$27)</f>
        <v>0</v>
      </c>
      <c r="H25" s="29">
        <f>G25*(1+'Assumptions'!$F$27)</f>
        <v>0</v>
      </c>
      <c r="I25" s="29">
        <f>H25*(1+'Assumptions'!$F$27)</f>
        <v>0</v>
      </c>
      <c r="J25" s="29">
        <f>I25*(1+'Assumptions'!$F$27)</f>
        <v>0</v>
      </c>
      <c r="K25" s="29">
        <f>J25*(1+'Assumptions'!$F$27)</f>
        <v>0</v>
      </c>
      <c r="L25" s="29">
        <f>K25*(1+'Assumptions'!$F$27)</f>
        <v>0</v>
      </c>
      <c r="M25" s="29">
        <f>L25*(1+'Assumptions'!$F$27)</f>
        <v>0</v>
      </c>
      <c r="N25" s="29">
        <f>M25*(1+'Assumptions'!$F$27)</f>
        <v>0</v>
      </c>
      <c r="O25" s="29">
        <f>N25*(1+'Assumptions'!$F$27)</f>
        <v>0</v>
      </c>
      <c r="P25" s="29">
        <f>O25*(1+'Assumptions'!$F$27)</f>
        <v>0</v>
      </c>
      <c r="Q25" s="29">
        <f>P25*(1+'Assumptions'!$F$27)</f>
        <v>0</v>
      </c>
      <c r="R25" s="29">
        <f>Q25*(1+'Assumptions'!$F$27)</f>
        <v>0</v>
      </c>
      <c r="S25" s="29">
        <f>R25*(1+'Assumptions'!$F$27)</f>
        <v>0</v>
      </c>
      <c r="T25" s="29">
        <f>S25*(1+'Assumptions'!$F$27)</f>
        <v>0</v>
      </c>
      <c r="U25" s="29">
        <f>T25*(1+'Assumptions'!$F$27)</f>
        <v>0</v>
      </c>
      <c r="V25" s="29">
        <f>U25*(1+'Assumptions'!$F$27)</f>
        <v>0</v>
      </c>
      <c r="W25" s="29">
        <f>V25*(1+'Assumptions'!$F$27)</f>
        <v>0</v>
      </c>
      <c r="X25" s="29">
        <f>W25*(1+'Assumptions'!$F$27)</f>
        <v>0</v>
      </c>
      <c r="Y25" s="29">
        <f>X25*(1+'Assumptions'!$F$27)</f>
        <v>0</v>
      </c>
      <c r="Z25" s="29">
        <f>Y25*(1+'Assumptions'!$F$27)</f>
        <v>0</v>
      </c>
      <c r="AA25" s="29">
        <f>Z25*(1+'Assumptions'!$F$27)</f>
        <v>0</v>
      </c>
      <c r="AB25" s="29">
        <f>AA25*(1+'Assumptions'!$F$27)</f>
        <v>0</v>
      </c>
      <c r="AC25" s="29">
        <f>AB25*(1+'Assumptions'!$F$27)</f>
        <v>0</v>
      </c>
      <c r="AD25" s="29">
        <f>AC25*(1+'Assumptions'!$F$27)</f>
        <v>0</v>
      </c>
      <c r="AE25" s="29">
        <f>AD25*(1+'Assumptions'!$F$27)</f>
        <v>0</v>
      </c>
      <c r="AF25" s="29">
        <f>AE25*(1+'Assumptions'!$F$27)</f>
        <v>0</v>
      </c>
      <c r="AG25" s="29">
        <f>AF25*(1+'Assumptions'!$F$27)</f>
        <v>0</v>
      </c>
      <c r="AH25" s="29">
        <f>AG25*(1+'Assumptions'!$F$27)</f>
        <v>0</v>
      </c>
      <c r="AI25" s="29">
        <f>AH25*(1+'Assumptions'!$F$27)</f>
        <v>0</v>
      </c>
      <c r="AJ25" s="29">
        <f>AI25*(1+'Assumptions'!$F$27)</f>
        <v>0</v>
      </c>
      <c r="AK25" s="29">
        <f>AJ25*(1+'Assumptions'!$F$27)</f>
        <v>0</v>
      </c>
      <c r="AL25" s="29">
        <f>AK25*(1+'Assumptions'!$F$27)</f>
        <v>0</v>
      </c>
      <c r="AN25" s="29">
        <f>SUM(C25:E25)</f>
        <v>0</v>
      </c>
      <c r="AO25" s="29">
        <f>SUM(F25:H25)</f>
        <v>0</v>
      </c>
      <c r="AP25" s="29">
        <f>SUM(I25:K25)</f>
        <v>0</v>
      </c>
      <c r="AQ25" s="29">
        <f>SUM(L25:N25)</f>
        <v>0</v>
      </c>
      <c r="AR25" s="29">
        <f>SUM(O25:Q25)</f>
        <v>0</v>
      </c>
      <c r="AS25" s="29">
        <f>SUM(R25:T25)</f>
        <v>0</v>
      </c>
      <c r="AT25" s="29">
        <f>SUM(U25:W25)</f>
        <v>0</v>
      </c>
      <c r="AU25" s="29">
        <f>SUM(X25:Z25)</f>
        <v>0</v>
      </c>
      <c r="AV25" s="29">
        <f>SUM(AA25:AC25)</f>
        <v>0</v>
      </c>
      <c r="AW25" s="29">
        <f>SUM(AD25:AF25)</f>
        <v>0</v>
      </c>
      <c r="AX25" s="29">
        <f>SUM(AG25:AI25)</f>
        <v>0</v>
      </c>
      <c r="AY25" s="29">
        <f>SUM(AJ25:AL25)</f>
        <v>0</v>
      </c>
      <c r="BA25" s="29">
        <f>SUM(C25:N25)</f>
        <v>0</v>
      </c>
      <c r="BB25" s="29">
        <f>SUM(O25:Z25)</f>
        <v>0</v>
      </c>
      <c r="BC25" s="29">
        <f>SUM(AA25:AL25)</f>
        <v>0</v>
      </c>
    </row>
    <row r="26" spans="1:55">
      <c r="A26" s="18" t="s">
        <v>254</v>
      </c>
      <c r="B26" s="16"/>
      <c r="C26" s="29">
        <f>-C24*'Assumptions'!$F$28</f>
        <v>0</v>
      </c>
      <c r="D26" s="29">
        <f>-D24*'Assumptions'!$F$28</f>
        <v>0</v>
      </c>
      <c r="E26" s="29">
        <f>-E24*'Assumptions'!$F$28</f>
        <v>0</v>
      </c>
      <c r="F26" s="29">
        <f>-F24*'Assumptions'!$F$28</f>
        <v>0</v>
      </c>
      <c r="G26" s="29">
        <f>-G24*'Assumptions'!$F$28</f>
        <v>0</v>
      </c>
      <c r="H26" s="29">
        <f>-H24*'Assumptions'!$F$28</f>
        <v>0</v>
      </c>
      <c r="I26" s="29">
        <f>-I24*'Assumptions'!$F$28</f>
        <v>0</v>
      </c>
      <c r="J26" s="29">
        <f>-J24*'Assumptions'!$F$28</f>
        <v>0</v>
      </c>
      <c r="K26" s="29">
        <f>-K24*'Assumptions'!$F$28</f>
        <v>0</v>
      </c>
      <c r="L26" s="29">
        <f>-L24*'Assumptions'!$F$28</f>
        <v>0</v>
      </c>
      <c r="M26" s="29">
        <f>-M24*'Assumptions'!$F$28</f>
        <v>0</v>
      </c>
      <c r="N26" s="29">
        <f>-N24*'Assumptions'!$F$28</f>
        <v>0</v>
      </c>
      <c r="O26" s="29">
        <f>-O24*'Assumptions'!$F$28</f>
        <v>0</v>
      </c>
      <c r="P26" s="29">
        <f>-P24*'Assumptions'!$F$28</f>
        <v>0</v>
      </c>
      <c r="Q26" s="29">
        <f>-Q24*'Assumptions'!$F$28</f>
        <v>0</v>
      </c>
      <c r="R26" s="29">
        <f>-R24*'Assumptions'!$F$28</f>
        <v>0</v>
      </c>
      <c r="S26" s="29">
        <f>-S24*'Assumptions'!$F$28</f>
        <v>0</v>
      </c>
      <c r="T26" s="29">
        <f>-T24*'Assumptions'!$F$28</f>
        <v>0</v>
      </c>
      <c r="U26" s="29">
        <f>-U24*'Assumptions'!$F$28</f>
        <v>0</v>
      </c>
      <c r="V26" s="29">
        <f>-V24*'Assumptions'!$F$28</f>
        <v>0</v>
      </c>
      <c r="W26" s="29">
        <f>-W24*'Assumptions'!$F$28</f>
        <v>0</v>
      </c>
      <c r="X26" s="29">
        <f>-X24*'Assumptions'!$F$28</f>
        <v>0</v>
      </c>
      <c r="Y26" s="29">
        <f>-Y24*'Assumptions'!$F$28</f>
        <v>0</v>
      </c>
      <c r="Z26" s="29">
        <f>-Z24*'Assumptions'!$F$28</f>
        <v>0</v>
      </c>
      <c r="AA26" s="29">
        <f>-AA24*'Assumptions'!$F$28</f>
        <v>0</v>
      </c>
      <c r="AB26" s="29">
        <f>-AB24*'Assumptions'!$F$28</f>
        <v>0</v>
      </c>
      <c r="AC26" s="29">
        <f>-AC24*'Assumptions'!$F$28</f>
        <v>0</v>
      </c>
      <c r="AD26" s="29">
        <f>-AD24*'Assumptions'!$F$28</f>
        <v>0</v>
      </c>
      <c r="AE26" s="29">
        <f>-AE24*'Assumptions'!$F$28</f>
        <v>0</v>
      </c>
      <c r="AF26" s="29">
        <f>-AF24*'Assumptions'!$F$28</f>
        <v>0</v>
      </c>
      <c r="AG26" s="29">
        <f>-AG24*'Assumptions'!$F$28</f>
        <v>0</v>
      </c>
      <c r="AH26" s="29">
        <f>-AH24*'Assumptions'!$F$28</f>
        <v>0</v>
      </c>
      <c r="AI26" s="29">
        <f>-AI24*'Assumptions'!$F$28</f>
        <v>0</v>
      </c>
      <c r="AJ26" s="29">
        <f>-AJ24*'Assumptions'!$F$28</f>
        <v>0</v>
      </c>
      <c r="AK26" s="29">
        <f>-AK24*'Assumptions'!$F$28</f>
        <v>0</v>
      </c>
      <c r="AL26" s="29">
        <f>-AL24*'Assumptions'!$F$28</f>
        <v>0</v>
      </c>
      <c r="AN26" s="29">
        <f>SUM(C26:E26)</f>
        <v>0</v>
      </c>
      <c r="AO26" s="29">
        <f>SUM(F26:H26)</f>
        <v>0</v>
      </c>
      <c r="AP26" s="29">
        <f>SUM(I26:K26)</f>
        <v>0</v>
      </c>
      <c r="AQ26" s="29">
        <f>SUM(L26:N26)</f>
        <v>0</v>
      </c>
      <c r="AR26" s="29">
        <f>SUM(O26:Q26)</f>
        <v>0</v>
      </c>
      <c r="AS26" s="29">
        <f>SUM(R26:T26)</f>
        <v>0</v>
      </c>
      <c r="AT26" s="29">
        <f>SUM(U26:W26)</f>
        <v>0</v>
      </c>
      <c r="AU26" s="29">
        <f>SUM(X26:Z26)</f>
        <v>0</v>
      </c>
      <c r="AV26" s="29">
        <f>SUM(AA26:AC26)</f>
        <v>0</v>
      </c>
      <c r="AW26" s="29">
        <f>SUM(AD26:AF26)</f>
        <v>0</v>
      </c>
      <c r="AX26" s="29">
        <f>SUM(AG26:AI26)</f>
        <v>0</v>
      </c>
      <c r="AY26" s="29">
        <f>SUM(AJ26:AL26)</f>
        <v>0</v>
      </c>
      <c r="BA26" s="29">
        <f>SUM(C26:N26)</f>
        <v>0</v>
      </c>
      <c r="BB26" s="29">
        <f>SUM(O26:Z26)</f>
        <v>0</v>
      </c>
      <c r="BC26" s="29">
        <f>SUM(AA26:AL26)</f>
        <v>0</v>
      </c>
    </row>
    <row r="27" spans="1:55">
      <c r="A27" s="30" t="s">
        <v>255</v>
      </c>
      <c r="B27" s="16"/>
      <c r="C27" s="29">
        <f>C24+C25+C26</f>
        <v>0</v>
      </c>
      <c r="D27" s="29">
        <f>D24+D25+D26</f>
        <v>0</v>
      </c>
      <c r="E27" s="29">
        <f>E24+E25+E26</f>
        <v>0</v>
      </c>
      <c r="F27" s="29">
        <f>F24+F25+F26</f>
        <v>0</v>
      </c>
      <c r="G27" s="29">
        <f>G24+G25+G26</f>
        <v>0</v>
      </c>
      <c r="H27" s="29">
        <f>H24+H25+H26</f>
        <v>0</v>
      </c>
      <c r="I27" s="29">
        <f>I24+I25+I26</f>
        <v>0</v>
      </c>
      <c r="J27" s="29">
        <f>J24+J25+J26</f>
        <v>0</v>
      </c>
      <c r="K27" s="29">
        <f>K24+K25+K26</f>
        <v>0</v>
      </c>
      <c r="L27" s="29">
        <f>L24+L25+L26</f>
        <v>0</v>
      </c>
      <c r="M27" s="29">
        <f>M24+M25+M26</f>
        <v>0</v>
      </c>
      <c r="N27" s="29">
        <f>N24+N25+N26</f>
        <v>0</v>
      </c>
      <c r="O27" s="29">
        <f>O24+O25+O26</f>
        <v>0</v>
      </c>
      <c r="P27" s="29">
        <f>P24+P25+P26</f>
        <v>0</v>
      </c>
      <c r="Q27" s="29">
        <f>Q24+Q25+Q26</f>
        <v>0</v>
      </c>
      <c r="R27" s="29">
        <f>R24+R25+R26</f>
        <v>0</v>
      </c>
      <c r="S27" s="29">
        <f>S24+S25+S26</f>
        <v>0</v>
      </c>
      <c r="T27" s="29">
        <f>T24+T25+T26</f>
        <v>0</v>
      </c>
      <c r="U27" s="29">
        <f>U24+U25+U26</f>
        <v>0</v>
      </c>
      <c r="V27" s="29">
        <f>V24+V25+V26</f>
        <v>0</v>
      </c>
      <c r="W27" s="29">
        <f>W24+W25+W26</f>
        <v>0</v>
      </c>
      <c r="X27" s="29">
        <f>X24+X25+X26</f>
        <v>0</v>
      </c>
      <c r="Y27" s="29">
        <f>Y24+Y25+Y26</f>
        <v>0</v>
      </c>
      <c r="Z27" s="29">
        <f>Z24+Z25+Z26</f>
        <v>0</v>
      </c>
      <c r="AA27" s="29">
        <f>AA24+AA25+AA26</f>
        <v>0</v>
      </c>
      <c r="AB27" s="29">
        <f>AB24+AB25+AB26</f>
        <v>0</v>
      </c>
      <c r="AC27" s="29">
        <f>AC24+AC25+AC26</f>
        <v>0</v>
      </c>
      <c r="AD27" s="29">
        <f>AD24+AD25+AD26</f>
        <v>0</v>
      </c>
      <c r="AE27" s="29">
        <f>AE24+AE25+AE26</f>
        <v>0</v>
      </c>
      <c r="AF27" s="29">
        <f>AF24+AF25+AF26</f>
        <v>0</v>
      </c>
      <c r="AG27" s="29">
        <f>AG24+AG25+AG26</f>
        <v>0</v>
      </c>
      <c r="AH27" s="29">
        <f>AH24+AH25+AH26</f>
        <v>0</v>
      </c>
      <c r="AI27" s="29">
        <f>AI24+AI25+AI26</f>
        <v>0</v>
      </c>
      <c r="AJ27" s="29">
        <f>AJ24+AJ25+AJ26</f>
        <v>0</v>
      </c>
      <c r="AK27" s="29">
        <f>AK24+AK25+AK26</f>
        <v>0</v>
      </c>
      <c r="AL27" s="29">
        <f>AL24+AL25+AL26</f>
        <v>0</v>
      </c>
      <c r="AN27" s="29">
        <f>E27</f>
        <v>0</v>
      </c>
      <c r="AO27" s="29">
        <f>H27</f>
        <v>0</v>
      </c>
      <c r="AP27" s="29">
        <f>K27</f>
        <v>0</v>
      </c>
      <c r="AQ27" s="29">
        <f>N27</f>
        <v>0</v>
      </c>
      <c r="AR27" s="29">
        <f>Q27</f>
        <v>0</v>
      </c>
      <c r="AS27" s="29">
        <f>T27</f>
        <v>0</v>
      </c>
      <c r="AT27" s="29">
        <f>W27</f>
        <v>0</v>
      </c>
      <c r="AU27" s="29">
        <f>Z27</f>
        <v>0</v>
      </c>
      <c r="AV27" s="29">
        <f>AC27</f>
        <v>0</v>
      </c>
      <c r="AW27" s="29">
        <f>AF27</f>
        <v>0</v>
      </c>
      <c r="AX27" s="29">
        <f>AI27</f>
        <v>0</v>
      </c>
      <c r="AY27" s="29">
        <f>AL27</f>
        <v>0</v>
      </c>
      <c r="BA27" s="29">
        <f>N27</f>
        <v>0</v>
      </c>
      <c r="BB27" s="29">
        <f>Z27</f>
        <v>0</v>
      </c>
      <c r="BC27" s="29">
        <f>AL27</f>
        <v>0</v>
      </c>
    </row>
    <row r="28" spans="1:55">
      <c r="A28" s="18" t="s">
        <v>256</v>
      </c>
      <c r="B28" s="16" t="s">
        <v>241</v>
      </c>
      <c r="C28" s="32">
        <f>'Assumptions'!$F$29</f>
        <v>0</v>
      </c>
      <c r="D28" s="32">
        <f>C28*(1+'Assumptions'!$F$30)</f>
        <v>0</v>
      </c>
      <c r="E28" s="32">
        <f>D28*(1+'Assumptions'!$F$30)</f>
        <v>0</v>
      </c>
      <c r="F28" s="32">
        <f>E28*(1+'Assumptions'!$F$30)</f>
        <v>0</v>
      </c>
      <c r="G28" s="32">
        <f>F28*(1+'Assumptions'!$F$30)</f>
        <v>0</v>
      </c>
      <c r="H28" s="32">
        <f>G28*(1+'Assumptions'!$F$30)</f>
        <v>0</v>
      </c>
      <c r="I28" s="32">
        <f>H28*(1+'Assumptions'!$F$30)</f>
        <v>0</v>
      </c>
      <c r="J28" s="32">
        <f>I28*(1+'Assumptions'!$F$30)</f>
        <v>0</v>
      </c>
      <c r="K28" s="32">
        <f>J28*(1+'Assumptions'!$F$30)</f>
        <v>0</v>
      </c>
      <c r="L28" s="32">
        <f>K28*(1+'Assumptions'!$F$30)</f>
        <v>0</v>
      </c>
      <c r="M28" s="32">
        <f>L28*(1+'Assumptions'!$F$30)</f>
        <v>0</v>
      </c>
      <c r="N28" s="32">
        <f>M28*(1+'Assumptions'!$F$30)</f>
        <v>0</v>
      </c>
      <c r="O28" s="32">
        <f>N28*(1+'Assumptions'!$F$30)</f>
        <v>0</v>
      </c>
      <c r="P28" s="32">
        <f>O28*(1+'Assumptions'!$F$30)</f>
        <v>0</v>
      </c>
      <c r="Q28" s="32">
        <f>P28*(1+'Assumptions'!$F$30)</f>
        <v>0</v>
      </c>
      <c r="R28" s="32">
        <f>Q28*(1+'Assumptions'!$F$30)</f>
        <v>0</v>
      </c>
      <c r="S28" s="32">
        <f>R28*(1+'Assumptions'!$F$30)</f>
        <v>0</v>
      </c>
      <c r="T28" s="32">
        <f>S28*(1+'Assumptions'!$F$30)</f>
        <v>0</v>
      </c>
      <c r="U28" s="32">
        <f>T28*(1+'Assumptions'!$F$30)</f>
        <v>0</v>
      </c>
      <c r="V28" s="32">
        <f>U28*(1+'Assumptions'!$F$30)</f>
        <v>0</v>
      </c>
      <c r="W28" s="32">
        <f>V28*(1+'Assumptions'!$F$30)</f>
        <v>0</v>
      </c>
      <c r="X28" s="32">
        <f>W28*(1+'Assumptions'!$F$30)</f>
        <v>0</v>
      </c>
      <c r="Y28" s="32">
        <f>X28*(1+'Assumptions'!$F$30)</f>
        <v>0</v>
      </c>
      <c r="Z28" s="32">
        <f>Y28*(1+'Assumptions'!$F$30)</f>
        <v>0</v>
      </c>
      <c r="AA28" s="32">
        <f>Z28*(1+'Assumptions'!$F$30)</f>
        <v>0</v>
      </c>
      <c r="AB28" s="32">
        <f>AA28*(1+'Assumptions'!$F$30)</f>
        <v>0</v>
      </c>
      <c r="AC28" s="32">
        <f>AB28*(1+'Assumptions'!$F$30)</f>
        <v>0</v>
      </c>
      <c r="AD28" s="32">
        <f>AC28*(1+'Assumptions'!$F$30)</f>
        <v>0</v>
      </c>
      <c r="AE28" s="32">
        <f>AD28*(1+'Assumptions'!$F$30)</f>
        <v>0</v>
      </c>
      <c r="AF28" s="32">
        <f>AE28*(1+'Assumptions'!$F$30)</f>
        <v>0</v>
      </c>
      <c r="AG28" s="32">
        <f>AF28*(1+'Assumptions'!$F$30)</f>
        <v>0</v>
      </c>
      <c r="AH28" s="32">
        <f>AG28*(1+'Assumptions'!$F$30)</f>
        <v>0</v>
      </c>
      <c r="AI28" s="32">
        <f>AH28*(1+'Assumptions'!$F$30)</f>
        <v>0</v>
      </c>
      <c r="AJ28" s="32">
        <f>AI28*(1+'Assumptions'!$F$30)</f>
        <v>0</v>
      </c>
      <c r="AK28" s="32">
        <f>AJ28*(1+'Assumptions'!$F$30)</f>
        <v>0</v>
      </c>
      <c r="AL28" s="32">
        <f>AK28*(1+'Assumptions'!$F$30)</f>
        <v>0</v>
      </c>
      <c r="AN28" s="32">
        <f>AVERAGE(C28:E28)</f>
        <v>0</v>
      </c>
      <c r="AO28" s="32">
        <f>AVERAGE(F28:H28)</f>
        <v>0</v>
      </c>
      <c r="AP28" s="32">
        <f>AVERAGE(I28:K28)</f>
        <v>0</v>
      </c>
      <c r="AQ28" s="32">
        <f>AVERAGE(L28:N28)</f>
        <v>0</v>
      </c>
      <c r="AR28" s="32">
        <f>AVERAGE(O28:Q28)</f>
        <v>0</v>
      </c>
      <c r="AS28" s="32">
        <f>AVERAGE(R28:T28)</f>
        <v>0</v>
      </c>
      <c r="AT28" s="32">
        <f>AVERAGE(U28:W28)</f>
        <v>0</v>
      </c>
      <c r="AU28" s="32">
        <f>AVERAGE(X28:Z28)</f>
        <v>0</v>
      </c>
      <c r="AV28" s="32">
        <f>AVERAGE(AA28:AC28)</f>
        <v>0</v>
      </c>
      <c r="AW28" s="32">
        <f>AVERAGE(AD28:AF28)</f>
        <v>0</v>
      </c>
      <c r="AX28" s="32">
        <f>AVERAGE(AG28:AI28)</f>
        <v>0</v>
      </c>
      <c r="AY28" s="32">
        <f>AVERAGE(AJ28:AL28)</f>
        <v>0</v>
      </c>
      <c r="BA28" s="32">
        <f>AVERAGE(C28:N28)</f>
        <v>0</v>
      </c>
      <c r="BB28" s="32">
        <f>AVERAGE(O28:Z28)</f>
        <v>0</v>
      </c>
      <c r="BC28" s="32">
        <f>AVERAGE(AA28:AL28)</f>
        <v>0</v>
      </c>
    </row>
    <row r="29" spans="1:55">
      <c r="A29" s="18" t="s">
        <v>257</v>
      </c>
      <c r="B29" s="16" t="s">
        <v>243</v>
      </c>
      <c r="C29" s="20">
        <f>C27*C28</f>
        <v>0</v>
      </c>
      <c r="D29" s="20">
        <f>D27*D28</f>
        <v>0</v>
      </c>
      <c r="E29" s="20">
        <f>E27*E28</f>
        <v>0</v>
      </c>
      <c r="F29" s="20">
        <f>F27*F28</f>
        <v>0</v>
      </c>
      <c r="G29" s="20">
        <f>G27*G28</f>
        <v>0</v>
      </c>
      <c r="H29" s="20">
        <f>H27*H28</f>
        <v>0</v>
      </c>
      <c r="I29" s="20">
        <f>I27*I28</f>
        <v>0</v>
      </c>
      <c r="J29" s="20">
        <f>J27*J28</f>
        <v>0</v>
      </c>
      <c r="K29" s="20">
        <f>K27*K28</f>
        <v>0</v>
      </c>
      <c r="L29" s="20">
        <f>L27*L28</f>
        <v>0</v>
      </c>
      <c r="M29" s="20">
        <f>M27*M28</f>
        <v>0</v>
      </c>
      <c r="N29" s="20">
        <f>N27*N28</f>
        <v>0</v>
      </c>
      <c r="O29" s="20">
        <f>O27*O28</f>
        <v>0</v>
      </c>
      <c r="P29" s="20">
        <f>P27*P28</f>
        <v>0</v>
      </c>
      <c r="Q29" s="20">
        <f>Q27*Q28</f>
        <v>0</v>
      </c>
      <c r="R29" s="20">
        <f>R27*R28</f>
        <v>0</v>
      </c>
      <c r="S29" s="20">
        <f>S27*S28</f>
        <v>0</v>
      </c>
      <c r="T29" s="20">
        <f>T27*T28</f>
        <v>0</v>
      </c>
      <c r="U29" s="20">
        <f>U27*U28</f>
        <v>0</v>
      </c>
      <c r="V29" s="20">
        <f>V27*V28</f>
        <v>0</v>
      </c>
      <c r="W29" s="20">
        <f>W27*W28</f>
        <v>0</v>
      </c>
      <c r="X29" s="20">
        <f>X27*X28</f>
        <v>0</v>
      </c>
      <c r="Y29" s="20">
        <f>Y27*Y28</f>
        <v>0</v>
      </c>
      <c r="Z29" s="20">
        <f>Z27*Z28</f>
        <v>0</v>
      </c>
      <c r="AA29" s="20">
        <f>AA27*AA28</f>
        <v>0</v>
      </c>
      <c r="AB29" s="20">
        <f>AB27*AB28</f>
        <v>0</v>
      </c>
      <c r="AC29" s="20">
        <f>AC27*AC28</f>
        <v>0</v>
      </c>
      <c r="AD29" s="20">
        <f>AD27*AD28</f>
        <v>0</v>
      </c>
      <c r="AE29" s="20">
        <f>AE27*AE28</f>
        <v>0</v>
      </c>
      <c r="AF29" s="20">
        <f>AF27*AF28</f>
        <v>0</v>
      </c>
      <c r="AG29" s="20">
        <f>AG27*AG28</f>
        <v>0</v>
      </c>
      <c r="AH29" s="20">
        <f>AH27*AH28</f>
        <v>0</v>
      </c>
      <c r="AI29" s="20">
        <f>AI27*AI28</f>
        <v>0</v>
      </c>
      <c r="AJ29" s="20">
        <f>AJ27*AJ28</f>
        <v>0</v>
      </c>
      <c r="AK29" s="20">
        <f>AK27*AK28</f>
        <v>0</v>
      </c>
      <c r="AL29" s="20">
        <f>AL27*AL28</f>
        <v>0</v>
      </c>
      <c r="AN29" s="20">
        <f>SUM(C29:E29)</f>
        <v>0</v>
      </c>
      <c r="AO29" s="20">
        <f>SUM(F29:H29)</f>
        <v>0</v>
      </c>
      <c r="AP29" s="20">
        <f>SUM(I29:K29)</f>
        <v>0</v>
      </c>
      <c r="AQ29" s="20">
        <f>SUM(L29:N29)</f>
        <v>0</v>
      </c>
      <c r="AR29" s="20">
        <f>SUM(O29:Q29)</f>
        <v>0</v>
      </c>
      <c r="AS29" s="20">
        <f>SUM(R29:T29)</f>
        <v>0</v>
      </c>
      <c r="AT29" s="20">
        <f>SUM(U29:W29)</f>
        <v>0</v>
      </c>
      <c r="AU29" s="20">
        <f>SUM(X29:Z29)</f>
        <v>0</v>
      </c>
      <c r="AV29" s="20">
        <f>SUM(AA29:AC29)</f>
        <v>0</v>
      </c>
      <c r="AW29" s="20">
        <f>SUM(AD29:AF29)</f>
        <v>0</v>
      </c>
      <c r="AX29" s="20">
        <f>SUM(AG29:AI29)</f>
        <v>0</v>
      </c>
      <c r="AY29" s="20">
        <f>SUM(AJ29:AL29)</f>
        <v>0</v>
      </c>
      <c r="BA29" s="20">
        <f>SUM(C29:N29)</f>
        <v>0</v>
      </c>
      <c r="BB29" s="20">
        <f>SUM(O29:Z29)</f>
        <v>0</v>
      </c>
      <c r="BC29" s="20">
        <f>SUM(AA29:AL29)</f>
        <v>0</v>
      </c>
    </row>
    <row r="30" spans="1:55" ht="5" customHeight="1"/>
    <row r="31" spans="1:55" ht="16" customHeight="1">
      <c r="A31" s="14" t="s">
        <v>258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</row>
    <row r="32" spans="1:55">
      <c r="A32" s="18" t="s">
        <v>259</v>
      </c>
      <c r="B32" s="16"/>
      <c r="C32" s="25">
        <f>'Assumptions'!$F$35</f>
        <v>0</v>
      </c>
      <c r="D32" s="25">
        <f>MIN(0.60,MAX(0.05,C32+'Assumptions'!$F$36))</f>
        <v>0</v>
      </c>
      <c r="E32" s="25">
        <f>MIN(0.60,MAX(0.05,D32+'Assumptions'!$F$36))</f>
        <v>0</v>
      </c>
      <c r="F32" s="25">
        <f>MIN(0.60,MAX(0.05,E32+'Assumptions'!$F$36))</f>
        <v>0</v>
      </c>
      <c r="G32" s="25">
        <f>MIN(0.60,MAX(0.05,F32+'Assumptions'!$F$36))</f>
        <v>0</v>
      </c>
      <c r="H32" s="25">
        <f>MIN(0.60,MAX(0.05,G32+'Assumptions'!$F$36))</f>
        <v>0</v>
      </c>
      <c r="I32" s="25">
        <f>MIN(0.60,MAX(0.05,H32+'Assumptions'!$F$36))</f>
        <v>0</v>
      </c>
      <c r="J32" s="25">
        <f>MIN(0.60,MAX(0.05,I32+'Assumptions'!$F$36))</f>
        <v>0</v>
      </c>
      <c r="K32" s="25">
        <f>MIN(0.60,MAX(0.05,J32+'Assumptions'!$F$36))</f>
        <v>0</v>
      </c>
      <c r="L32" s="25">
        <f>MIN(0.60,MAX(0.05,K32+'Assumptions'!$F$36))</f>
        <v>0</v>
      </c>
      <c r="M32" s="25">
        <f>MIN(0.60,MAX(0.05,L32+'Assumptions'!$F$36))</f>
        <v>0</v>
      </c>
      <c r="N32" s="25">
        <f>MIN(0.60,MAX(0.05,M32+'Assumptions'!$F$36))</f>
        <v>0</v>
      </c>
      <c r="O32" s="25">
        <f>MIN(0.60,MAX(0.05,N32+'Assumptions'!$F$36))</f>
        <v>0</v>
      </c>
      <c r="P32" s="25">
        <f>MIN(0.60,MAX(0.05,O32+'Assumptions'!$F$36))</f>
        <v>0</v>
      </c>
      <c r="Q32" s="25">
        <f>MIN(0.60,MAX(0.05,P32+'Assumptions'!$F$36))</f>
        <v>0</v>
      </c>
      <c r="R32" s="25">
        <f>MIN(0.60,MAX(0.05,Q32+'Assumptions'!$F$36))</f>
        <v>0</v>
      </c>
      <c r="S32" s="25">
        <f>MIN(0.60,MAX(0.05,R32+'Assumptions'!$F$36))</f>
        <v>0</v>
      </c>
      <c r="T32" s="25">
        <f>MIN(0.60,MAX(0.05,S32+'Assumptions'!$F$36))</f>
        <v>0</v>
      </c>
      <c r="U32" s="25">
        <f>MIN(0.60,MAX(0.05,T32+'Assumptions'!$F$36))</f>
        <v>0</v>
      </c>
      <c r="V32" s="25">
        <f>MIN(0.60,MAX(0.05,U32+'Assumptions'!$F$36))</f>
        <v>0</v>
      </c>
      <c r="W32" s="25">
        <f>MIN(0.60,MAX(0.05,V32+'Assumptions'!$F$36))</f>
        <v>0</v>
      </c>
      <c r="X32" s="25">
        <f>MIN(0.60,MAX(0.05,W32+'Assumptions'!$F$36))</f>
        <v>0</v>
      </c>
      <c r="Y32" s="25">
        <f>MIN(0.60,MAX(0.05,X32+'Assumptions'!$F$36))</f>
        <v>0</v>
      </c>
      <c r="Z32" s="25">
        <f>MIN(0.60,MAX(0.05,Y32+'Assumptions'!$F$36))</f>
        <v>0</v>
      </c>
      <c r="AA32" s="25">
        <f>MIN(0.60,MAX(0.05,Z32+'Assumptions'!$F$36))</f>
        <v>0</v>
      </c>
      <c r="AB32" s="25">
        <f>MIN(0.60,MAX(0.05,AA32+'Assumptions'!$F$36))</f>
        <v>0</v>
      </c>
      <c r="AC32" s="25">
        <f>MIN(0.60,MAX(0.05,AB32+'Assumptions'!$F$36))</f>
        <v>0</v>
      </c>
      <c r="AD32" s="25">
        <f>MIN(0.60,MAX(0.05,AC32+'Assumptions'!$F$36))</f>
        <v>0</v>
      </c>
      <c r="AE32" s="25">
        <f>MIN(0.60,MAX(0.05,AD32+'Assumptions'!$F$36))</f>
        <v>0</v>
      </c>
      <c r="AF32" s="25">
        <f>MIN(0.60,MAX(0.05,AE32+'Assumptions'!$F$36))</f>
        <v>0</v>
      </c>
      <c r="AG32" s="25">
        <f>MIN(0.60,MAX(0.05,AF32+'Assumptions'!$F$36))</f>
        <v>0</v>
      </c>
      <c r="AH32" s="25">
        <f>MIN(0.60,MAX(0.05,AG32+'Assumptions'!$F$36))</f>
        <v>0</v>
      </c>
      <c r="AI32" s="25">
        <f>MIN(0.60,MAX(0.05,AH32+'Assumptions'!$F$36))</f>
        <v>0</v>
      </c>
      <c r="AJ32" s="25">
        <f>MIN(0.60,MAX(0.05,AI32+'Assumptions'!$F$36))</f>
        <v>0</v>
      </c>
      <c r="AK32" s="25">
        <f>MIN(0.60,MAX(0.05,AJ32+'Assumptions'!$F$36))</f>
        <v>0</v>
      </c>
      <c r="AL32" s="25">
        <f>MIN(0.60,MAX(0.05,AK32+'Assumptions'!$F$36))</f>
        <v>0</v>
      </c>
      <c r="AN32" s="25">
        <f>AVERAGE(C32:E32)</f>
        <v>0</v>
      </c>
      <c r="AO32" s="25">
        <f>AVERAGE(F32:H32)</f>
        <v>0</v>
      </c>
      <c r="AP32" s="25">
        <f>AVERAGE(I32:K32)</f>
        <v>0</v>
      </c>
      <c r="AQ32" s="25">
        <f>AVERAGE(L32:N32)</f>
        <v>0</v>
      </c>
      <c r="AR32" s="25">
        <f>AVERAGE(O32:Q32)</f>
        <v>0</v>
      </c>
      <c r="AS32" s="25">
        <f>AVERAGE(R32:T32)</f>
        <v>0</v>
      </c>
      <c r="AT32" s="25">
        <f>AVERAGE(U32:W32)</f>
        <v>0</v>
      </c>
      <c r="AU32" s="25">
        <f>AVERAGE(X32:Z32)</f>
        <v>0</v>
      </c>
      <c r="AV32" s="25">
        <f>AVERAGE(AA32:AC32)</f>
        <v>0</v>
      </c>
      <c r="AW32" s="25">
        <f>AVERAGE(AD32:AF32)</f>
        <v>0</v>
      </c>
      <c r="AX32" s="25">
        <f>AVERAGE(AG32:AI32)</f>
        <v>0</v>
      </c>
      <c r="AY32" s="25">
        <f>AVERAGE(AJ32:AL32)</f>
        <v>0</v>
      </c>
      <c r="BA32" s="25">
        <f>AVERAGE(C32:N32)</f>
        <v>0</v>
      </c>
      <c r="BB32" s="25">
        <f>AVERAGE(O32:Z32)</f>
        <v>0</v>
      </c>
      <c r="BC32" s="25">
        <f>AVERAGE(AA32:AL32)</f>
        <v>0</v>
      </c>
    </row>
    <row r="33" spans="1:55">
      <c r="A33" s="18" t="s">
        <v>260</v>
      </c>
      <c r="B33" s="16"/>
      <c r="C33" s="32">
        <f>('Assumptions'!$F$33*(1-C32)+'Assumptions'!$F$34*C32)</f>
        <v>0</v>
      </c>
      <c r="D33" s="32">
        <f>('Assumptions'!$F$33*(1-D32)+'Assumptions'!$F$34*D32)</f>
        <v>0</v>
      </c>
      <c r="E33" s="32">
        <f>('Assumptions'!$F$33*(1-E32)+'Assumptions'!$F$34*E32)</f>
        <v>0</v>
      </c>
      <c r="F33" s="32">
        <f>('Assumptions'!$F$33*(1-F32)+'Assumptions'!$F$34*F32)</f>
        <v>0</v>
      </c>
      <c r="G33" s="32">
        <f>('Assumptions'!$F$33*(1-G32)+'Assumptions'!$F$34*G32)</f>
        <v>0</v>
      </c>
      <c r="H33" s="32">
        <f>('Assumptions'!$F$33*(1-H32)+'Assumptions'!$F$34*H32)</f>
        <v>0</v>
      </c>
      <c r="I33" s="32">
        <f>('Assumptions'!$F$33*(1-I32)+'Assumptions'!$F$34*I32)</f>
        <v>0</v>
      </c>
      <c r="J33" s="32">
        <f>('Assumptions'!$F$33*(1-J32)+'Assumptions'!$F$34*J32)</f>
        <v>0</v>
      </c>
      <c r="K33" s="32">
        <f>('Assumptions'!$F$33*(1-K32)+'Assumptions'!$F$34*K32)</f>
        <v>0</v>
      </c>
      <c r="L33" s="32">
        <f>('Assumptions'!$F$33*(1-L32)+'Assumptions'!$F$34*L32)</f>
        <v>0</v>
      </c>
      <c r="M33" s="32">
        <f>('Assumptions'!$F$33*(1-M32)+'Assumptions'!$F$34*M32)</f>
        <v>0</v>
      </c>
      <c r="N33" s="32">
        <f>('Assumptions'!$F$33*(1-N32)+'Assumptions'!$F$34*N32)</f>
        <v>0</v>
      </c>
      <c r="O33" s="32">
        <f>('Assumptions'!$F$33*(1-O32)+'Assumptions'!$F$34*O32)</f>
        <v>0</v>
      </c>
      <c r="P33" s="32">
        <f>('Assumptions'!$F$33*(1-P32)+'Assumptions'!$F$34*P32)</f>
        <v>0</v>
      </c>
      <c r="Q33" s="32">
        <f>('Assumptions'!$F$33*(1-Q32)+'Assumptions'!$F$34*Q32)</f>
        <v>0</v>
      </c>
      <c r="R33" s="32">
        <f>('Assumptions'!$F$33*(1-R32)+'Assumptions'!$F$34*R32)</f>
        <v>0</v>
      </c>
      <c r="S33" s="32">
        <f>('Assumptions'!$F$33*(1-S32)+'Assumptions'!$F$34*S32)</f>
        <v>0</v>
      </c>
      <c r="T33" s="32">
        <f>('Assumptions'!$F$33*(1-T32)+'Assumptions'!$F$34*T32)</f>
        <v>0</v>
      </c>
      <c r="U33" s="32">
        <f>('Assumptions'!$F$33*(1-U32)+'Assumptions'!$F$34*U32)</f>
        <v>0</v>
      </c>
      <c r="V33" s="32">
        <f>('Assumptions'!$F$33*(1-V32)+'Assumptions'!$F$34*V32)</f>
        <v>0</v>
      </c>
      <c r="W33" s="32">
        <f>('Assumptions'!$F$33*(1-W32)+'Assumptions'!$F$34*W32)</f>
        <v>0</v>
      </c>
      <c r="X33" s="32">
        <f>('Assumptions'!$F$33*(1-X32)+'Assumptions'!$F$34*X32)</f>
        <v>0</v>
      </c>
      <c r="Y33" s="32">
        <f>('Assumptions'!$F$33*(1-Y32)+'Assumptions'!$F$34*Y32)</f>
        <v>0</v>
      </c>
      <c r="Z33" s="32">
        <f>('Assumptions'!$F$33*(1-Z32)+'Assumptions'!$F$34*Z32)</f>
        <v>0</v>
      </c>
      <c r="AA33" s="32">
        <f>('Assumptions'!$F$33*(1-AA32)+'Assumptions'!$F$34*AA32)</f>
        <v>0</v>
      </c>
      <c r="AB33" s="32">
        <f>('Assumptions'!$F$33*(1-AB32)+'Assumptions'!$F$34*AB32)</f>
        <v>0</v>
      </c>
      <c r="AC33" s="32">
        <f>('Assumptions'!$F$33*(1-AC32)+'Assumptions'!$F$34*AC32)</f>
        <v>0</v>
      </c>
      <c r="AD33" s="32">
        <f>('Assumptions'!$F$33*(1-AD32)+'Assumptions'!$F$34*AD32)</f>
        <v>0</v>
      </c>
      <c r="AE33" s="32">
        <f>('Assumptions'!$F$33*(1-AE32)+'Assumptions'!$F$34*AE32)</f>
        <v>0</v>
      </c>
      <c r="AF33" s="32">
        <f>('Assumptions'!$F$33*(1-AF32)+'Assumptions'!$F$34*AF32)</f>
        <v>0</v>
      </c>
      <c r="AG33" s="32">
        <f>('Assumptions'!$F$33*(1-AG32)+'Assumptions'!$F$34*AG32)</f>
        <v>0</v>
      </c>
      <c r="AH33" s="32">
        <f>('Assumptions'!$F$33*(1-AH32)+'Assumptions'!$F$34*AH32)</f>
        <v>0</v>
      </c>
      <c r="AI33" s="32">
        <f>('Assumptions'!$F$33*(1-AI32)+'Assumptions'!$F$34*AI32)</f>
        <v>0</v>
      </c>
      <c r="AJ33" s="32">
        <f>('Assumptions'!$F$33*(1-AJ32)+'Assumptions'!$F$34*AJ32)</f>
        <v>0</v>
      </c>
      <c r="AK33" s="32">
        <f>('Assumptions'!$F$33*(1-AK32)+'Assumptions'!$F$34*AK32)</f>
        <v>0</v>
      </c>
      <c r="AL33" s="32">
        <f>('Assumptions'!$F$33*(1-AL32)+'Assumptions'!$F$34*AL32)</f>
        <v>0</v>
      </c>
      <c r="AN33" s="32">
        <f>AVERAGE(C33:E33)</f>
        <v>0</v>
      </c>
      <c r="AO33" s="32">
        <f>AVERAGE(F33:H33)</f>
        <v>0</v>
      </c>
      <c r="AP33" s="32">
        <f>AVERAGE(I33:K33)</f>
        <v>0</v>
      </c>
      <c r="AQ33" s="32">
        <f>AVERAGE(L33:N33)</f>
        <v>0</v>
      </c>
      <c r="AR33" s="32">
        <f>AVERAGE(O33:Q33)</f>
        <v>0</v>
      </c>
      <c r="AS33" s="32">
        <f>AVERAGE(R33:T33)</f>
        <v>0</v>
      </c>
      <c r="AT33" s="32">
        <f>AVERAGE(U33:W33)</f>
        <v>0</v>
      </c>
      <c r="AU33" s="32">
        <f>AVERAGE(X33:Z33)</f>
        <v>0</v>
      </c>
      <c r="AV33" s="32">
        <f>AVERAGE(AA33:AC33)</f>
        <v>0</v>
      </c>
      <c r="AW33" s="32">
        <f>AVERAGE(AD33:AF33)</f>
        <v>0</v>
      </c>
      <c r="AX33" s="32">
        <f>AVERAGE(AG33:AI33)</f>
        <v>0</v>
      </c>
      <c r="AY33" s="32">
        <f>AVERAGE(AJ33:AL33)</f>
        <v>0</v>
      </c>
      <c r="BA33" s="32">
        <f>AVERAGE(C33:N33)</f>
        <v>0</v>
      </c>
      <c r="BB33" s="32">
        <f>AVERAGE(O33:Z33)</f>
        <v>0</v>
      </c>
      <c r="BC33" s="32">
        <f>AVERAGE(AA33:AL33)</f>
        <v>0</v>
      </c>
    </row>
    <row r="34" spans="1:55">
      <c r="A34" s="18" t="s">
        <v>261</v>
      </c>
      <c r="B34" s="16" t="s">
        <v>262</v>
      </c>
      <c r="C34" s="25">
        <f>(1-'Assumptions'!$F$41*'Assumptions'!$F$42)*(1-'Assumptions'!$F$43)</f>
        <v>0</v>
      </c>
      <c r="D34" s="25">
        <f>(1-'Assumptions'!$F$41*'Assumptions'!$F$42)*(1-'Assumptions'!$F$43)</f>
        <v>0</v>
      </c>
      <c r="E34" s="25">
        <f>(1-'Assumptions'!$F$41*'Assumptions'!$F$42)*(1-'Assumptions'!$F$43)</f>
        <v>0</v>
      </c>
      <c r="F34" s="25">
        <f>(1-'Assumptions'!$F$41*'Assumptions'!$F$42)*(1-'Assumptions'!$F$43)</f>
        <v>0</v>
      </c>
      <c r="G34" s="25">
        <f>(1-'Assumptions'!$F$41*'Assumptions'!$F$42)*(1-'Assumptions'!$F$43)</f>
        <v>0</v>
      </c>
      <c r="H34" s="25">
        <f>(1-'Assumptions'!$F$41*'Assumptions'!$F$42)*(1-'Assumptions'!$F$43)</f>
        <v>0</v>
      </c>
      <c r="I34" s="25">
        <f>(1-'Assumptions'!$F$41*'Assumptions'!$F$42)*(1-'Assumptions'!$F$43)</f>
        <v>0</v>
      </c>
      <c r="J34" s="25">
        <f>(1-'Assumptions'!$F$41*'Assumptions'!$F$42)*(1-'Assumptions'!$F$43)</f>
        <v>0</v>
      </c>
      <c r="K34" s="25">
        <f>(1-'Assumptions'!$F$41*'Assumptions'!$F$42)*(1-'Assumptions'!$F$43)</f>
        <v>0</v>
      </c>
      <c r="L34" s="25">
        <f>(1-'Assumptions'!$F$41*'Assumptions'!$F$42)*(1-'Assumptions'!$F$43)</f>
        <v>0</v>
      </c>
      <c r="M34" s="25">
        <f>(1-'Assumptions'!$F$41*'Assumptions'!$F$42)*(1-'Assumptions'!$F$43)</f>
        <v>0</v>
      </c>
      <c r="N34" s="25">
        <f>(1-'Assumptions'!$F$41*'Assumptions'!$F$42)*(1-'Assumptions'!$F$43)</f>
        <v>0</v>
      </c>
      <c r="O34" s="25">
        <f>(1-'Assumptions'!$F$41*'Assumptions'!$F$42)*(1-'Assumptions'!$F$43)</f>
        <v>0</v>
      </c>
      <c r="P34" s="25">
        <f>(1-'Assumptions'!$F$41*'Assumptions'!$F$42)*(1-'Assumptions'!$F$43)</f>
        <v>0</v>
      </c>
      <c r="Q34" s="25">
        <f>(1-'Assumptions'!$F$41*'Assumptions'!$F$42)*(1-'Assumptions'!$F$43)</f>
        <v>0</v>
      </c>
      <c r="R34" s="25">
        <f>(1-'Assumptions'!$F$41*'Assumptions'!$F$42)*(1-'Assumptions'!$F$43)</f>
        <v>0</v>
      </c>
      <c r="S34" s="25">
        <f>(1-'Assumptions'!$F$41*'Assumptions'!$F$42)*(1-'Assumptions'!$F$43)</f>
        <v>0</v>
      </c>
      <c r="T34" s="25">
        <f>(1-'Assumptions'!$F$41*'Assumptions'!$F$42)*(1-'Assumptions'!$F$43)</f>
        <v>0</v>
      </c>
      <c r="U34" s="25">
        <f>(1-'Assumptions'!$F$41*'Assumptions'!$F$42)*(1-'Assumptions'!$F$43)</f>
        <v>0</v>
      </c>
      <c r="V34" s="25">
        <f>(1-'Assumptions'!$F$41*'Assumptions'!$F$42)*(1-'Assumptions'!$F$43)</f>
        <v>0</v>
      </c>
      <c r="W34" s="25">
        <f>(1-'Assumptions'!$F$41*'Assumptions'!$F$42)*(1-'Assumptions'!$F$43)</f>
        <v>0</v>
      </c>
      <c r="X34" s="25">
        <f>(1-'Assumptions'!$F$41*'Assumptions'!$F$42)*(1-'Assumptions'!$F$43)</f>
        <v>0</v>
      </c>
      <c r="Y34" s="25">
        <f>(1-'Assumptions'!$F$41*'Assumptions'!$F$42)*(1-'Assumptions'!$F$43)</f>
        <v>0</v>
      </c>
      <c r="Z34" s="25">
        <f>(1-'Assumptions'!$F$41*'Assumptions'!$F$42)*(1-'Assumptions'!$F$43)</f>
        <v>0</v>
      </c>
      <c r="AA34" s="25">
        <f>(1-'Assumptions'!$F$41*'Assumptions'!$F$42)*(1-'Assumptions'!$F$43)</f>
        <v>0</v>
      </c>
      <c r="AB34" s="25">
        <f>(1-'Assumptions'!$F$41*'Assumptions'!$F$42)*(1-'Assumptions'!$F$43)</f>
        <v>0</v>
      </c>
      <c r="AC34" s="25">
        <f>(1-'Assumptions'!$F$41*'Assumptions'!$F$42)*(1-'Assumptions'!$F$43)</f>
        <v>0</v>
      </c>
      <c r="AD34" s="25">
        <f>(1-'Assumptions'!$F$41*'Assumptions'!$F$42)*(1-'Assumptions'!$F$43)</f>
        <v>0</v>
      </c>
      <c r="AE34" s="25">
        <f>(1-'Assumptions'!$F$41*'Assumptions'!$F$42)*(1-'Assumptions'!$F$43)</f>
        <v>0</v>
      </c>
      <c r="AF34" s="25">
        <f>(1-'Assumptions'!$F$41*'Assumptions'!$F$42)*(1-'Assumptions'!$F$43)</f>
        <v>0</v>
      </c>
      <c r="AG34" s="25">
        <f>(1-'Assumptions'!$F$41*'Assumptions'!$F$42)*(1-'Assumptions'!$F$43)</f>
        <v>0</v>
      </c>
      <c r="AH34" s="25">
        <f>(1-'Assumptions'!$F$41*'Assumptions'!$F$42)*(1-'Assumptions'!$F$43)</f>
        <v>0</v>
      </c>
      <c r="AI34" s="25">
        <f>(1-'Assumptions'!$F$41*'Assumptions'!$F$42)*(1-'Assumptions'!$F$43)</f>
        <v>0</v>
      </c>
      <c r="AJ34" s="25">
        <f>(1-'Assumptions'!$F$41*'Assumptions'!$F$42)*(1-'Assumptions'!$F$43)</f>
        <v>0</v>
      </c>
      <c r="AK34" s="25">
        <f>(1-'Assumptions'!$F$41*'Assumptions'!$F$42)*(1-'Assumptions'!$F$43)</f>
        <v>0</v>
      </c>
      <c r="AL34" s="25">
        <f>(1-'Assumptions'!$F$41*'Assumptions'!$F$42)*(1-'Assumptions'!$F$43)</f>
        <v>0</v>
      </c>
      <c r="AN34" s="25">
        <f>AVERAGE(C34:E34)</f>
        <v>0</v>
      </c>
      <c r="AO34" s="25">
        <f>AVERAGE(F34:H34)</f>
        <v>0</v>
      </c>
      <c r="AP34" s="25">
        <f>AVERAGE(I34:K34)</f>
        <v>0</v>
      </c>
      <c r="AQ34" s="25">
        <f>AVERAGE(L34:N34)</f>
        <v>0</v>
      </c>
      <c r="AR34" s="25">
        <f>AVERAGE(O34:Q34)</f>
        <v>0</v>
      </c>
      <c r="AS34" s="25">
        <f>AVERAGE(R34:T34)</f>
        <v>0</v>
      </c>
      <c r="AT34" s="25">
        <f>AVERAGE(U34:W34)</f>
        <v>0</v>
      </c>
      <c r="AU34" s="25">
        <f>AVERAGE(X34:Z34)</f>
        <v>0</v>
      </c>
      <c r="AV34" s="25">
        <f>AVERAGE(AA34:AC34)</f>
        <v>0</v>
      </c>
      <c r="AW34" s="25">
        <f>AVERAGE(AD34:AF34)</f>
        <v>0</v>
      </c>
      <c r="AX34" s="25">
        <f>AVERAGE(AG34:AI34)</f>
        <v>0</v>
      </c>
      <c r="AY34" s="25">
        <f>AVERAGE(AJ34:AL34)</f>
        <v>0</v>
      </c>
      <c r="BA34" s="25">
        <f>AVERAGE(C34:N34)</f>
        <v>0</v>
      </c>
      <c r="BB34" s="25">
        <f>AVERAGE(O34:Z34)</f>
        <v>0</v>
      </c>
      <c r="BC34" s="25">
        <f>AVERAGE(AA34:AL34)</f>
        <v>0</v>
      </c>
    </row>
    <row r="35" spans="1:55">
      <c r="A35" s="18" t="s">
        <v>263</v>
      </c>
      <c r="B35" s="16"/>
      <c r="C35" s="32">
        <f>C33*(1-'Assumptions'!$F$40)*'Assumptions'!$F$37</f>
        <v>0</v>
      </c>
      <c r="D35" s="32">
        <f>D33*(1-'Assumptions'!$F$40)*'Assumptions'!$F$37</f>
        <v>0</v>
      </c>
      <c r="E35" s="32">
        <f>E33*(1-'Assumptions'!$F$40)*'Assumptions'!$F$37</f>
        <v>0</v>
      </c>
      <c r="F35" s="32">
        <f>F33*(1-'Assumptions'!$F$40)*'Assumptions'!$F$37</f>
        <v>0</v>
      </c>
      <c r="G35" s="32">
        <f>G33*(1-'Assumptions'!$F$40)*'Assumptions'!$F$37</f>
        <v>0</v>
      </c>
      <c r="H35" s="32">
        <f>H33*(1-'Assumptions'!$F$40)*'Assumptions'!$F$37</f>
        <v>0</v>
      </c>
      <c r="I35" s="32">
        <f>I33*(1-'Assumptions'!$F$40)*'Assumptions'!$F$37</f>
        <v>0</v>
      </c>
      <c r="J35" s="32">
        <f>J33*(1-'Assumptions'!$F$40)*'Assumptions'!$F$37</f>
        <v>0</v>
      </c>
      <c r="K35" s="32">
        <f>K33*(1-'Assumptions'!$F$40)*'Assumptions'!$F$37</f>
        <v>0</v>
      </c>
      <c r="L35" s="32">
        <f>L33*(1-'Assumptions'!$F$40)*'Assumptions'!$F$37</f>
        <v>0</v>
      </c>
      <c r="M35" s="32">
        <f>M33*(1-'Assumptions'!$F$40)*'Assumptions'!$F$37</f>
        <v>0</v>
      </c>
      <c r="N35" s="32">
        <f>N33*(1-'Assumptions'!$F$40)*'Assumptions'!$F$37</f>
        <v>0</v>
      </c>
      <c r="O35" s="32">
        <f>O33*(1-'Assumptions'!$F$40)*'Assumptions'!$F$37</f>
        <v>0</v>
      </c>
      <c r="P35" s="32">
        <f>P33*(1-'Assumptions'!$F$40)*'Assumptions'!$F$37</f>
        <v>0</v>
      </c>
      <c r="Q35" s="32">
        <f>Q33*(1-'Assumptions'!$F$40)*'Assumptions'!$F$37</f>
        <v>0</v>
      </c>
      <c r="R35" s="32">
        <f>R33*(1-'Assumptions'!$F$40)*'Assumptions'!$F$37</f>
        <v>0</v>
      </c>
      <c r="S35" s="32">
        <f>S33*(1-'Assumptions'!$F$40)*'Assumptions'!$F$37</f>
        <v>0</v>
      </c>
      <c r="T35" s="32">
        <f>T33*(1-'Assumptions'!$F$40)*'Assumptions'!$F$37</f>
        <v>0</v>
      </c>
      <c r="U35" s="32">
        <f>U33*(1-'Assumptions'!$F$40)*'Assumptions'!$F$37</f>
        <v>0</v>
      </c>
      <c r="V35" s="32">
        <f>V33*(1-'Assumptions'!$F$40)*'Assumptions'!$F$37</f>
        <v>0</v>
      </c>
      <c r="W35" s="32">
        <f>W33*(1-'Assumptions'!$F$40)*'Assumptions'!$F$37</f>
        <v>0</v>
      </c>
      <c r="X35" s="32">
        <f>X33*(1-'Assumptions'!$F$40)*'Assumptions'!$F$37</f>
        <v>0</v>
      </c>
      <c r="Y35" s="32">
        <f>Y33*(1-'Assumptions'!$F$40)*'Assumptions'!$F$37</f>
        <v>0</v>
      </c>
      <c r="Z35" s="32">
        <f>Z33*(1-'Assumptions'!$F$40)*'Assumptions'!$F$37</f>
        <v>0</v>
      </c>
      <c r="AA35" s="32">
        <f>AA33*(1-'Assumptions'!$F$40)*'Assumptions'!$F$37</f>
        <v>0</v>
      </c>
      <c r="AB35" s="32">
        <f>AB33*(1-'Assumptions'!$F$40)*'Assumptions'!$F$37</f>
        <v>0</v>
      </c>
      <c r="AC35" s="32">
        <f>AC33*(1-'Assumptions'!$F$40)*'Assumptions'!$F$37</f>
        <v>0</v>
      </c>
      <c r="AD35" s="32">
        <f>AD33*(1-'Assumptions'!$F$40)*'Assumptions'!$F$37</f>
        <v>0</v>
      </c>
      <c r="AE35" s="32">
        <f>AE33*(1-'Assumptions'!$F$40)*'Assumptions'!$F$37</f>
        <v>0</v>
      </c>
      <c r="AF35" s="32">
        <f>AF33*(1-'Assumptions'!$F$40)*'Assumptions'!$F$37</f>
        <v>0</v>
      </c>
      <c r="AG35" s="32">
        <f>AG33*(1-'Assumptions'!$F$40)*'Assumptions'!$F$37</f>
        <v>0</v>
      </c>
      <c r="AH35" s="32">
        <f>AH33*(1-'Assumptions'!$F$40)*'Assumptions'!$F$37</f>
        <v>0</v>
      </c>
      <c r="AI35" s="32">
        <f>AI33*(1-'Assumptions'!$F$40)*'Assumptions'!$F$37</f>
        <v>0</v>
      </c>
      <c r="AJ35" s="32">
        <f>AJ33*(1-'Assumptions'!$F$40)*'Assumptions'!$F$37</f>
        <v>0</v>
      </c>
      <c r="AK35" s="32">
        <f>AK33*(1-'Assumptions'!$F$40)*'Assumptions'!$F$37</f>
        <v>0</v>
      </c>
      <c r="AL35" s="32">
        <f>AL33*(1-'Assumptions'!$F$40)*'Assumptions'!$F$37</f>
        <v>0</v>
      </c>
      <c r="AN35" s="32">
        <f>AVERAGE(C35:E35)</f>
        <v>0</v>
      </c>
      <c r="AO35" s="32">
        <f>AVERAGE(F35:H35)</f>
        <v>0</v>
      </c>
      <c r="AP35" s="32">
        <f>AVERAGE(I35:K35)</f>
        <v>0</v>
      </c>
      <c r="AQ35" s="32">
        <f>AVERAGE(L35:N35)</f>
        <v>0</v>
      </c>
      <c r="AR35" s="32">
        <f>AVERAGE(O35:Q35)</f>
        <v>0</v>
      </c>
      <c r="AS35" s="32">
        <f>AVERAGE(R35:T35)</f>
        <v>0</v>
      </c>
      <c r="AT35" s="32">
        <f>AVERAGE(U35:W35)</f>
        <v>0</v>
      </c>
      <c r="AU35" s="32">
        <f>AVERAGE(X35:Z35)</f>
        <v>0</v>
      </c>
      <c r="AV35" s="32">
        <f>AVERAGE(AA35:AC35)</f>
        <v>0</v>
      </c>
      <c r="AW35" s="32">
        <f>AVERAGE(AD35:AF35)</f>
        <v>0</v>
      </c>
      <c r="AX35" s="32">
        <f>AVERAGE(AG35:AI35)</f>
        <v>0</v>
      </c>
      <c r="AY35" s="32">
        <f>AVERAGE(AJ35:AL35)</f>
        <v>0</v>
      </c>
      <c r="BA35" s="32">
        <f>AVERAGE(C35:N35)</f>
        <v>0</v>
      </c>
      <c r="BB35" s="32">
        <f>AVERAGE(O35:Z35)</f>
        <v>0</v>
      </c>
      <c r="BC35" s="32">
        <f>AVERAGE(AA35:AL35)</f>
        <v>0</v>
      </c>
    </row>
    <row r="36" spans="1:55">
      <c r="A36" s="18" t="s">
        <v>264</v>
      </c>
      <c r="B36" s="16"/>
      <c r="C36" s="32">
        <f>C33*(1-'Assumptions'!$F$40)*'Assumptions'!$F$38</f>
        <v>0</v>
      </c>
      <c r="D36" s="32">
        <f>D33*(1-'Assumptions'!$F$40)*'Assumptions'!$F$38</f>
        <v>0</v>
      </c>
      <c r="E36" s="32">
        <f>E33*(1-'Assumptions'!$F$40)*'Assumptions'!$F$38</f>
        <v>0</v>
      </c>
      <c r="F36" s="32">
        <f>F33*(1-'Assumptions'!$F$40)*'Assumptions'!$F$38</f>
        <v>0</v>
      </c>
      <c r="G36" s="32">
        <f>G33*(1-'Assumptions'!$F$40)*'Assumptions'!$F$38</f>
        <v>0</v>
      </c>
      <c r="H36" s="32">
        <f>H33*(1-'Assumptions'!$F$40)*'Assumptions'!$F$38</f>
        <v>0</v>
      </c>
      <c r="I36" s="32">
        <f>I33*(1-'Assumptions'!$F$40)*'Assumptions'!$F$38</f>
        <v>0</v>
      </c>
      <c r="J36" s="32">
        <f>J33*(1-'Assumptions'!$F$40)*'Assumptions'!$F$38</f>
        <v>0</v>
      </c>
      <c r="K36" s="32">
        <f>K33*(1-'Assumptions'!$F$40)*'Assumptions'!$F$38</f>
        <v>0</v>
      </c>
      <c r="L36" s="32">
        <f>L33*(1-'Assumptions'!$F$40)*'Assumptions'!$F$38</f>
        <v>0</v>
      </c>
      <c r="M36" s="32">
        <f>M33*(1-'Assumptions'!$F$40)*'Assumptions'!$F$38</f>
        <v>0</v>
      </c>
      <c r="N36" s="32">
        <f>N33*(1-'Assumptions'!$F$40)*'Assumptions'!$F$38</f>
        <v>0</v>
      </c>
      <c r="O36" s="32">
        <f>O33*(1-'Assumptions'!$F$40)*'Assumptions'!$F$38</f>
        <v>0</v>
      </c>
      <c r="P36" s="32">
        <f>P33*(1-'Assumptions'!$F$40)*'Assumptions'!$F$38</f>
        <v>0</v>
      </c>
      <c r="Q36" s="32">
        <f>Q33*(1-'Assumptions'!$F$40)*'Assumptions'!$F$38</f>
        <v>0</v>
      </c>
      <c r="R36" s="32">
        <f>R33*(1-'Assumptions'!$F$40)*'Assumptions'!$F$38</f>
        <v>0</v>
      </c>
      <c r="S36" s="32">
        <f>S33*(1-'Assumptions'!$F$40)*'Assumptions'!$F$38</f>
        <v>0</v>
      </c>
      <c r="T36" s="32">
        <f>T33*(1-'Assumptions'!$F$40)*'Assumptions'!$F$38</f>
        <v>0</v>
      </c>
      <c r="U36" s="32">
        <f>U33*(1-'Assumptions'!$F$40)*'Assumptions'!$F$38</f>
        <v>0</v>
      </c>
      <c r="V36" s="32">
        <f>V33*(1-'Assumptions'!$F$40)*'Assumptions'!$F$38</f>
        <v>0</v>
      </c>
      <c r="W36" s="32">
        <f>W33*(1-'Assumptions'!$F$40)*'Assumptions'!$F$38</f>
        <v>0</v>
      </c>
      <c r="X36" s="32">
        <f>X33*(1-'Assumptions'!$F$40)*'Assumptions'!$F$38</f>
        <v>0</v>
      </c>
      <c r="Y36" s="32">
        <f>Y33*(1-'Assumptions'!$F$40)*'Assumptions'!$F$38</f>
        <v>0</v>
      </c>
      <c r="Z36" s="32">
        <f>Z33*(1-'Assumptions'!$F$40)*'Assumptions'!$F$38</f>
        <v>0</v>
      </c>
      <c r="AA36" s="32">
        <f>AA33*(1-'Assumptions'!$F$40)*'Assumptions'!$F$38</f>
        <v>0</v>
      </c>
      <c r="AB36" s="32">
        <f>AB33*(1-'Assumptions'!$F$40)*'Assumptions'!$F$38</f>
        <v>0</v>
      </c>
      <c r="AC36" s="32">
        <f>AC33*(1-'Assumptions'!$F$40)*'Assumptions'!$F$38</f>
        <v>0</v>
      </c>
      <c r="AD36" s="32">
        <f>AD33*(1-'Assumptions'!$F$40)*'Assumptions'!$F$38</f>
        <v>0</v>
      </c>
      <c r="AE36" s="32">
        <f>AE33*(1-'Assumptions'!$F$40)*'Assumptions'!$F$38</f>
        <v>0</v>
      </c>
      <c r="AF36" s="32">
        <f>AF33*(1-'Assumptions'!$F$40)*'Assumptions'!$F$38</f>
        <v>0</v>
      </c>
      <c r="AG36" s="32">
        <f>AG33*(1-'Assumptions'!$F$40)*'Assumptions'!$F$38</f>
        <v>0</v>
      </c>
      <c r="AH36" s="32">
        <f>AH33*(1-'Assumptions'!$F$40)*'Assumptions'!$F$38</f>
        <v>0</v>
      </c>
      <c r="AI36" s="32">
        <f>AI33*(1-'Assumptions'!$F$40)*'Assumptions'!$F$38</f>
        <v>0</v>
      </c>
      <c r="AJ36" s="32">
        <f>AJ33*(1-'Assumptions'!$F$40)*'Assumptions'!$F$38</f>
        <v>0</v>
      </c>
      <c r="AK36" s="32">
        <f>AK33*(1-'Assumptions'!$F$40)*'Assumptions'!$F$38</f>
        <v>0</v>
      </c>
      <c r="AL36" s="32">
        <f>AL33*(1-'Assumptions'!$F$40)*'Assumptions'!$F$38</f>
        <v>0</v>
      </c>
      <c r="AN36" s="32">
        <f>AVERAGE(C36:E36)</f>
        <v>0</v>
      </c>
      <c r="AO36" s="32">
        <f>AVERAGE(F36:H36)</f>
        <v>0</v>
      </c>
      <c r="AP36" s="32">
        <f>AVERAGE(I36:K36)</f>
        <v>0</v>
      </c>
      <c r="AQ36" s="32">
        <f>AVERAGE(L36:N36)</f>
        <v>0</v>
      </c>
      <c r="AR36" s="32">
        <f>AVERAGE(O36:Q36)</f>
        <v>0</v>
      </c>
      <c r="AS36" s="32">
        <f>AVERAGE(R36:T36)</f>
        <v>0</v>
      </c>
      <c r="AT36" s="32">
        <f>AVERAGE(U36:W36)</f>
        <v>0</v>
      </c>
      <c r="AU36" s="32">
        <f>AVERAGE(X36:Z36)</f>
        <v>0</v>
      </c>
      <c r="AV36" s="32">
        <f>AVERAGE(AA36:AC36)</f>
        <v>0</v>
      </c>
      <c r="AW36" s="32">
        <f>AVERAGE(AD36:AF36)</f>
        <v>0</v>
      </c>
      <c r="AX36" s="32">
        <f>AVERAGE(AG36:AI36)</f>
        <v>0</v>
      </c>
      <c r="AY36" s="32">
        <f>AVERAGE(AJ36:AL36)</f>
        <v>0</v>
      </c>
      <c r="BA36" s="32">
        <f>AVERAGE(C36:N36)</f>
        <v>0</v>
      </c>
      <c r="BB36" s="32">
        <f>AVERAGE(O36:Z36)</f>
        <v>0</v>
      </c>
      <c r="BC36" s="32">
        <f>AVERAGE(AA36:AL36)</f>
        <v>0</v>
      </c>
    </row>
    <row r="37" spans="1:55">
      <c r="A37" s="18" t="s">
        <v>265</v>
      </c>
      <c r="B37" s="16"/>
      <c r="C37" s="32">
        <f>C33*(1-'Assumptions'!$F$40)*'Assumptions'!$F$39</f>
        <v>0</v>
      </c>
      <c r="D37" s="32">
        <f>D33*(1-'Assumptions'!$F$40)*'Assumptions'!$F$39</f>
        <v>0</v>
      </c>
      <c r="E37" s="32">
        <f>E33*(1-'Assumptions'!$F$40)*'Assumptions'!$F$39</f>
        <v>0</v>
      </c>
      <c r="F37" s="32">
        <f>F33*(1-'Assumptions'!$F$40)*'Assumptions'!$F$39</f>
        <v>0</v>
      </c>
      <c r="G37" s="32">
        <f>G33*(1-'Assumptions'!$F$40)*'Assumptions'!$F$39</f>
        <v>0</v>
      </c>
      <c r="H37" s="32">
        <f>H33*(1-'Assumptions'!$F$40)*'Assumptions'!$F$39</f>
        <v>0</v>
      </c>
      <c r="I37" s="32">
        <f>I33*(1-'Assumptions'!$F$40)*'Assumptions'!$F$39</f>
        <v>0</v>
      </c>
      <c r="J37" s="32">
        <f>J33*(1-'Assumptions'!$F$40)*'Assumptions'!$F$39</f>
        <v>0</v>
      </c>
      <c r="K37" s="32">
        <f>K33*(1-'Assumptions'!$F$40)*'Assumptions'!$F$39</f>
        <v>0</v>
      </c>
      <c r="L37" s="32">
        <f>L33*(1-'Assumptions'!$F$40)*'Assumptions'!$F$39</f>
        <v>0</v>
      </c>
      <c r="M37" s="32">
        <f>M33*(1-'Assumptions'!$F$40)*'Assumptions'!$F$39</f>
        <v>0</v>
      </c>
      <c r="N37" s="32">
        <f>N33*(1-'Assumptions'!$F$40)*'Assumptions'!$F$39</f>
        <v>0</v>
      </c>
      <c r="O37" s="32">
        <f>O33*(1-'Assumptions'!$F$40)*'Assumptions'!$F$39</f>
        <v>0</v>
      </c>
      <c r="P37" s="32">
        <f>P33*(1-'Assumptions'!$F$40)*'Assumptions'!$F$39</f>
        <v>0</v>
      </c>
      <c r="Q37" s="32">
        <f>Q33*(1-'Assumptions'!$F$40)*'Assumptions'!$F$39</f>
        <v>0</v>
      </c>
      <c r="R37" s="32">
        <f>R33*(1-'Assumptions'!$F$40)*'Assumptions'!$F$39</f>
        <v>0</v>
      </c>
      <c r="S37" s="32">
        <f>S33*(1-'Assumptions'!$F$40)*'Assumptions'!$F$39</f>
        <v>0</v>
      </c>
      <c r="T37" s="32">
        <f>T33*(1-'Assumptions'!$F$40)*'Assumptions'!$F$39</f>
        <v>0</v>
      </c>
      <c r="U37" s="32">
        <f>U33*(1-'Assumptions'!$F$40)*'Assumptions'!$F$39</f>
        <v>0</v>
      </c>
      <c r="V37" s="32">
        <f>V33*(1-'Assumptions'!$F$40)*'Assumptions'!$F$39</f>
        <v>0</v>
      </c>
      <c r="W37" s="32">
        <f>W33*(1-'Assumptions'!$F$40)*'Assumptions'!$F$39</f>
        <v>0</v>
      </c>
      <c r="X37" s="32">
        <f>X33*(1-'Assumptions'!$F$40)*'Assumptions'!$F$39</f>
        <v>0</v>
      </c>
      <c r="Y37" s="32">
        <f>Y33*(1-'Assumptions'!$F$40)*'Assumptions'!$F$39</f>
        <v>0</v>
      </c>
      <c r="Z37" s="32">
        <f>Z33*(1-'Assumptions'!$F$40)*'Assumptions'!$F$39</f>
        <v>0</v>
      </c>
      <c r="AA37" s="32">
        <f>AA33*(1-'Assumptions'!$F$40)*'Assumptions'!$F$39</f>
        <v>0</v>
      </c>
      <c r="AB37" s="32">
        <f>AB33*(1-'Assumptions'!$F$40)*'Assumptions'!$F$39</f>
        <v>0</v>
      </c>
      <c r="AC37" s="32">
        <f>AC33*(1-'Assumptions'!$F$40)*'Assumptions'!$F$39</f>
        <v>0</v>
      </c>
      <c r="AD37" s="32">
        <f>AD33*(1-'Assumptions'!$F$40)*'Assumptions'!$F$39</f>
        <v>0</v>
      </c>
      <c r="AE37" s="32">
        <f>AE33*(1-'Assumptions'!$F$40)*'Assumptions'!$F$39</f>
        <v>0</v>
      </c>
      <c r="AF37" s="32">
        <f>AF33*(1-'Assumptions'!$F$40)*'Assumptions'!$F$39</f>
        <v>0</v>
      </c>
      <c r="AG37" s="32">
        <f>AG33*(1-'Assumptions'!$F$40)*'Assumptions'!$F$39</f>
        <v>0</v>
      </c>
      <c r="AH37" s="32">
        <f>AH33*(1-'Assumptions'!$F$40)*'Assumptions'!$F$39</f>
        <v>0</v>
      </c>
      <c r="AI37" s="32">
        <f>AI33*(1-'Assumptions'!$F$40)*'Assumptions'!$F$39</f>
        <v>0</v>
      </c>
      <c r="AJ37" s="32">
        <f>AJ33*(1-'Assumptions'!$F$40)*'Assumptions'!$F$39</f>
        <v>0</v>
      </c>
      <c r="AK37" s="32">
        <f>AK33*(1-'Assumptions'!$F$40)*'Assumptions'!$F$39</f>
        <v>0</v>
      </c>
      <c r="AL37" s="32">
        <f>AL33*(1-'Assumptions'!$F$40)*'Assumptions'!$F$39</f>
        <v>0</v>
      </c>
      <c r="AN37" s="32">
        <f>AVERAGE(C37:E37)</f>
        <v>0</v>
      </c>
      <c r="AO37" s="32">
        <f>AVERAGE(F37:H37)</f>
        <v>0</v>
      </c>
      <c r="AP37" s="32">
        <f>AVERAGE(I37:K37)</f>
        <v>0</v>
      </c>
      <c r="AQ37" s="32">
        <f>AVERAGE(L37:N37)</f>
        <v>0</v>
      </c>
      <c r="AR37" s="32">
        <f>AVERAGE(O37:Q37)</f>
        <v>0</v>
      </c>
      <c r="AS37" s="32">
        <f>AVERAGE(R37:T37)</f>
        <v>0</v>
      </c>
      <c r="AT37" s="32">
        <f>AVERAGE(U37:W37)</f>
        <v>0</v>
      </c>
      <c r="AU37" s="32">
        <f>AVERAGE(X37:Z37)</f>
        <v>0</v>
      </c>
      <c r="AV37" s="32">
        <f>AVERAGE(AA37:AC37)</f>
        <v>0</v>
      </c>
      <c r="AW37" s="32">
        <f>AVERAGE(AD37:AF37)</f>
        <v>0</v>
      </c>
      <c r="AX37" s="32">
        <f>AVERAGE(AG37:AI37)</f>
        <v>0</v>
      </c>
      <c r="AY37" s="32">
        <f>AVERAGE(AJ37:AL37)</f>
        <v>0</v>
      </c>
      <c r="BA37" s="32">
        <f>AVERAGE(C37:N37)</f>
        <v>0</v>
      </c>
      <c r="BB37" s="32">
        <f>AVERAGE(O37:Z37)</f>
        <v>0</v>
      </c>
      <c r="BC37" s="32">
        <f>AVERAGE(AA37:AL37)</f>
        <v>0</v>
      </c>
    </row>
    <row r="38" spans="1:55" ht="5" customHeight="1"/>
    <row r="39" spans="1:55">
      <c r="A39" s="18" t="s">
        <v>266</v>
      </c>
      <c r="B39" s="16"/>
      <c r="C39" s="20">
        <f>C13*C34*C35</f>
        <v>0</v>
      </c>
      <c r="D39" s="20">
        <f>D13*D34*D35</f>
        <v>0</v>
      </c>
      <c r="E39" s="20">
        <f>E13*E34*E35</f>
        <v>0</v>
      </c>
      <c r="F39" s="20">
        <f>F13*F34*F35</f>
        <v>0</v>
      </c>
      <c r="G39" s="20">
        <f>G13*G34*G35</f>
        <v>0</v>
      </c>
      <c r="H39" s="20">
        <f>H13*H34*H35</f>
        <v>0</v>
      </c>
      <c r="I39" s="20">
        <f>I13*I34*I35</f>
        <v>0</v>
      </c>
      <c r="J39" s="20">
        <f>J13*J34*J35</f>
        <v>0</v>
      </c>
      <c r="K39" s="20">
        <f>K13*K34*K35</f>
        <v>0</v>
      </c>
      <c r="L39" s="20">
        <f>L13*L34*L35</f>
        <v>0</v>
      </c>
      <c r="M39" s="20">
        <f>M13*M34*M35</f>
        <v>0</v>
      </c>
      <c r="N39" s="20">
        <f>N13*N34*N35</f>
        <v>0</v>
      </c>
      <c r="O39" s="20">
        <f>O13*O34*O35</f>
        <v>0</v>
      </c>
      <c r="P39" s="20">
        <f>P13*P34*P35</f>
        <v>0</v>
      </c>
      <c r="Q39" s="20">
        <f>Q13*Q34*Q35</f>
        <v>0</v>
      </c>
      <c r="R39" s="20">
        <f>R13*R34*R35</f>
        <v>0</v>
      </c>
      <c r="S39" s="20">
        <f>S13*S34*S35</f>
        <v>0</v>
      </c>
      <c r="T39" s="20">
        <f>T13*T34*T35</f>
        <v>0</v>
      </c>
      <c r="U39" s="20">
        <f>U13*U34*U35</f>
        <v>0</v>
      </c>
      <c r="V39" s="20">
        <f>V13*V34*V35</f>
        <v>0</v>
      </c>
      <c r="W39" s="20">
        <f>W13*W34*W35</f>
        <v>0</v>
      </c>
      <c r="X39" s="20">
        <f>X13*X34*X35</f>
        <v>0</v>
      </c>
      <c r="Y39" s="20">
        <f>Y13*Y34*Y35</f>
        <v>0</v>
      </c>
      <c r="Z39" s="20">
        <f>Z13*Z34*Z35</f>
        <v>0</v>
      </c>
      <c r="AA39" s="20">
        <f>AA13*AA34*AA35</f>
        <v>0</v>
      </c>
      <c r="AB39" s="20">
        <f>AB13*AB34*AB35</f>
        <v>0</v>
      </c>
      <c r="AC39" s="20">
        <f>AC13*AC34*AC35</f>
        <v>0</v>
      </c>
      <c r="AD39" s="20">
        <f>AD13*AD34*AD35</f>
        <v>0</v>
      </c>
      <c r="AE39" s="20">
        <f>AE13*AE34*AE35</f>
        <v>0</v>
      </c>
      <c r="AF39" s="20">
        <f>AF13*AF34*AF35</f>
        <v>0</v>
      </c>
      <c r="AG39" s="20">
        <f>AG13*AG34*AG35</f>
        <v>0</v>
      </c>
      <c r="AH39" s="20">
        <f>AH13*AH34*AH35</f>
        <v>0</v>
      </c>
      <c r="AI39" s="20">
        <f>AI13*AI34*AI35</f>
        <v>0</v>
      </c>
      <c r="AJ39" s="20">
        <f>AJ13*AJ34*AJ35</f>
        <v>0</v>
      </c>
      <c r="AK39" s="20">
        <f>AK13*AK34*AK35</f>
        <v>0</v>
      </c>
      <c r="AL39" s="20">
        <f>AL13*AL34*AL35</f>
        <v>0</v>
      </c>
      <c r="AN39" s="20">
        <f>SUM(C39:E39)</f>
        <v>0</v>
      </c>
      <c r="AO39" s="20">
        <f>SUM(F39:H39)</f>
        <v>0</v>
      </c>
      <c r="AP39" s="20">
        <f>SUM(I39:K39)</f>
        <v>0</v>
      </c>
      <c r="AQ39" s="20">
        <f>SUM(L39:N39)</f>
        <v>0</v>
      </c>
      <c r="AR39" s="20">
        <f>SUM(O39:Q39)</f>
        <v>0</v>
      </c>
      <c r="AS39" s="20">
        <f>SUM(R39:T39)</f>
        <v>0</v>
      </c>
      <c r="AT39" s="20">
        <f>SUM(U39:W39)</f>
        <v>0</v>
      </c>
      <c r="AU39" s="20">
        <f>SUM(X39:Z39)</f>
        <v>0</v>
      </c>
      <c r="AV39" s="20">
        <f>SUM(AA39:AC39)</f>
        <v>0</v>
      </c>
      <c r="AW39" s="20">
        <f>SUM(AD39:AF39)</f>
        <v>0</v>
      </c>
      <c r="AX39" s="20">
        <f>SUM(AG39:AI39)</f>
        <v>0</v>
      </c>
      <c r="AY39" s="20">
        <f>SUM(AJ39:AL39)</f>
        <v>0</v>
      </c>
      <c r="BA39" s="20">
        <f>SUM(C39:N39)</f>
        <v>0</v>
      </c>
      <c r="BB39" s="20">
        <f>SUM(O39:Z39)</f>
        <v>0</v>
      </c>
      <c r="BC39" s="20">
        <f>SUM(AA39:AL39)</f>
        <v>0</v>
      </c>
    </row>
    <row r="40" spans="1:55">
      <c r="A40" s="18" t="s">
        <v>267</v>
      </c>
      <c r="B40" s="16"/>
      <c r="C40" s="20">
        <f>C11*'Assumptions'!$F$44</f>
        <v>0</v>
      </c>
      <c r="D40" s="20">
        <f>D11*'Assumptions'!$F$44</f>
        <v>0</v>
      </c>
      <c r="E40" s="20">
        <f>E11*'Assumptions'!$F$44</f>
        <v>0</v>
      </c>
      <c r="F40" s="20">
        <f>F11*'Assumptions'!$F$44</f>
        <v>0</v>
      </c>
      <c r="G40" s="20">
        <f>G11*'Assumptions'!$F$44</f>
        <v>0</v>
      </c>
      <c r="H40" s="20">
        <f>H11*'Assumptions'!$F$44</f>
        <v>0</v>
      </c>
      <c r="I40" s="20">
        <f>I11*'Assumptions'!$F$44</f>
        <v>0</v>
      </c>
      <c r="J40" s="20">
        <f>J11*'Assumptions'!$F$44</f>
        <v>0</v>
      </c>
      <c r="K40" s="20">
        <f>K11*'Assumptions'!$F$44</f>
        <v>0</v>
      </c>
      <c r="L40" s="20">
        <f>L11*'Assumptions'!$F$44</f>
        <v>0</v>
      </c>
      <c r="M40" s="20">
        <f>M11*'Assumptions'!$F$44</f>
        <v>0</v>
      </c>
      <c r="N40" s="20">
        <f>N11*'Assumptions'!$F$44</f>
        <v>0</v>
      </c>
      <c r="O40" s="20">
        <f>O11*'Assumptions'!$F$44</f>
        <v>0</v>
      </c>
      <c r="P40" s="20">
        <f>P11*'Assumptions'!$F$44</f>
        <v>0</v>
      </c>
      <c r="Q40" s="20">
        <f>Q11*'Assumptions'!$F$44</f>
        <v>0</v>
      </c>
      <c r="R40" s="20">
        <f>R11*'Assumptions'!$F$44</f>
        <v>0</v>
      </c>
      <c r="S40" s="20">
        <f>S11*'Assumptions'!$F$44</f>
        <v>0</v>
      </c>
      <c r="T40" s="20">
        <f>T11*'Assumptions'!$F$44</f>
        <v>0</v>
      </c>
      <c r="U40" s="20">
        <f>U11*'Assumptions'!$F$44</f>
        <v>0</v>
      </c>
      <c r="V40" s="20">
        <f>V11*'Assumptions'!$F$44</f>
        <v>0</v>
      </c>
      <c r="W40" s="20">
        <f>W11*'Assumptions'!$F$44</f>
        <v>0</v>
      </c>
      <c r="X40" s="20">
        <f>X11*'Assumptions'!$F$44</f>
        <v>0</v>
      </c>
      <c r="Y40" s="20">
        <f>Y11*'Assumptions'!$F$44</f>
        <v>0</v>
      </c>
      <c r="Z40" s="20">
        <f>Z11*'Assumptions'!$F$44</f>
        <v>0</v>
      </c>
      <c r="AA40" s="20">
        <f>AA11*'Assumptions'!$F$44</f>
        <v>0</v>
      </c>
      <c r="AB40" s="20">
        <f>AB11*'Assumptions'!$F$44</f>
        <v>0</v>
      </c>
      <c r="AC40" s="20">
        <f>AC11*'Assumptions'!$F$44</f>
        <v>0</v>
      </c>
      <c r="AD40" s="20">
        <f>AD11*'Assumptions'!$F$44</f>
        <v>0</v>
      </c>
      <c r="AE40" s="20">
        <f>AE11*'Assumptions'!$F$44</f>
        <v>0</v>
      </c>
      <c r="AF40" s="20">
        <f>AF11*'Assumptions'!$F$44</f>
        <v>0</v>
      </c>
      <c r="AG40" s="20">
        <f>AG11*'Assumptions'!$F$44</f>
        <v>0</v>
      </c>
      <c r="AH40" s="20">
        <f>AH11*'Assumptions'!$F$44</f>
        <v>0</v>
      </c>
      <c r="AI40" s="20">
        <f>AI11*'Assumptions'!$F$44</f>
        <v>0</v>
      </c>
      <c r="AJ40" s="20">
        <f>AJ11*'Assumptions'!$F$44</f>
        <v>0</v>
      </c>
      <c r="AK40" s="20">
        <f>AK11*'Assumptions'!$F$44</f>
        <v>0</v>
      </c>
      <c r="AL40" s="20">
        <f>AL11*'Assumptions'!$F$44</f>
        <v>0</v>
      </c>
      <c r="AN40" s="20">
        <f>SUM(C40:E40)</f>
        <v>0</v>
      </c>
      <c r="AO40" s="20">
        <f>SUM(F40:H40)</f>
        <v>0</v>
      </c>
      <c r="AP40" s="20">
        <f>SUM(I40:K40)</f>
        <v>0</v>
      </c>
      <c r="AQ40" s="20">
        <f>SUM(L40:N40)</f>
        <v>0</v>
      </c>
      <c r="AR40" s="20">
        <f>SUM(O40:Q40)</f>
        <v>0</v>
      </c>
      <c r="AS40" s="20">
        <f>SUM(R40:T40)</f>
        <v>0</v>
      </c>
      <c r="AT40" s="20">
        <f>SUM(U40:W40)</f>
        <v>0</v>
      </c>
      <c r="AU40" s="20">
        <f>SUM(X40:Z40)</f>
        <v>0</v>
      </c>
      <c r="AV40" s="20">
        <f>SUM(AA40:AC40)</f>
        <v>0</v>
      </c>
      <c r="AW40" s="20">
        <f>SUM(AD40:AF40)</f>
        <v>0</v>
      </c>
      <c r="AX40" s="20">
        <f>SUM(AG40:AI40)</f>
        <v>0</v>
      </c>
      <c r="AY40" s="20">
        <f>SUM(AJ40:AL40)</f>
        <v>0</v>
      </c>
      <c r="BA40" s="20">
        <f>SUM(C40:N40)</f>
        <v>0</v>
      </c>
      <c r="BB40" s="20">
        <f>SUM(O40:Z40)</f>
        <v>0</v>
      </c>
      <c r="BC40" s="20">
        <f>SUM(AA40:AL40)</f>
        <v>0</v>
      </c>
    </row>
    <row r="41" spans="1:55">
      <c r="A41" s="30" t="s">
        <v>268</v>
      </c>
      <c r="B41" s="16"/>
      <c r="C41" s="31">
        <f>C39+C40</f>
        <v>0</v>
      </c>
      <c r="D41" s="31">
        <f>D39+D40</f>
        <v>0</v>
      </c>
      <c r="E41" s="31">
        <f>E39+E40</f>
        <v>0</v>
      </c>
      <c r="F41" s="31">
        <f>F39+F40</f>
        <v>0</v>
      </c>
      <c r="G41" s="31">
        <f>G39+G40</f>
        <v>0</v>
      </c>
      <c r="H41" s="31">
        <f>H39+H40</f>
        <v>0</v>
      </c>
      <c r="I41" s="31">
        <f>I39+I40</f>
        <v>0</v>
      </c>
      <c r="J41" s="31">
        <f>J39+J40</f>
        <v>0</v>
      </c>
      <c r="K41" s="31">
        <f>K39+K40</f>
        <v>0</v>
      </c>
      <c r="L41" s="31">
        <f>L39+L40</f>
        <v>0</v>
      </c>
      <c r="M41" s="31">
        <f>M39+M40</f>
        <v>0</v>
      </c>
      <c r="N41" s="31">
        <f>N39+N40</f>
        <v>0</v>
      </c>
      <c r="O41" s="31">
        <f>O39+O40</f>
        <v>0</v>
      </c>
      <c r="P41" s="31">
        <f>P39+P40</f>
        <v>0</v>
      </c>
      <c r="Q41" s="31">
        <f>Q39+Q40</f>
        <v>0</v>
      </c>
      <c r="R41" s="31">
        <f>R39+R40</f>
        <v>0</v>
      </c>
      <c r="S41" s="31">
        <f>S39+S40</f>
        <v>0</v>
      </c>
      <c r="T41" s="31">
        <f>T39+T40</f>
        <v>0</v>
      </c>
      <c r="U41" s="31">
        <f>U39+U40</f>
        <v>0</v>
      </c>
      <c r="V41" s="31">
        <f>V39+V40</f>
        <v>0</v>
      </c>
      <c r="W41" s="31">
        <f>W39+W40</f>
        <v>0</v>
      </c>
      <c r="X41" s="31">
        <f>X39+X40</f>
        <v>0</v>
      </c>
      <c r="Y41" s="31">
        <f>Y39+Y40</f>
        <v>0</v>
      </c>
      <c r="Z41" s="31">
        <f>Z39+Z40</f>
        <v>0</v>
      </c>
      <c r="AA41" s="31">
        <f>AA39+AA40</f>
        <v>0</v>
      </c>
      <c r="AB41" s="31">
        <f>AB39+AB40</f>
        <v>0</v>
      </c>
      <c r="AC41" s="31">
        <f>AC39+AC40</f>
        <v>0</v>
      </c>
      <c r="AD41" s="31">
        <f>AD39+AD40</f>
        <v>0</v>
      </c>
      <c r="AE41" s="31">
        <f>AE39+AE40</f>
        <v>0</v>
      </c>
      <c r="AF41" s="31">
        <f>AF39+AF40</f>
        <v>0</v>
      </c>
      <c r="AG41" s="31">
        <f>AG39+AG40</f>
        <v>0</v>
      </c>
      <c r="AH41" s="31">
        <f>AH39+AH40</f>
        <v>0</v>
      </c>
      <c r="AI41" s="31">
        <f>AI39+AI40</f>
        <v>0</v>
      </c>
      <c r="AJ41" s="31">
        <f>AJ39+AJ40</f>
        <v>0</v>
      </c>
      <c r="AK41" s="31">
        <f>AK39+AK40</f>
        <v>0</v>
      </c>
      <c r="AL41" s="31">
        <f>AL39+AL40</f>
        <v>0</v>
      </c>
      <c r="AN41" s="31">
        <f>SUM(C41:E41)</f>
        <v>0</v>
      </c>
      <c r="AO41" s="31">
        <f>SUM(F41:H41)</f>
        <v>0</v>
      </c>
      <c r="AP41" s="31">
        <f>SUM(I41:K41)</f>
        <v>0</v>
      </c>
      <c r="AQ41" s="31">
        <f>SUM(L41:N41)</f>
        <v>0</v>
      </c>
      <c r="AR41" s="31">
        <f>SUM(O41:Q41)</f>
        <v>0</v>
      </c>
      <c r="AS41" s="31">
        <f>SUM(R41:T41)</f>
        <v>0</v>
      </c>
      <c r="AT41" s="31">
        <f>SUM(U41:W41)</f>
        <v>0</v>
      </c>
      <c r="AU41" s="31">
        <f>SUM(X41:Z41)</f>
        <v>0</v>
      </c>
      <c r="AV41" s="31">
        <f>SUM(AA41:AC41)</f>
        <v>0</v>
      </c>
      <c r="AW41" s="31">
        <f>SUM(AD41:AF41)</f>
        <v>0</v>
      </c>
      <c r="AX41" s="31">
        <f>SUM(AG41:AI41)</f>
        <v>0</v>
      </c>
      <c r="AY41" s="31">
        <f>SUM(AJ41:AL41)</f>
        <v>0</v>
      </c>
      <c r="BA41" s="31">
        <f>SUM(C41:N41)</f>
        <v>0</v>
      </c>
      <c r="BB41" s="31">
        <f>SUM(O41:Z41)</f>
        <v>0</v>
      </c>
      <c r="BC41" s="31">
        <f>SUM(AA41:AL41)</f>
        <v>0</v>
      </c>
    </row>
    <row r="42" spans="1:55">
      <c r="A42" s="18" t="s">
        <v>269</v>
      </c>
      <c r="B42" s="16" t="s">
        <v>270</v>
      </c>
      <c r="C42" s="20">
        <f>C9*C12*C34*C35+C9*'Assumptions'!$F$44</f>
        <v>0</v>
      </c>
      <c r="D42" s="20">
        <f>D9*D12*D34*D35+D9*'Assumptions'!$F$44</f>
        <v>0</v>
      </c>
      <c r="E42" s="20">
        <f>E9*E12*E34*E35+E9*'Assumptions'!$F$44</f>
        <v>0</v>
      </c>
      <c r="F42" s="20">
        <f>F9*F12*F34*F35+F9*'Assumptions'!$F$44</f>
        <v>0</v>
      </c>
      <c r="G42" s="20">
        <f>G9*G12*G34*G35+G9*'Assumptions'!$F$44</f>
        <v>0</v>
      </c>
      <c r="H42" s="20">
        <f>H9*H12*H34*H35+H9*'Assumptions'!$F$44</f>
        <v>0</v>
      </c>
      <c r="I42" s="20">
        <f>I9*I12*I34*I35+I9*'Assumptions'!$F$44</f>
        <v>0</v>
      </c>
      <c r="J42" s="20">
        <f>J9*J12*J34*J35+J9*'Assumptions'!$F$44</f>
        <v>0</v>
      </c>
      <c r="K42" s="20">
        <f>K9*K12*K34*K35+K9*'Assumptions'!$F$44</f>
        <v>0</v>
      </c>
      <c r="L42" s="20">
        <f>L9*L12*L34*L35+L9*'Assumptions'!$F$44</f>
        <v>0</v>
      </c>
      <c r="M42" s="20">
        <f>M9*M12*M34*M35+M9*'Assumptions'!$F$44</f>
        <v>0</v>
      </c>
      <c r="N42" s="20">
        <f>N9*N12*N34*N35+N9*'Assumptions'!$F$44</f>
        <v>0</v>
      </c>
      <c r="O42" s="20">
        <f>O9*O12*O34*O35+O9*'Assumptions'!$F$44</f>
        <v>0</v>
      </c>
      <c r="P42" s="20">
        <f>P9*P12*P34*P35+P9*'Assumptions'!$F$44</f>
        <v>0</v>
      </c>
      <c r="Q42" s="20">
        <f>Q9*Q12*Q34*Q35+Q9*'Assumptions'!$F$44</f>
        <v>0</v>
      </c>
      <c r="R42" s="20">
        <f>R9*R12*R34*R35+R9*'Assumptions'!$F$44</f>
        <v>0</v>
      </c>
      <c r="S42" s="20">
        <f>S9*S12*S34*S35+S9*'Assumptions'!$F$44</f>
        <v>0</v>
      </c>
      <c r="T42" s="20">
        <f>T9*T12*T34*T35+T9*'Assumptions'!$F$44</f>
        <v>0</v>
      </c>
      <c r="U42" s="20">
        <f>U9*U12*U34*U35+U9*'Assumptions'!$F$44</f>
        <v>0</v>
      </c>
      <c r="V42" s="20">
        <f>V9*V12*V34*V35+V9*'Assumptions'!$F$44</f>
        <v>0</v>
      </c>
      <c r="W42" s="20">
        <f>W9*W12*W34*W35+W9*'Assumptions'!$F$44</f>
        <v>0</v>
      </c>
      <c r="X42" s="20">
        <f>X9*X12*X34*X35+X9*'Assumptions'!$F$44</f>
        <v>0</v>
      </c>
      <c r="Y42" s="20">
        <f>Y9*Y12*Y34*Y35+Y9*'Assumptions'!$F$44</f>
        <v>0</v>
      </c>
      <c r="Z42" s="20">
        <f>Z9*Z12*Z34*Z35+Z9*'Assumptions'!$F$44</f>
        <v>0</v>
      </c>
      <c r="AA42" s="20">
        <f>AA9*AA12*AA34*AA35+AA9*'Assumptions'!$F$44</f>
        <v>0</v>
      </c>
      <c r="AB42" s="20">
        <f>AB9*AB12*AB34*AB35+AB9*'Assumptions'!$F$44</f>
        <v>0</v>
      </c>
      <c r="AC42" s="20">
        <f>AC9*AC12*AC34*AC35+AC9*'Assumptions'!$F$44</f>
        <v>0</v>
      </c>
      <c r="AD42" s="20">
        <f>AD9*AD12*AD34*AD35+AD9*'Assumptions'!$F$44</f>
        <v>0</v>
      </c>
      <c r="AE42" s="20">
        <f>AE9*AE12*AE34*AE35+AE9*'Assumptions'!$F$44</f>
        <v>0</v>
      </c>
      <c r="AF42" s="20">
        <f>AF9*AF12*AF34*AF35+AF9*'Assumptions'!$F$44</f>
        <v>0</v>
      </c>
      <c r="AG42" s="20">
        <f>AG9*AG12*AG34*AG35+AG9*'Assumptions'!$F$44</f>
        <v>0</v>
      </c>
      <c r="AH42" s="20">
        <f>AH9*AH12*AH34*AH35+AH9*'Assumptions'!$F$44</f>
        <v>0</v>
      </c>
      <c r="AI42" s="20">
        <f>AI9*AI12*AI34*AI35+AI9*'Assumptions'!$F$44</f>
        <v>0</v>
      </c>
      <c r="AJ42" s="20">
        <f>AJ9*AJ12*AJ34*AJ35+AJ9*'Assumptions'!$F$44</f>
        <v>0</v>
      </c>
      <c r="AK42" s="20">
        <f>AK9*AK12*AK34*AK35+AK9*'Assumptions'!$F$44</f>
        <v>0</v>
      </c>
      <c r="AL42" s="20">
        <f>AL9*AL12*AL34*AL35+AL9*'Assumptions'!$F$44</f>
        <v>0</v>
      </c>
      <c r="AN42" s="20">
        <f>SUM(C42:E42)</f>
        <v>0</v>
      </c>
      <c r="AO42" s="20">
        <f>SUM(F42:H42)</f>
        <v>0</v>
      </c>
      <c r="AP42" s="20">
        <f>SUM(I42:K42)</f>
        <v>0</v>
      </c>
      <c r="AQ42" s="20">
        <f>SUM(L42:N42)</f>
        <v>0</v>
      </c>
      <c r="AR42" s="20">
        <f>SUM(O42:Q42)</f>
        <v>0</v>
      </c>
      <c r="AS42" s="20">
        <f>SUM(R42:T42)</f>
        <v>0</v>
      </c>
      <c r="AT42" s="20">
        <f>SUM(U42:W42)</f>
        <v>0</v>
      </c>
      <c r="AU42" s="20">
        <f>SUM(X42:Z42)</f>
        <v>0</v>
      </c>
      <c r="AV42" s="20">
        <f>SUM(AA42:AC42)</f>
        <v>0</v>
      </c>
      <c r="AW42" s="20">
        <f>SUM(AD42:AF42)</f>
        <v>0</v>
      </c>
      <c r="AX42" s="20">
        <f>SUM(AG42:AI42)</f>
        <v>0</v>
      </c>
      <c r="AY42" s="20">
        <f>SUM(AJ42:AL42)</f>
        <v>0</v>
      </c>
      <c r="BA42" s="20">
        <f>SUM(C42:N42)</f>
        <v>0</v>
      </c>
      <c r="BB42" s="20">
        <f>SUM(O42:Z42)</f>
        <v>0</v>
      </c>
      <c r="BC42" s="20">
        <f>SUM(AA42:AL42)</f>
        <v>0</v>
      </c>
    </row>
    <row r="43" spans="1:55" ht="5" customHeight="1"/>
    <row r="44" spans="1:55">
      <c r="A44" s="18" t="s">
        <v>271</v>
      </c>
      <c r="B44" s="16"/>
      <c r="C44" s="20">
        <f>C21*C34*C36</f>
        <v>0</v>
      </c>
      <c r="D44" s="20">
        <f>D21*D34*D36</f>
        <v>0</v>
      </c>
      <c r="E44" s="20">
        <f>E21*E34*E36</f>
        <v>0</v>
      </c>
      <c r="F44" s="20">
        <f>F21*F34*F36</f>
        <v>0</v>
      </c>
      <c r="G44" s="20">
        <f>G21*G34*G36</f>
        <v>0</v>
      </c>
      <c r="H44" s="20">
        <f>H21*H34*H36</f>
        <v>0</v>
      </c>
      <c r="I44" s="20">
        <f>I21*I34*I36</f>
        <v>0</v>
      </c>
      <c r="J44" s="20">
        <f>J21*J34*J36</f>
        <v>0</v>
      </c>
      <c r="K44" s="20">
        <f>K21*K34*K36</f>
        <v>0</v>
      </c>
      <c r="L44" s="20">
        <f>L21*L34*L36</f>
        <v>0</v>
      </c>
      <c r="M44" s="20">
        <f>M21*M34*M36</f>
        <v>0</v>
      </c>
      <c r="N44" s="20">
        <f>N21*N34*N36</f>
        <v>0</v>
      </c>
      <c r="O44" s="20">
        <f>O21*O34*O36</f>
        <v>0</v>
      </c>
      <c r="P44" s="20">
        <f>P21*P34*P36</f>
        <v>0</v>
      </c>
      <c r="Q44" s="20">
        <f>Q21*Q34*Q36</f>
        <v>0</v>
      </c>
      <c r="R44" s="20">
        <f>R21*R34*R36</f>
        <v>0</v>
      </c>
      <c r="S44" s="20">
        <f>S21*S34*S36</f>
        <v>0</v>
      </c>
      <c r="T44" s="20">
        <f>T21*T34*T36</f>
        <v>0</v>
      </c>
      <c r="U44" s="20">
        <f>U21*U34*U36</f>
        <v>0</v>
      </c>
      <c r="V44" s="20">
        <f>V21*V34*V36</f>
        <v>0</v>
      </c>
      <c r="W44" s="20">
        <f>W21*W34*W36</f>
        <v>0</v>
      </c>
      <c r="X44" s="20">
        <f>X21*X34*X36</f>
        <v>0</v>
      </c>
      <c r="Y44" s="20">
        <f>Y21*Y34*Y36</f>
        <v>0</v>
      </c>
      <c r="Z44" s="20">
        <f>Z21*Z34*Z36</f>
        <v>0</v>
      </c>
      <c r="AA44" s="20">
        <f>AA21*AA34*AA36</f>
        <v>0</v>
      </c>
      <c r="AB44" s="20">
        <f>AB21*AB34*AB36</f>
        <v>0</v>
      </c>
      <c r="AC44" s="20">
        <f>AC21*AC34*AC36</f>
        <v>0</v>
      </c>
      <c r="AD44" s="20">
        <f>AD21*AD34*AD36</f>
        <v>0</v>
      </c>
      <c r="AE44" s="20">
        <f>AE21*AE34*AE36</f>
        <v>0</v>
      </c>
      <c r="AF44" s="20">
        <f>AF21*AF34*AF36</f>
        <v>0</v>
      </c>
      <c r="AG44" s="20">
        <f>AG21*AG34*AG36</f>
        <v>0</v>
      </c>
      <c r="AH44" s="20">
        <f>AH21*AH34*AH36</f>
        <v>0</v>
      </c>
      <c r="AI44" s="20">
        <f>AI21*AI34*AI36</f>
        <v>0</v>
      </c>
      <c r="AJ44" s="20">
        <f>AJ21*AJ34*AJ36</f>
        <v>0</v>
      </c>
      <c r="AK44" s="20">
        <f>AK21*AK34*AK36</f>
        <v>0</v>
      </c>
      <c r="AL44" s="20">
        <f>AL21*AL34*AL36</f>
        <v>0</v>
      </c>
      <c r="AN44" s="20">
        <f>SUM(C44:E44)</f>
        <v>0</v>
      </c>
      <c r="AO44" s="20">
        <f>SUM(F44:H44)</f>
        <v>0</v>
      </c>
      <c r="AP44" s="20">
        <f>SUM(I44:K44)</f>
        <v>0</v>
      </c>
      <c r="AQ44" s="20">
        <f>SUM(L44:N44)</f>
        <v>0</v>
      </c>
      <c r="AR44" s="20">
        <f>SUM(O44:Q44)</f>
        <v>0</v>
      </c>
      <c r="AS44" s="20">
        <f>SUM(R44:T44)</f>
        <v>0</v>
      </c>
      <c r="AT44" s="20">
        <f>SUM(U44:W44)</f>
        <v>0</v>
      </c>
      <c r="AU44" s="20">
        <f>SUM(X44:Z44)</f>
        <v>0</v>
      </c>
      <c r="AV44" s="20">
        <f>SUM(AA44:AC44)</f>
        <v>0</v>
      </c>
      <c r="AW44" s="20">
        <f>SUM(AD44:AF44)</f>
        <v>0</v>
      </c>
      <c r="AX44" s="20">
        <f>SUM(AG44:AI44)</f>
        <v>0</v>
      </c>
      <c r="AY44" s="20">
        <f>SUM(AJ44:AL44)</f>
        <v>0</v>
      </c>
      <c r="BA44" s="20">
        <f>SUM(C44:N44)</f>
        <v>0</v>
      </c>
      <c r="BB44" s="20">
        <f>SUM(O44:Z44)</f>
        <v>0</v>
      </c>
      <c r="BC44" s="20">
        <f>SUM(AA44:AL44)</f>
        <v>0</v>
      </c>
    </row>
    <row r="45" spans="1:55">
      <c r="A45" s="18" t="s">
        <v>272</v>
      </c>
      <c r="B45" s="16"/>
      <c r="C45" s="20">
        <f>C19*'Assumptions'!$F$45</f>
        <v>0</v>
      </c>
      <c r="D45" s="20">
        <f>D19*'Assumptions'!$F$45</f>
        <v>0</v>
      </c>
      <c r="E45" s="20">
        <f>E19*'Assumptions'!$F$45</f>
        <v>0</v>
      </c>
      <c r="F45" s="20">
        <f>F19*'Assumptions'!$F$45</f>
        <v>0</v>
      </c>
      <c r="G45" s="20">
        <f>G19*'Assumptions'!$F$45</f>
        <v>0</v>
      </c>
      <c r="H45" s="20">
        <f>H19*'Assumptions'!$F$45</f>
        <v>0</v>
      </c>
      <c r="I45" s="20">
        <f>I19*'Assumptions'!$F$45</f>
        <v>0</v>
      </c>
      <c r="J45" s="20">
        <f>J19*'Assumptions'!$F$45</f>
        <v>0</v>
      </c>
      <c r="K45" s="20">
        <f>K19*'Assumptions'!$F$45</f>
        <v>0</v>
      </c>
      <c r="L45" s="20">
        <f>L19*'Assumptions'!$F$45</f>
        <v>0</v>
      </c>
      <c r="M45" s="20">
        <f>M19*'Assumptions'!$F$45</f>
        <v>0</v>
      </c>
      <c r="N45" s="20">
        <f>N19*'Assumptions'!$F$45</f>
        <v>0</v>
      </c>
      <c r="O45" s="20">
        <f>O19*'Assumptions'!$F$45</f>
        <v>0</v>
      </c>
      <c r="P45" s="20">
        <f>P19*'Assumptions'!$F$45</f>
        <v>0</v>
      </c>
      <c r="Q45" s="20">
        <f>Q19*'Assumptions'!$F$45</f>
        <v>0</v>
      </c>
      <c r="R45" s="20">
        <f>R19*'Assumptions'!$F$45</f>
        <v>0</v>
      </c>
      <c r="S45" s="20">
        <f>S19*'Assumptions'!$F$45</f>
        <v>0</v>
      </c>
      <c r="T45" s="20">
        <f>T19*'Assumptions'!$F$45</f>
        <v>0</v>
      </c>
      <c r="U45" s="20">
        <f>U19*'Assumptions'!$F$45</f>
        <v>0</v>
      </c>
      <c r="V45" s="20">
        <f>V19*'Assumptions'!$F$45</f>
        <v>0</v>
      </c>
      <c r="W45" s="20">
        <f>W19*'Assumptions'!$F$45</f>
        <v>0</v>
      </c>
      <c r="X45" s="20">
        <f>X19*'Assumptions'!$F$45</f>
        <v>0</v>
      </c>
      <c r="Y45" s="20">
        <f>Y19*'Assumptions'!$F$45</f>
        <v>0</v>
      </c>
      <c r="Z45" s="20">
        <f>Z19*'Assumptions'!$F$45</f>
        <v>0</v>
      </c>
      <c r="AA45" s="20">
        <f>AA19*'Assumptions'!$F$45</f>
        <v>0</v>
      </c>
      <c r="AB45" s="20">
        <f>AB19*'Assumptions'!$F$45</f>
        <v>0</v>
      </c>
      <c r="AC45" s="20">
        <f>AC19*'Assumptions'!$F$45</f>
        <v>0</v>
      </c>
      <c r="AD45" s="20">
        <f>AD19*'Assumptions'!$F$45</f>
        <v>0</v>
      </c>
      <c r="AE45" s="20">
        <f>AE19*'Assumptions'!$F$45</f>
        <v>0</v>
      </c>
      <c r="AF45" s="20">
        <f>AF19*'Assumptions'!$F$45</f>
        <v>0</v>
      </c>
      <c r="AG45" s="20">
        <f>AG19*'Assumptions'!$F$45</f>
        <v>0</v>
      </c>
      <c r="AH45" s="20">
        <f>AH19*'Assumptions'!$F$45</f>
        <v>0</v>
      </c>
      <c r="AI45" s="20">
        <f>AI19*'Assumptions'!$F$45</f>
        <v>0</v>
      </c>
      <c r="AJ45" s="20">
        <f>AJ19*'Assumptions'!$F$45</f>
        <v>0</v>
      </c>
      <c r="AK45" s="20">
        <f>AK19*'Assumptions'!$F$45</f>
        <v>0</v>
      </c>
      <c r="AL45" s="20">
        <f>AL19*'Assumptions'!$F$45</f>
        <v>0</v>
      </c>
      <c r="AN45" s="20">
        <f>SUM(C45:E45)</f>
        <v>0</v>
      </c>
      <c r="AO45" s="20">
        <f>SUM(F45:H45)</f>
        <v>0</v>
      </c>
      <c r="AP45" s="20">
        <f>SUM(I45:K45)</f>
        <v>0</v>
      </c>
      <c r="AQ45" s="20">
        <f>SUM(L45:N45)</f>
        <v>0</v>
      </c>
      <c r="AR45" s="20">
        <f>SUM(O45:Q45)</f>
        <v>0</v>
      </c>
      <c r="AS45" s="20">
        <f>SUM(R45:T45)</f>
        <v>0</v>
      </c>
      <c r="AT45" s="20">
        <f>SUM(U45:W45)</f>
        <v>0</v>
      </c>
      <c r="AU45" s="20">
        <f>SUM(X45:Z45)</f>
        <v>0</v>
      </c>
      <c r="AV45" s="20">
        <f>SUM(AA45:AC45)</f>
        <v>0</v>
      </c>
      <c r="AW45" s="20">
        <f>SUM(AD45:AF45)</f>
        <v>0</v>
      </c>
      <c r="AX45" s="20">
        <f>SUM(AG45:AI45)</f>
        <v>0</v>
      </c>
      <c r="AY45" s="20">
        <f>SUM(AJ45:AL45)</f>
        <v>0</v>
      </c>
      <c r="BA45" s="20">
        <f>SUM(C45:N45)</f>
        <v>0</v>
      </c>
      <c r="BB45" s="20">
        <f>SUM(O45:Z45)</f>
        <v>0</v>
      </c>
      <c r="BC45" s="20">
        <f>SUM(AA45:AL45)</f>
        <v>0</v>
      </c>
    </row>
    <row r="46" spans="1:55">
      <c r="A46" s="30" t="s">
        <v>273</v>
      </c>
      <c r="B46" s="16"/>
      <c r="C46" s="31">
        <f>C44+C45</f>
        <v>0</v>
      </c>
      <c r="D46" s="31">
        <f>D44+D45</f>
        <v>0</v>
      </c>
      <c r="E46" s="31">
        <f>E44+E45</f>
        <v>0</v>
      </c>
      <c r="F46" s="31">
        <f>F44+F45</f>
        <v>0</v>
      </c>
      <c r="G46" s="31">
        <f>G44+G45</f>
        <v>0</v>
      </c>
      <c r="H46" s="31">
        <f>H44+H45</f>
        <v>0</v>
      </c>
      <c r="I46" s="31">
        <f>I44+I45</f>
        <v>0</v>
      </c>
      <c r="J46" s="31">
        <f>J44+J45</f>
        <v>0</v>
      </c>
      <c r="K46" s="31">
        <f>K44+K45</f>
        <v>0</v>
      </c>
      <c r="L46" s="31">
        <f>L44+L45</f>
        <v>0</v>
      </c>
      <c r="M46" s="31">
        <f>M44+M45</f>
        <v>0</v>
      </c>
      <c r="N46" s="31">
        <f>N44+N45</f>
        <v>0</v>
      </c>
      <c r="O46" s="31">
        <f>O44+O45</f>
        <v>0</v>
      </c>
      <c r="P46" s="31">
        <f>P44+P45</f>
        <v>0</v>
      </c>
      <c r="Q46" s="31">
        <f>Q44+Q45</f>
        <v>0</v>
      </c>
      <c r="R46" s="31">
        <f>R44+R45</f>
        <v>0</v>
      </c>
      <c r="S46" s="31">
        <f>S44+S45</f>
        <v>0</v>
      </c>
      <c r="T46" s="31">
        <f>T44+T45</f>
        <v>0</v>
      </c>
      <c r="U46" s="31">
        <f>U44+U45</f>
        <v>0</v>
      </c>
      <c r="V46" s="31">
        <f>V44+V45</f>
        <v>0</v>
      </c>
      <c r="W46" s="31">
        <f>W44+W45</f>
        <v>0</v>
      </c>
      <c r="X46" s="31">
        <f>X44+X45</f>
        <v>0</v>
      </c>
      <c r="Y46" s="31">
        <f>Y44+Y45</f>
        <v>0</v>
      </c>
      <c r="Z46" s="31">
        <f>Z44+Z45</f>
        <v>0</v>
      </c>
      <c r="AA46" s="31">
        <f>AA44+AA45</f>
        <v>0</v>
      </c>
      <c r="AB46" s="31">
        <f>AB44+AB45</f>
        <v>0</v>
      </c>
      <c r="AC46" s="31">
        <f>AC44+AC45</f>
        <v>0</v>
      </c>
      <c r="AD46" s="31">
        <f>AD44+AD45</f>
        <v>0</v>
      </c>
      <c r="AE46" s="31">
        <f>AE44+AE45</f>
        <v>0</v>
      </c>
      <c r="AF46" s="31">
        <f>AF44+AF45</f>
        <v>0</v>
      </c>
      <c r="AG46" s="31">
        <f>AG44+AG45</f>
        <v>0</v>
      </c>
      <c r="AH46" s="31">
        <f>AH44+AH45</f>
        <v>0</v>
      </c>
      <c r="AI46" s="31">
        <f>AI44+AI45</f>
        <v>0</v>
      </c>
      <c r="AJ46" s="31">
        <f>AJ44+AJ45</f>
        <v>0</v>
      </c>
      <c r="AK46" s="31">
        <f>AK44+AK45</f>
        <v>0</v>
      </c>
      <c r="AL46" s="31">
        <f>AL44+AL45</f>
        <v>0</v>
      </c>
      <c r="AN46" s="31">
        <f>SUM(C46:E46)</f>
        <v>0</v>
      </c>
      <c r="AO46" s="31">
        <f>SUM(F46:H46)</f>
        <v>0</v>
      </c>
      <c r="AP46" s="31">
        <f>SUM(I46:K46)</f>
        <v>0</v>
      </c>
      <c r="AQ46" s="31">
        <f>SUM(L46:N46)</f>
        <v>0</v>
      </c>
      <c r="AR46" s="31">
        <f>SUM(O46:Q46)</f>
        <v>0</v>
      </c>
      <c r="AS46" s="31">
        <f>SUM(R46:T46)</f>
        <v>0</v>
      </c>
      <c r="AT46" s="31">
        <f>SUM(U46:W46)</f>
        <v>0</v>
      </c>
      <c r="AU46" s="31">
        <f>SUM(X46:Z46)</f>
        <v>0</v>
      </c>
      <c r="AV46" s="31">
        <f>SUM(AA46:AC46)</f>
        <v>0</v>
      </c>
      <c r="AW46" s="31">
        <f>SUM(AD46:AF46)</f>
        <v>0</v>
      </c>
      <c r="AX46" s="31">
        <f>SUM(AG46:AI46)</f>
        <v>0</v>
      </c>
      <c r="AY46" s="31">
        <f>SUM(AJ46:AL46)</f>
        <v>0</v>
      </c>
      <c r="BA46" s="31">
        <f>SUM(C46:N46)</f>
        <v>0</v>
      </c>
      <c r="BB46" s="31">
        <f>SUM(O46:Z46)</f>
        <v>0</v>
      </c>
      <c r="BC46" s="31">
        <f>SUM(AA46:AL46)</f>
        <v>0</v>
      </c>
    </row>
    <row r="47" spans="1:55">
      <c r="A47" s="18" t="s">
        <v>274</v>
      </c>
      <c r="B47" s="16" t="s">
        <v>270</v>
      </c>
      <c r="C47" s="20">
        <f>C17*C20*C34*C36+C17*'Assumptions'!$F$45</f>
        <v>0</v>
      </c>
      <c r="D47" s="20">
        <f>D17*D20*D34*D36+D17*'Assumptions'!$F$45</f>
        <v>0</v>
      </c>
      <c r="E47" s="20">
        <f>E17*E20*E34*E36+E17*'Assumptions'!$F$45</f>
        <v>0</v>
      </c>
      <c r="F47" s="20">
        <f>F17*F20*F34*F36+F17*'Assumptions'!$F$45</f>
        <v>0</v>
      </c>
      <c r="G47" s="20">
        <f>G17*G20*G34*G36+G17*'Assumptions'!$F$45</f>
        <v>0</v>
      </c>
      <c r="H47" s="20">
        <f>H17*H20*H34*H36+H17*'Assumptions'!$F$45</f>
        <v>0</v>
      </c>
      <c r="I47" s="20">
        <f>I17*I20*I34*I36+I17*'Assumptions'!$F$45</f>
        <v>0</v>
      </c>
      <c r="J47" s="20">
        <f>J17*J20*J34*J36+J17*'Assumptions'!$F$45</f>
        <v>0</v>
      </c>
      <c r="K47" s="20">
        <f>K17*K20*K34*K36+K17*'Assumptions'!$F$45</f>
        <v>0</v>
      </c>
      <c r="L47" s="20">
        <f>L17*L20*L34*L36+L17*'Assumptions'!$F$45</f>
        <v>0</v>
      </c>
      <c r="M47" s="20">
        <f>M17*M20*M34*M36+M17*'Assumptions'!$F$45</f>
        <v>0</v>
      </c>
      <c r="N47" s="20">
        <f>N17*N20*N34*N36+N17*'Assumptions'!$F$45</f>
        <v>0</v>
      </c>
      <c r="O47" s="20">
        <f>O17*O20*O34*O36+O17*'Assumptions'!$F$45</f>
        <v>0</v>
      </c>
      <c r="P47" s="20">
        <f>P17*P20*P34*P36+P17*'Assumptions'!$F$45</f>
        <v>0</v>
      </c>
      <c r="Q47" s="20">
        <f>Q17*Q20*Q34*Q36+Q17*'Assumptions'!$F$45</f>
        <v>0</v>
      </c>
      <c r="R47" s="20">
        <f>R17*R20*R34*R36+R17*'Assumptions'!$F$45</f>
        <v>0</v>
      </c>
      <c r="S47" s="20">
        <f>S17*S20*S34*S36+S17*'Assumptions'!$F$45</f>
        <v>0</v>
      </c>
      <c r="T47" s="20">
        <f>T17*T20*T34*T36+T17*'Assumptions'!$F$45</f>
        <v>0</v>
      </c>
      <c r="U47" s="20">
        <f>U17*U20*U34*U36+U17*'Assumptions'!$F$45</f>
        <v>0</v>
      </c>
      <c r="V47" s="20">
        <f>V17*V20*V34*V36+V17*'Assumptions'!$F$45</f>
        <v>0</v>
      </c>
      <c r="W47" s="20">
        <f>W17*W20*W34*W36+W17*'Assumptions'!$F$45</f>
        <v>0</v>
      </c>
      <c r="X47" s="20">
        <f>X17*X20*X34*X36+X17*'Assumptions'!$F$45</f>
        <v>0</v>
      </c>
      <c r="Y47" s="20">
        <f>Y17*Y20*Y34*Y36+Y17*'Assumptions'!$F$45</f>
        <v>0</v>
      </c>
      <c r="Z47" s="20">
        <f>Z17*Z20*Z34*Z36+Z17*'Assumptions'!$F$45</f>
        <v>0</v>
      </c>
      <c r="AA47" s="20">
        <f>AA17*AA20*AA34*AA36+AA17*'Assumptions'!$F$45</f>
        <v>0</v>
      </c>
      <c r="AB47" s="20">
        <f>AB17*AB20*AB34*AB36+AB17*'Assumptions'!$F$45</f>
        <v>0</v>
      </c>
      <c r="AC47" s="20">
        <f>AC17*AC20*AC34*AC36+AC17*'Assumptions'!$F$45</f>
        <v>0</v>
      </c>
      <c r="AD47" s="20">
        <f>AD17*AD20*AD34*AD36+AD17*'Assumptions'!$F$45</f>
        <v>0</v>
      </c>
      <c r="AE47" s="20">
        <f>AE17*AE20*AE34*AE36+AE17*'Assumptions'!$F$45</f>
        <v>0</v>
      </c>
      <c r="AF47" s="20">
        <f>AF17*AF20*AF34*AF36+AF17*'Assumptions'!$F$45</f>
        <v>0</v>
      </c>
      <c r="AG47" s="20">
        <f>AG17*AG20*AG34*AG36+AG17*'Assumptions'!$F$45</f>
        <v>0</v>
      </c>
      <c r="AH47" s="20">
        <f>AH17*AH20*AH34*AH36+AH17*'Assumptions'!$F$45</f>
        <v>0</v>
      </c>
      <c r="AI47" s="20">
        <f>AI17*AI20*AI34*AI36+AI17*'Assumptions'!$F$45</f>
        <v>0</v>
      </c>
      <c r="AJ47" s="20">
        <f>AJ17*AJ20*AJ34*AJ36+AJ17*'Assumptions'!$F$45</f>
        <v>0</v>
      </c>
      <c r="AK47" s="20">
        <f>AK17*AK20*AK34*AK36+AK17*'Assumptions'!$F$45</f>
        <v>0</v>
      </c>
      <c r="AL47" s="20">
        <f>AL17*AL20*AL34*AL36+AL17*'Assumptions'!$F$45</f>
        <v>0</v>
      </c>
      <c r="AN47" s="20">
        <f>SUM(C47:E47)</f>
        <v>0</v>
      </c>
      <c r="AO47" s="20">
        <f>SUM(F47:H47)</f>
        <v>0</v>
      </c>
      <c r="AP47" s="20">
        <f>SUM(I47:K47)</f>
        <v>0</v>
      </c>
      <c r="AQ47" s="20">
        <f>SUM(L47:N47)</f>
        <v>0</v>
      </c>
      <c r="AR47" s="20">
        <f>SUM(O47:Q47)</f>
        <v>0</v>
      </c>
      <c r="AS47" s="20">
        <f>SUM(R47:T47)</f>
        <v>0</v>
      </c>
      <c r="AT47" s="20">
        <f>SUM(U47:W47)</f>
        <v>0</v>
      </c>
      <c r="AU47" s="20">
        <f>SUM(X47:Z47)</f>
        <v>0</v>
      </c>
      <c r="AV47" s="20">
        <f>SUM(AA47:AC47)</f>
        <v>0</v>
      </c>
      <c r="AW47" s="20">
        <f>SUM(AD47:AF47)</f>
        <v>0</v>
      </c>
      <c r="AX47" s="20">
        <f>SUM(AG47:AI47)</f>
        <v>0</v>
      </c>
      <c r="AY47" s="20">
        <f>SUM(AJ47:AL47)</f>
        <v>0</v>
      </c>
      <c r="BA47" s="20">
        <f>SUM(C47:N47)</f>
        <v>0</v>
      </c>
      <c r="BB47" s="20">
        <f>SUM(O47:Z47)</f>
        <v>0</v>
      </c>
      <c r="BC47" s="20">
        <f>SUM(AA47:AL47)</f>
        <v>0</v>
      </c>
    </row>
    <row r="48" spans="1:55" ht="5" customHeight="1"/>
    <row r="49" spans="1:55">
      <c r="A49" s="18" t="s">
        <v>275</v>
      </c>
      <c r="B49" s="16"/>
      <c r="C49" s="20">
        <f>C29*C34*C37</f>
        <v>0</v>
      </c>
      <c r="D49" s="20">
        <f>D29*D34*D37</f>
        <v>0</v>
      </c>
      <c r="E49" s="20">
        <f>E29*E34*E37</f>
        <v>0</v>
      </c>
      <c r="F49" s="20">
        <f>F29*F34*F37</f>
        <v>0</v>
      </c>
      <c r="G49" s="20">
        <f>G29*G34*G37</f>
        <v>0</v>
      </c>
      <c r="H49" s="20">
        <f>H29*H34*H37</f>
        <v>0</v>
      </c>
      <c r="I49" s="20">
        <f>I29*I34*I37</f>
        <v>0</v>
      </c>
      <c r="J49" s="20">
        <f>J29*J34*J37</f>
        <v>0</v>
      </c>
      <c r="K49" s="20">
        <f>K29*K34*K37</f>
        <v>0</v>
      </c>
      <c r="L49" s="20">
        <f>L29*L34*L37</f>
        <v>0</v>
      </c>
      <c r="M49" s="20">
        <f>M29*M34*M37</f>
        <v>0</v>
      </c>
      <c r="N49" s="20">
        <f>N29*N34*N37</f>
        <v>0</v>
      </c>
      <c r="O49" s="20">
        <f>O29*O34*O37</f>
        <v>0</v>
      </c>
      <c r="P49" s="20">
        <f>P29*P34*P37</f>
        <v>0</v>
      </c>
      <c r="Q49" s="20">
        <f>Q29*Q34*Q37</f>
        <v>0</v>
      </c>
      <c r="R49" s="20">
        <f>R29*R34*R37</f>
        <v>0</v>
      </c>
      <c r="S49" s="20">
        <f>S29*S34*S37</f>
        <v>0</v>
      </c>
      <c r="T49" s="20">
        <f>T29*T34*T37</f>
        <v>0</v>
      </c>
      <c r="U49" s="20">
        <f>U29*U34*U37</f>
        <v>0</v>
      </c>
      <c r="V49" s="20">
        <f>V29*V34*V37</f>
        <v>0</v>
      </c>
      <c r="W49" s="20">
        <f>W29*W34*W37</f>
        <v>0</v>
      </c>
      <c r="X49" s="20">
        <f>X29*X34*X37</f>
        <v>0</v>
      </c>
      <c r="Y49" s="20">
        <f>Y29*Y34*Y37</f>
        <v>0</v>
      </c>
      <c r="Z49" s="20">
        <f>Z29*Z34*Z37</f>
        <v>0</v>
      </c>
      <c r="AA49" s="20">
        <f>AA29*AA34*AA37</f>
        <v>0</v>
      </c>
      <c r="AB49" s="20">
        <f>AB29*AB34*AB37</f>
        <v>0</v>
      </c>
      <c r="AC49" s="20">
        <f>AC29*AC34*AC37</f>
        <v>0</v>
      </c>
      <c r="AD49" s="20">
        <f>AD29*AD34*AD37</f>
        <v>0</v>
      </c>
      <c r="AE49" s="20">
        <f>AE29*AE34*AE37</f>
        <v>0</v>
      </c>
      <c r="AF49" s="20">
        <f>AF29*AF34*AF37</f>
        <v>0</v>
      </c>
      <c r="AG49" s="20">
        <f>AG29*AG34*AG37</f>
        <v>0</v>
      </c>
      <c r="AH49" s="20">
        <f>AH29*AH34*AH37</f>
        <v>0</v>
      </c>
      <c r="AI49" s="20">
        <f>AI29*AI34*AI37</f>
        <v>0</v>
      </c>
      <c r="AJ49" s="20">
        <f>AJ29*AJ34*AJ37</f>
        <v>0</v>
      </c>
      <c r="AK49" s="20">
        <f>AK29*AK34*AK37</f>
        <v>0</v>
      </c>
      <c r="AL49" s="20">
        <f>AL29*AL34*AL37</f>
        <v>0</v>
      </c>
      <c r="AN49" s="20">
        <f>SUM(C49:E49)</f>
        <v>0</v>
      </c>
      <c r="AO49" s="20">
        <f>SUM(F49:H49)</f>
        <v>0</v>
      </c>
      <c r="AP49" s="20">
        <f>SUM(I49:K49)</f>
        <v>0</v>
      </c>
      <c r="AQ49" s="20">
        <f>SUM(L49:N49)</f>
        <v>0</v>
      </c>
      <c r="AR49" s="20">
        <f>SUM(O49:Q49)</f>
        <v>0</v>
      </c>
      <c r="AS49" s="20">
        <f>SUM(R49:T49)</f>
        <v>0</v>
      </c>
      <c r="AT49" s="20">
        <f>SUM(U49:W49)</f>
        <v>0</v>
      </c>
      <c r="AU49" s="20">
        <f>SUM(X49:Z49)</f>
        <v>0</v>
      </c>
      <c r="AV49" s="20">
        <f>SUM(AA49:AC49)</f>
        <v>0</v>
      </c>
      <c r="AW49" s="20">
        <f>SUM(AD49:AF49)</f>
        <v>0</v>
      </c>
      <c r="AX49" s="20">
        <f>SUM(AG49:AI49)</f>
        <v>0</v>
      </c>
      <c r="AY49" s="20">
        <f>SUM(AJ49:AL49)</f>
        <v>0</v>
      </c>
      <c r="BA49" s="20">
        <f>SUM(C49:N49)</f>
        <v>0</v>
      </c>
      <c r="BB49" s="20">
        <f>SUM(O49:Z49)</f>
        <v>0</v>
      </c>
      <c r="BC49" s="20">
        <f>SUM(AA49:AL49)</f>
        <v>0</v>
      </c>
    </row>
    <row r="50" spans="1:55">
      <c r="A50" s="18" t="s">
        <v>276</v>
      </c>
      <c r="B50" s="16"/>
      <c r="C50" s="20">
        <f>C27*'Assumptions'!$F$46</f>
        <v>0</v>
      </c>
      <c r="D50" s="20">
        <f>D27*'Assumptions'!$F$46</f>
        <v>0</v>
      </c>
      <c r="E50" s="20">
        <f>E27*'Assumptions'!$F$46</f>
        <v>0</v>
      </c>
      <c r="F50" s="20">
        <f>F27*'Assumptions'!$F$46</f>
        <v>0</v>
      </c>
      <c r="G50" s="20">
        <f>G27*'Assumptions'!$F$46</f>
        <v>0</v>
      </c>
      <c r="H50" s="20">
        <f>H27*'Assumptions'!$F$46</f>
        <v>0</v>
      </c>
      <c r="I50" s="20">
        <f>I27*'Assumptions'!$F$46</f>
        <v>0</v>
      </c>
      <c r="J50" s="20">
        <f>J27*'Assumptions'!$F$46</f>
        <v>0</v>
      </c>
      <c r="K50" s="20">
        <f>K27*'Assumptions'!$F$46</f>
        <v>0</v>
      </c>
      <c r="L50" s="20">
        <f>L27*'Assumptions'!$F$46</f>
        <v>0</v>
      </c>
      <c r="M50" s="20">
        <f>M27*'Assumptions'!$F$46</f>
        <v>0</v>
      </c>
      <c r="N50" s="20">
        <f>N27*'Assumptions'!$F$46</f>
        <v>0</v>
      </c>
      <c r="O50" s="20">
        <f>O27*'Assumptions'!$F$46</f>
        <v>0</v>
      </c>
      <c r="P50" s="20">
        <f>P27*'Assumptions'!$F$46</f>
        <v>0</v>
      </c>
      <c r="Q50" s="20">
        <f>Q27*'Assumptions'!$F$46</f>
        <v>0</v>
      </c>
      <c r="R50" s="20">
        <f>R27*'Assumptions'!$F$46</f>
        <v>0</v>
      </c>
      <c r="S50" s="20">
        <f>S27*'Assumptions'!$F$46</f>
        <v>0</v>
      </c>
      <c r="T50" s="20">
        <f>T27*'Assumptions'!$F$46</f>
        <v>0</v>
      </c>
      <c r="U50" s="20">
        <f>U27*'Assumptions'!$F$46</f>
        <v>0</v>
      </c>
      <c r="V50" s="20">
        <f>V27*'Assumptions'!$F$46</f>
        <v>0</v>
      </c>
      <c r="W50" s="20">
        <f>W27*'Assumptions'!$F$46</f>
        <v>0</v>
      </c>
      <c r="X50" s="20">
        <f>X27*'Assumptions'!$F$46</f>
        <v>0</v>
      </c>
      <c r="Y50" s="20">
        <f>Y27*'Assumptions'!$F$46</f>
        <v>0</v>
      </c>
      <c r="Z50" s="20">
        <f>Z27*'Assumptions'!$F$46</f>
        <v>0</v>
      </c>
      <c r="AA50" s="20">
        <f>AA27*'Assumptions'!$F$46</f>
        <v>0</v>
      </c>
      <c r="AB50" s="20">
        <f>AB27*'Assumptions'!$F$46</f>
        <v>0</v>
      </c>
      <c r="AC50" s="20">
        <f>AC27*'Assumptions'!$F$46</f>
        <v>0</v>
      </c>
      <c r="AD50" s="20">
        <f>AD27*'Assumptions'!$F$46</f>
        <v>0</v>
      </c>
      <c r="AE50" s="20">
        <f>AE27*'Assumptions'!$F$46</f>
        <v>0</v>
      </c>
      <c r="AF50" s="20">
        <f>AF27*'Assumptions'!$F$46</f>
        <v>0</v>
      </c>
      <c r="AG50" s="20">
        <f>AG27*'Assumptions'!$F$46</f>
        <v>0</v>
      </c>
      <c r="AH50" s="20">
        <f>AH27*'Assumptions'!$F$46</f>
        <v>0</v>
      </c>
      <c r="AI50" s="20">
        <f>AI27*'Assumptions'!$F$46</f>
        <v>0</v>
      </c>
      <c r="AJ50" s="20">
        <f>AJ27*'Assumptions'!$F$46</f>
        <v>0</v>
      </c>
      <c r="AK50" s="20">
        <f>AK27*'Assumptions'!$F$46</f>
        <v>0</v>
      </c>
      <c r="AL50" s="20">
        <f>AL27*'Assumptions'!$F$46</f>
        <v>0</v>
      </c>
      <c r="AN50" s="20">
        <f>SUM(C50:E50)</f>
        <v>0</v>
      </c>
      <c r="AO50" s="20">
        <f>SUM(F50:H50)</f>
        <v>0</v>
      </c>
      <c r="AP50" s="20">
        <f>SUM(I50:K50)</f>
        <v>0</v>
      </c>
      <c r="AQ50" s="20">
        <f>SUM(L50:N50)</f>
        <v>0</v>
      </c>
      <c r="AR50" s="20">
        <f>SUM(O50:Q50)</f>
        <v>0</v>
      </c>
      <c r="AS50" s="20">
        <f>SUM(R50:T50)</f>
        <v>0</v>
      </c>
      <c r="AT50" s="20">
        <f>SUM(U50:W50)</f>
        <v>0</v>
      </c>
      <c r="AU50" s="20">
        <f>SUM(X50:Z50)</f>
        <v>0</v>
      </c>
      <c r="AV50" s="20">
        <f>SUM(AA50:AC50)</f>
        <v>0</v>
      </c>
      <c r="AW50" s="20">
        <f>SUM(AD50:AF50)</f>
        <v>0</v>
      </c>
      <c r="AX50" s="20">
        <f>SUM(AG50:AI50)</f>
        <v>0</v>
      </c>
      <c r="AY50" s="20">
        <f>SUM(AJ50:AL50)</f>
        <v>0</v>
      </c>
      <c r="BA50" s="20">
        <f>SUM(C50:N50)</f>
        <v>0</v>
      </c>
      <c r="BB50" s="20">
        <f>SUM(O50:Z50)</f>
        <v>0</v>
      </c>
      <c r="BC50" s="20">
        <f>SUM(AA50:AL50)</f>
        <v>0</v>
      </c>
    </row>
    <row r="51" spans="1:55">
      <c r="A51" s="30" t="s">
        <v>277</v>
      </c>
      <c r="B51" s="16"/>
      <c r="C51" s="31">
        <f>C49+C50</f>
        <v>0</v>
      </c>
      <c r="D51" s="31">
        <f>D49+D50</f>
        <v>0</v>
      </c>
      <c r="E51" s="31">
        <f>E49+E50</f>
        <v>0</v>
      </c>
      <c r="F51" s="31">
        <f>F49+F50</f>
        <v>0</v>
      </c>
      <c r="G51" s="31">
        <f>G49+G50</f>
        <v>0</v>
      </c>
      <c r="H51" s="31">
        <f>H49+H50</f>
        <v>0</v>
      </c>
      <c r="I51" s="31">
        <f>I49+I50</f>
        <v>0</v>
      </c>
      <c r="J51" s="31">
        <f>J49+J50</f>
        <v>0</v>
      </c>
      <c r="K51" s="31">
        <f>K49+K50</f>
        <v>0</v>
      </c>
      <c r="L51" s="31">
        <f>L49+L50</f>
        <v>0</v>
      </c>
      <c r="M51" s="31">
        <f>M49+M50</f>
        <v>0</v>
      </c>
      <c r="N51" s="31">
        <f>N49+N50</f>
        <v>0</v>
      </c>
      <c r="O51" s="31">
        <f>O49+O50</f>
        <v>0</v>
      </c>
      <c r="P51" s="31">
        <f>P49+P50</f>
        <v>0</v>
      </c>
      <c r="Q51" s="31">
        <f>Q49+Q50</f>
        <v>0</v>
      </c>
      <c r="R51" s="31">
        <f>R49+R50</f>
        <v>0</v>
      </c>
      <c r="S51" s="31">
        <f>S49+S50</f>
        <v>0</v>
      </c>
      <c r="T51" s="31">
        <f>T49+T50</f>
        <v>0</v>
      </c>
      <c r="U51" s="31">
        <f>U49+U50</f>
        <v>0</v>
      </c>
      <c r="V51" s="31">
        <f>V49+V50</f>
        <v>0</v>
      </c>
      <c r="W51" s="31">
        <f>W49+W50</f>
        <v>0</v>
      </c>
      <c r="X51" s="31">
        <f>X49+X50</f>
        <v>0</v>
      </c>
      <c r="Y51" s="31">
        <f>Y49+Y50</f>
        <v>0</v>
      </c>
      <c r="Z51" s="31">
        <f>Z49+Z50</f>
        <v>0</v>
      </c>
      <c r="AA51" s="31">
        <f>AA49+AA50</f>
        <v>0</v>
      </c>
      <c r="AB51" s="31">
        <f>AB49+AB50</f>
        <v>0</v>
      </c>
      <c r="AC51" s="31">
        <f>AC49+AC50</f>
        <v>0</v>
      </c>
      <c r="AD51" s="31">
        <f>AD49+AD50</f>
        <v>0</v>
      </c>
      <c r="AE51" s="31">
        <f>AE49+AE50</f>
        <v>0</v>
      </c>
      <c r="AF51" s="31">
        <f>AF49+AF50</f>
        <v>0</v>
      </c>
      <c r="AG51" s="31">
        <f>AG49+AG50</f>
        <v>0</v>
      </c>
      <c r="AH51" s="31">
        <f>AH49+AH50</f>
        <v>0</v>
      </c>
      <c r="AI51" s="31">
        <f>AI49+AI50</f>
        <v>0</v>
      </c>
      <c r="AJ51" s="31">
        <f>AJ49+AJ50</f>
        <v>0</v>
      </c>
      <c r="AK51" s="31">
        <f>AK49+AK50</f>
        <v>0</v>
      </c>
      <c r="AL51" s="31">
        <f>AL49+AL50</f>
        <v>0</v>
      </c>
      <c r="AN51" s="31">
        <f>SUM(C51:E51)</f>
        <v>0</v>
      </c>
      <c r="AO51" s="31">
        <f>SUM(F51:H51)</f>
        <v>0</v>
      </c>
      <c r="AP51" s="31">
        <f>SUM(I51:K51)</f>
        <v>0</v>
      </c>
      <c r="AQ51" s="31">
        <f>SUM(L51:N51)</f>
        <v>0</v>
      </c>
      <c r="AR51" s="31">
        <f>SUM(O51:Q51)</f>
        <v>0</v>
      </c>
      <c r="AS51" s="31">
        <f>SUM(R51:T51)</f>
        <v>0</v>
      </c>
      <c r="AT51" s="31">
        <f>SUM(U51:W51)</f>
        <v>0</v>
      </c>
      <c r="AU51" s="31">
        <f>SUM(X51:Z51)</f>
        <v>0</v>
      </c>
      <c r="AV51" s="31">
        <f>SUM(AA51:AC51)</f>
        <v>0</v>
      </c>
      <c r="AW51" s="31">
        <f>SUM(AD51:AF51)</f>
        <v>0</v>
      </c>
      <c r="AX51" s="31">
        <f>SUM(AG51:AI51)</f>
        <v>0</v>
      </c>
      <c r="AY51" s="31">
        <f>SUM(AJ51:AL51)</f>
        <v>0</v>
      </c>
      <c r="BA51" s="31">
        <f>SUM(C51:N51)</f>
        <v>0</v>
      </c>
      <c r="BB51" s="31">
        <f>SUM(O51:Z51)</f>
        <v>0</v>
      </c>
      <c r="BC51" s="31">
        <f>SUM(AA51:AL51)</f>
        <v>0</v>
      </c>
    </row>
    <row r="52" spans="1:55">
      <c r="A52" s="18" t="s">
        <v>278</v>
      </c>
      <c r="B52" s="16" t="s">
        <v>270</v>
      </c>
      <c r="C52" s="20">
        <f>C25*C28*C34*C37+C25*'Assumptions'!$F$46</f>
        <v>0</v>
      </c>
      <c r="D52" s="20">
        <f>D25*D28*D34*D37+D25*'Assumptions'!$F$46</f>
        <v>0</v>
      </c>
      <c r="E52" s="20">
        <f>E25*E28*E34*E37+E25*'Assumptions'!$F$46</f>
        <v>0</v>
      </c>
      <c r="F52" s="20">
        <f>F25*F28*F34*F37+F25*'Assumptions'!$F$46</f>
        <v>0</v>
      </c>
      <c r="G52" s="20">
        <f>G25*G28*G34*G37+G25*'Assumptions'!$F$46</f>
        <v>0</v>
      </c>
      <c r="H52" s="20">
        <f>H25*H28*H34*H37+H25*'Assumptions'!$F$46</f>
        <v>0</v>
      </c>
      <c r="I52" s="20">
        <f>I25*I28*I34*I37+I25*'Assumptions'!$F$46</f>
        <v>0</v>
      </c>
      <c r="J52" s="20">
        <f>J25*J28*J34*J37+J25*'Assumptions'!$F$46</f>
        <v>0</v>
      </c>
      <c r="K52" s="20">
        <f>K25*K28*K34*K37+K25*'Assumptions'!$F$46</f>
        <v>0</v>
      </c>
      <c r="L52" s="20">
        <f>L25*L28*L34*L37+L25*'Assumptions'!$F$46</f>
        <v>0</v>
      </c>
      <c r="M52" s="20">
        <f>M25*M28*M34*M37+M25*'Assumptions'!$F$46</f>
        <v>0</v>
      </c>
      <c r="N52" s="20">
        <f>N25*N28*N34*N37+N25*'Assumptions'!$F$46</f>
        <v>0</v>
      </c>
      <c r="O52" s="20">
        <f>O25*O28*O34*O37+O25*'Assumptions'!$F$46</f>
        <v>0</v>
      </c>
      <c r="P52" s="20">
        <f>P25*P28*P34*P37+P25*'Assumptions'!$F$46</f>
        <v>0</v>
      </c>
      <c r="Q52" s="20">
        <f>Q25*Q28*Q34*Q37+Q25*'Assumptions'!$F$46</f>
        <v>0</v>
      </c>
      <c r="R52" s="20">
        <f>R25*R28*R34*R37+R25*'Assumptions'!$F$46</f>
        <v>0</v>
      </c>
      <c r="S52" s="20">
        <f>S25*S28*S34*S37+S25*'Assumptions'!$F$46</f>
        <v>0</v>
      </c>
      <c r="T52" s="20">
        <f>T25*T28*T34*T37+T25*'Assumptions'!$F$46</f>
        <v>0</v>
      </c>
      <c r="U52" s="20">
        <f>U25*U28*U34*U37+U25*'Assumptions'!$F$46</f>
        <v>0</v>
      </c>
      <c r="V52" s="20">
        <f>V25*V28*V34*V37+V25*'Assumptions'!$F$46</f>
        <v>0</v>
      </c>
      <c r="W52" s="20">
        <f>W25*W28*W34*W37+W25*'Assumptions'!$F$46</f>
        <v>0</v>
      </c>
      <c r="X52" s="20">
        <f>X25*X28*X34*X37+X25*'Assumptions'!$F$46</f>
        <v>0</v>
      </c>
      <c r="Y52" s="20">
        <f>Y25*Y28*Y34*Y37+Y25*'Assumptions'!$F$46</f>
        <v>0</v>
      </c>
      <c r="Z52" s="20">
        <f>Z25*Z28*Z34*Z37+Z25*'Assumptions'!$F$46</f>
        <v>0</v>
      </c>
      <c r="AA52" s="20">
        <f>AA25*AA28*AA34*AA37+AA25*'Assumptions'!$F$46</f>
        <v>0</v>
      </c>
      <c r="AB52" s="20">
        <f>AB25*AB28*AB34*AB37+AB25*'Assumptions'!$F$46</f>
        <v>0</v>
      </c>
      <c r="AC52" s="20">
        <f>AC25*AC28*AC34*AC37+AC25*'Assumptions'!$F$46</f>
        <v>0</v>
      </c>
      <c r="AD52" s="20">
        <f>AD25*AD28*AD34*AD37+AD25*'Assumptions'!$F$46</f>
        <v>0</v>
      </c>
      <c r="AE52" s="20">
        <f>AE25*AE28*AE34*AE37+AE25*'Assumptions'!$F$46</f>
        <v>0</v>
      </c>
      <c r="AF52" s="20">
        <f>AF25*AF28*AF34*AF37+AF25*'Assumptions'!$F$46</f>
        <v>0</v>
      </c>
      <c r="AG52" s="20">
        <f>AG25*AG28*AG34*AG37+AG25*'Assumptions'!$F$46</f>
        <v>0</v>
      </c>
      <c r="AH52" s="20">
        <f>AH25*AH28*AH34*AH37+AH25*'Assumptions'!$F$46</f>
        <v>0</v>
      </c>
      <c r="AI52" s="20">
        <f>AI25*AI28*AI34*AI37+AI25*'Assumptions'!$F$46</f>
        <v>0</v>
      </c>
      <c r="AJ52" s="20">
        <f>AJ25*AJ28*AJ34*AJ37+AJ25*'Assumptions'!$F$46</f>
        <v>0</v>
      </c>
      <c r="AK52" s="20">
        <f>AK25*AK28*AK34*AK37+AK25*'Assumptions'!$F$46</f>
        <v>0</v>
      </c>
      <c r="AL52" s="20">
        <f>AL25*AL28*AL34*AL37+AL25*'Assumptions'!$F$46</f>
        <v>0</v>
      </c>
      <c r="AN52" s="20">
        <f>SUM(C52:E52)</f>
        <v>0</v>
      </c>
      <c r="AO52" s="20">
        <f>SUM(F52:H52)</f>
        <v>0</v>
      </c>
      <c r="AP52" s="20">
        <f>SUM(I52:K52)</f>
        <v>0</v>
      </c>
      <c r="AQ52" s="20">
        <f>SUM(L52:N52)</f>
        <v>0</v>
      </c>
      <c r="AR52" s="20">
        <f>SUM(O52:Q52)</f>
        <v>0</v>
      </c>
      <c r="AS52" s="20">
        <f>SUM(R52:T52)</f>
        <v>0</v>
      </c>
      <c r="AT52" s="20">
        <f>SUM(U52:W52)</f>
        <v>0</v>
      </c>
      <c r="AU52" s="20">
        <f>SUM(X52:Z52)</f>
        <v>0</v>
      </c>
      <c r="AV52" s="20">
        <f>SUM(AA52:AC52)</f>
        <v>0</v>
      </c>
      <c r="AW52" s="20">
        <f>SUM(AD52:AF52)</f>
        <v>0</v>
      </c>
      <c r="AX52" s="20">
        <f>SUM(AG52:AI52)</f>
        <v>0</v>
      </c>
      <c r="AY52" s="20">
        <f>SUM(AJ52:AL52)</f>
        <v>0</v>
      </c>
      <c r="BA52" s="20">
        <f>SUM(C52:N52)</f>
        <v>0</v>
      </c>
      <c r="BB52" s="20">
        <f>SUM(O52:Z52)</f>
        <v>0</v>
      </c>
      <c r="BC52" s="20">
        <f>SUM(AA52:AL52)</f>
        <v>0</v>
      </c>
    </row>
    <row r="53" spans="1:55" ht="5" customHeight="1"/>
    <row r="54" spans="1:55" ht="16" customHeight="1">
      <c r="A54" s="14" t="s">
        <v>279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</row>
    <row r="55" spans="1:55">
      <c r="A55" s="18" t="s">
        <v>280</v>
      </c>
      <c r="B55" s="16" t="s">
        <v>281</v>
      </c>
      <c r="C55" s="20">
        <f>C13+C21+C29</f>
        <v>0</v>
      </c>
      <c r="D55" s="20">
        <f>D13+D21+D29</f>
        <v>0</v>
      </c>
      <c r="E55" s="20">
        <f>E13+E21+E29</f>
        <v>0</v>
      </c>
      <c r="F55" s="20">
        <f>F13+F21+F29</f>
        <v>0</v>
      </c>
      <c r="G55" s="20">
        <f>G13+G21+G29</f>
        <v>0</v>
      </c>
      <c r="H55" s="20">
        <f>H13+H21+H29</f>
        <v>0</v>
      </c>
      <c r="I55" s="20">
        <f>I13+I21+I29</f>
        <v>0</v>
      </c>
      <c r="J55" s="20">
        <f>J13+J21+J29</f>
        <v>0</v>
      </c>
      <c r="K55" s="20">
        <f>K13+K21+K29</f>
        <v>0</v>
      </c>
      <c r="L55" s="20">
        <f>L13+L21+L29</f>
        <v>0</v>
      </c>
      <c r="M55" s="20">
        <f>M13+M21+M29</f>
        <v>0</v>
      </c>
      <c r="N55" s="20">
        <f>N13+N21+N29</f>
        <v>0</v>
      </c>
      <c r="O55" s="20">
        <f>O13+O21+O29</f>
        <v>0</v>
      </c>
      <c r="P55" s="20">
        <f>P13+P21+P29</f>
        <v>0</v>
      </c>
      <c r="Q55" s="20">
        <f>Q13+Q21+Q29</f>
        <v>0</v>
      </c>
      <c r="R55" s="20">
        <f>R13+R21+R29</f>
        <v>0</v>
      </c>
      <c r="S55" s="20">
        <f>S13+S21+S29</f>
        <v>0</v>
      </c>
      <c r="T55" s="20">
        <f>T13+T21+T29</f>
        <v>0</v>
      </c>
      <c r="U55" s="20">
        <f>U13+U21+U29</f>
        <v>0</v>
      </c>
      <c r="V55" s="20">
        <f>V13+V21+V29</f>
        <v>0</v>
      </c>
      <c r="W55" s="20">
        <f>W13+W21+W29</f>
        <v>0</v>
      </c>
      <c r="X55" s="20">
        <f>X13+X21+X29</f>
        <v>0</v>
      </c>
      <c r="Y55" s="20">
        <f>Y13+Y21+Y29</f>
        <v>0</v>
      </c>
      <c r="Z55" s="20">
        <f>Z13+Z21+Z29</f>
        <v>0</v>
      </c>
      <c r="AA55" s="20">
        <f>AA13+AA21+AA29</f>
        <v>0</v>
      </c>
      <c r="AB55" s="20">
        <f>AB13+AB21+AB29</f>
        <v>0</v>
      </c>
      <c r="AC55" s="20">
        <f>AC13+AC21+AC29</f>
        <v>0</v>
      </c>
      <c r="AD55" s="20">
        <f>AD13+AD21+AD29</f>
        <v>0</v>
      </c>
      <c r="AE55" s="20">
        <f>AE13+AE21+AE29</f>
        <v>0</v>
      </c>
      <c r="AF55" s="20">
        <f>AF13+AF21+AF29</f>
        <v>0</v>
      </c>
      <c r="AG55" s="20">
        <f>AG13+AG21+AG29</f>
        <v>0</v>
      </c>
      <c r="AH55" s="20">
        <f>AH13+AH21+AH29</f>
        <v>0</v>
      </c>
      <c r="AI55" s="20">
        <f>AI13+AI21+AI29</f>
        <v>0</v>
      </c>
      <c r="AJ55" s="20">
        <f>AJ13+AJ21+AJ29</f>
        <v>0</v>
      </c>
      <c r="AK55" s="20">
        <f>AK13+AK21+AK29</f>
        <v>0</v>
      </c>
      <c r="AL55" s="20">
        <f>AL13+AL21+AL29</f>
        <v>0</v>
      </c>
      <c r="AN55" s="20">
        <f>SUM(C55:E55)</f>
        <v>0</v>
      </c>
      <c r="AO55" s="20">
        <f>SUM(F55:H55)</f>
        <v>0</v>
      </c>
      <c r="AP55" s="20">
        <f>SUM(I55:K55)</f>
        <v>0</v>
      </c>
      <c r="AQ55" s="20">
        <f>SUM(L55:N55)</f>
        <v>0</v>
      </c>
      <c r="AR55" s="20">
        <f>SUM(O55:Q55)</f>
        <v>0</v>
      </c>
      <c r="AS55" s="20">
        <f>SUM(R55:T55)</f>
        <v>0</v>
      </c>
      <c r="AT55" s="20">
        <f>SUM(U55:W55)</f>
        <v>0</v>
      </c>
      <c r="AU55" s="20">
        <f>SUM(X55:Z55)</f>
        <v>0</v>
      </c>
      <c r="AV55" s="20">
        <f>SUM(AA55:AC55)</f>
        <v>0</v>
      </c>
      <c r="AW55" s="20">
        <f>SUM(AD55:AF55)</f>
        <v>0</v>
      </c>
      <c r="AX55" s="20">
        <f>SUM(AG55:AI55)</f>
        <v>0</v>
      </c>
      <c r="AY55" s="20">
        <f>SUM(AJ55:AL55)</f>
        <v>0</v>
      </c>
      <c r="BA55" s="20">
        <f>SUM(C55:N55)</f>
        <v>0</v>
      </c>
      <c r="BB55" s="20">
        <f>SUM(O55:Z55)</f>
        <v>0</v>
      </c>
      <c r="BC55" s="20">
        <f>SUM(AA55:AL55)</f>
        <v>0</v>
      </c>
    </row>
    <row r="56" spans="1:55">
      <c r="A56" s="18" t="s">
        <v>282</v>
      </c>
      <c r="B56" s="16" t="s">
        <v>283</v>
      </c>
      <c r="C56" s="20">
        <f>C55*C34</f>
        <v>0</v>
      </c>
      <c r="D56" s="20">
        <f>D55*D34</f>
        <v>0</v>
      </c>
      <c r="E56" s="20">
        <f>E55*E34</f>
        <v>0</v>
      </c>
      <c r="F56" s="20">
        <f>F55*F34</f>
        <v>0</v>
      </c>
      <c r="G56" s="20">
        <f>G55*G34</f>
        <v>0</v>
      </c>
      <c r="H56" s="20">
        <f>H55*H34</f>
        <v>0</v>
      </c>
      <c r="I56" s="20">
        <f>I55*I34</f>
        <v>0</v>
      </c>
      <c r="J56" s="20">
        <f>J55*J34</f>
        <v>0</v>
      </c>
      <c r="K56" s="20">
        <f>K55*K34</f>
        <v>0</v>
      </c>
      <c r="L56" s="20">
        <f>L55*L34</f>
        <v>0</v>
      </c>
      <c r="M56" s="20">
        <f>M55*M34</f>
        <v>0</v>
      </c>
      <c r="N56" s="20">
        <f>N55*N34</f>
        <v>0</v>
      </c>
      <c r="O56" s="20">
        <f>O55*O34</f>
        <v>0</v>
      </c>
      <c r="P56" s="20">
        <f>P55*P34</f>
        <v>0</v>
      </c>
      <c r="Q56" s="20">
        <f>Q55*Q34</f>
        <v>0</v>
      </c>
      <c r="R56" s="20">
        <f>R55*R34</f>
        <v>0</v>
      </c>
      <c r="S56" s="20">
        <f>S55*S34</f>
        <v>0</v>
      </c>
      <c r="T56" s="20">
        <f>T55*T34</f>
        <v>0</v>
      </c>
      <c r="U56" s="20">
        <f>U55*U34</f>
        <v>0</v>
      </c>
      <c r="V56" s="20">
        <f>V55*V34</f>
        <v>0</v>
      </c>
      <c r="W56" s="20">
        <f>W55*W34</f>
        <v>0</v>
      </c>
      <c r="X56" s="20">
        <f>X55*X34</f>
        <v>0</v>
      </c>
      <c r="Y56" s="20">
        <f>Y55*Y34</f>
        <v>0</v>
      </c>
      <c r="Z56" s="20">
        <f>Z55*Z34</f>
        <v>0</v>
      </c>
      <c r="AA56" s="20">
        <f>AA55*AA34</f>
        <v>0</v>
      </c>
      <c r="AB56" s="20">
        <f>AB55*AB34</f>
        <v>0</v>
      </c>
      <c r="AC56" s="20">
        <f>AC55*AC34</f>
        <v>0</v>
      </c>
      <c r="AD56" s="20">
        <f>AD55*AD34</f>
        <v>0</v>
      </c>
      <c r="AE56" s="20">
        <f>AE55*AE34</f>
        <v>0</v>
      </c>
      <c r="AF56" s="20">
        <f>AF55*AF34</f>
        <v>0</v>
      </c>
      <c r="AG56" s="20">
        <f>AG55*AG34</f>
        <v>0</v>
      </c>
      <c r="AH56" s="20">
        <f>AH55*AH34</f>
        <v>0</v>
      </c>
      <c r="AI56" s="20">
        <f>AI55*AI34</f>
        <v>0</v>
      </c>
      <c r="AJ56" s="20">
        <f>AJ55*AJ34</f>
        <v>0</v>
      </c>
      <c r="AK56" s="20">
        <f>AK55*AK34</f>
        <v>0</v>
      </c>
      <c r="AL56" s="20">
        <f>AL55*AL34</f>
        <v>0</v>
      </c>
      <c r="AN56" s="20">
        <f>SUM(C56:E56)</f>
        <v>0</v>
      </c>
      <c r="AO56" s="20">
        <f>SUM(F56:H56)</f>
        <v>0</v>
      </c>
      <c r="AP56" s="20">
        <f>SUM(I56:K56)</f>
        <v>0</v>
      </c>
      <c r="AQ56" s="20">
        <f>SUM(L56:N56)</f>
        <v>0</v>
      </c>
      <c r="AR56" s="20">
        <f>SUM(O56:Q56)</f>
        <v>0</v>
      </c>
      <c r="AS56" s="20">
        <f>SUM(R56:T56)</f>
        <v>0</v>
      </c>
      <c r="AT56" s="20">
        <f>SUM(U56:W56)</f>
        <v>0</v>
      </c>
      <c r="AU56" s="20">
        <f>SUM(X56:Z56)</f>
        <v>0</v>
      </c>
      <c r="AV56" s="20">
        <f>SUM(AA56:AC56)</f>
        <v>0</v>
      </c>
      <c r="AW56" s="20">
        <f>SUM(AD56:AF56)</f>
        <v>0</v>
      </c>
      <c r="AX56" s="20">
        <f>SUM(AG56:AI56)</f>
        <v>0</v>
      </c>
      <c r="AY56" s="20">
        <f>SUM(AJ56:AL56)</f>
        <v>0</v>
      </c>
      <c r="BA56" s="20">
        <f>SUM(C56:N56)</f>
        <v>0</v>
      </c>
      <c r="BB56" s="20">
        <f>SUM(O56:Z56)</f>
        <v>0</v>
      </c>
      <c r="BC56" s="20">
        <f>SUM(AA56:AL56)</f>
        <v>0</v>
      </c>
    </row>
    <row r="57" spans="1:55">
      <c r="A57" s="18" t="s">
        <v>284</v>
      </c>
      <c r="B57" s="16"/>
      <c r="C57" s="20">
        <f>C39+C44+C49</f>
        <v>0</v>
      </c>
      <c r="D57" s="20">
        <f>D39+D44+D49</f>
        <v>0</v>
      </c>
      <c r="E57" s="20">
        <f>E39+E44+E49</f>
        <v>0</v>
      </c>
      <c r="F57" s="20">
        <f>F39+F44+F49</f>
        <v>0</v>
      </c>
      <c r="G57" s="20">
        <f>G39+G44+G49</f>
        <v>0</v>
      </c>
      <c r="H57" s="20">
        <f>H39+H44+H49</f>
        <v>0</v>
      </c>
      <c r="I57" s="20">
        <f>I39+I44+I49</f>
        <v>0</v>
      </c>
      <c r="J57" s="20">
        <f>J39+J44+J49</f>
        <v>0</v>
      </c>
      <c r="K57" s="20">
        <f>K39+K44+K49</f>
        <v>0</v>
      </c>
      <c r="L57" s="20">
        <f>L39+L44+L49</f>
        <v>0</v>
      </c>
      <c r="M57" s="20">
        <f>M39+M44+M49</f>
        <v>0</v>
      </c>
      <c r="N57" s="20">
        <f>N39+N44+N49</f>
        <v>0</v>
      </c>
      <c r="O57" s="20">
        <f>O39+O44+O49</f>
        <v>0</v>
      </c>
      <c r="P57" s="20">
        <f>P39+P44+P49</f>
        <v>0</v>
      </c>
      <c r="Q57" s="20">
        <f>Q39+Q44+Q49</f>
        <v>0</v>
      </c>
      <c r="R57" s="20">
        <f>R39+R44+R49</f>
        <v>0</v>
      </c>
      <c r="S57" s="20">
        <f>S39+S44+S49</f>
        <v>0</v>
      </c>
      <c r="T57" s="20">
        <f>T39+T44+T49</f>
        <v>0</v>
      </c>
      <c r="U57" s="20">
        <f>U39+U44+U49</f>
        <v>0</v>
      </c>
      <c r="V57" s="20">
        <f>V39+V44+V49</f>
        <v>0</v>
      </c>
      <c r="W57" s="20">
        <f>W39+W44+W49</f>
        <v>0</v>
      </c>
      <c r="X57" s="20">
        <f>X39+X44+X49</f>
        <v>0</v>
      </c>
      <c r="Y57" s="20">
        <f>Y39+Y44+Y49</f>
        <v>0</v>
      </c>
      <c r="Z57" s="20">
        <f>Z39+Z44+Z49</f>
        <v>0</v>
      </c>
      <c r="AA57" s="20">
        <f>AA39+AA44+AA49</f>
        <v>0</v>
      </c>
      <c r="AB57" s="20">
        <f>AB39+AB44+AB49</f>
        <v>0</v>
      </c>
      <c r="AC57" s="20">
        <f>AC39+AC44+AC49</f>
        <v>0</v>
      </c>
      <c r="AD57" s="20">
        <f>AD39+AD44+AD49</f>
        <v>0</v>
      </c>
      <c r="AE57" s="20">
        <f>AE39+AE44+AE49</f>
        <v>0</v>
      </c>
      <c r="AF57" s="20">
        <f>AF39+AF44+AF49</f>
        <v>0</v>
      </c>
      <c r="AG57" s="20">
        <f>AG39+AG44+AG49</f>
        <v>0</v>
      </c>
      <c r="AH57" s="20">
        <f>AH39+AH44+AH49</f>
        <v>0</v>
      </c>
      <c r="AI57" s="20">
        <f>AI39+AI44+AI49</f>
        <v>0</v>
      </c>
      <c r="AJ57" s="20">
        <f>AJ39+AJ44+AJ49</f>
        <v>0</v>
      </c>
      <c r="AK57" s="20">
        <f>AK39+AK44+AK49</f>
        <v>0</v>
      </c>
      <c r="AL57" s="20">
        <f>AL39+AL44+AL49</f>
        <v>0</v>
      </c>
      <c r="AN57" s="20">
        <f>SUM(C57:E57)</f>
        <v>0</v>
      </c>
      <c r="AO57" s="20">
        <f>SUM(F57:H57)</f>
        <v>0</v>
      </c>
      <c r="AP57" s="20">
        <f>SUM(I57:K57)</f>
        <v>0</v>
      </c>
      <c r="AQ57" s="20">
        <f>SUM(L57:N57)</f>
        <v>0</v>
      </c>
      <c r="AR57" s="20">
        <f>SUM(O57:Q57)</f>
        <v>0</v>
      </c>
      <c r="AS57" s="20">
        <f>SUM(R57:T57)</f>
        <v>0</v>
      </c>
      <c r="AT57" s="20">
        <f>SUM(U57:W57)</f>
        <v>0</v>
      </c>
      <c r="AU57" s="20">
        <f>SUM(X57:Z57)</f>
        <v>0</v>
      </c>
      <c r="AV57" s="20">
        <f>SUM(AA57:AC57)</f>
        <v>0</v>
      </c>
      <c r="AW57" s="20">
        <f>SUM(AD57:AF57)</f>
        <v>0</v>
      </c>
      <c r="AX57" s="20">
        <f>SUM(AG57:AI57)</f>
        <v>0</v>
      </c>
      <c r="AY57" s="20">
        <f>SUM(AJ57:AL57)</f>
        <v>0</v>
      </c>
      <c r="BA57" s="20">
        <f>SUM(C57:N57)</f>
        <v>0</v>
      </c>
      <c r="BB57" s="20">
        <f>SUM(O57:Z57)</f>
        <v>0</v>
      </c>
      <c r="BC57" s="20">
        <f>SUM(AA57:AL57)</f>
        <v>0</v>
      </c>
    </row>
    <row r="58" spans="1:55">
      <c r="A58" s="18" t="s">
        <v>285</v>
      </c>
      <c r="B58" s="16"/>
      <c r="C58" s="20">
        <f>C40+C45+C50</f>
        <v>0</v>
      </c>
      <c r="D58" s="20">
        <f>D40+D45+D50</f>
        <v>0</v>
      </c>
      <c r="E58" s="20">
        <f>E40+E45+E50</f>
        <v>0</v>
      </c>
      <c r="F58" s="20">
        <f>F40+F45+F50</f>
        <v>0</v>
      </c>
      <c r="G58" s="20">
        <f>G40+G45+G50</f>
        <v>0</v>
      </c>
      <c r="H58" s="20">
        <f>H40+H45+H50</f>
        <v>0</v>
      </c>
      <c r="I58" s="20">
        <f>I40+I45+I50</f>
        <v>0</v>
      </c>
      <c r="J58" s="20">
        <f>J40+J45+J50</f>
        <v>0</v>
      </c>
      <c r="K58" s="20">
        <f>K40+K45+K50</f>
        <v>0</v>
      </c>
      <c r="L58" s="20">
        <f>L40+L45+L50</f>
        <v>0</v>
      </c>
      <c r="M58" s="20">
        <f>M40+M45+M50</f>
        <v>0</v>
      </c>
      <c r="N58" s="20">
        <f>N40+N45+N50</f>
        <v>0</v>
      </c>
      <c r="O58" s="20">
        <f>O40+O45+O50</f>
        <v>0</v>
      </c>
      <c r="P58" s="20">
        <f>P40+P45+P50</f>
        <v>0</v>
      </c>
      <c r="Q58" s="20">
        <f>Q40+Q45+Q50</f>
        <v>0</v>
      </c>
      <c r="R58" s="20">
        <f>R40+R45+R50</f>
        <v>0</v>
      </c>
      <c r="S58" s="20">
        <f>S40+S45+S50</f>
        <v>0</v>
      </c>
      <c r="T58" s="20">
        <f>T40+T45+T50</f>
        <v>0</v>
      </c>
      <c r="U58" s="20">
        <f>U40+U45+U50</f>
        <v>0</v>
      </c>
      <c r="V58" s="20">
        <f>V40+V45+V50</f>
        <v>0</v>
      </c>
      <c r="W58" s="20">
        <f>W40+W45+W50</f>
        <v>0</v>
      </c>
      <c r="X58" s="20">
        <f>X40+X45+X50</f>
        <v>0</v>
      </c>
      <c r="Y58" s="20">
        <f>Y40+Y45+Y50</f>
        <v>0</v>
      </c>
      <c r="Z58" s="20">
        <f>Z40+Z45+Z50</f>
        <v>0</v>
      </c>
      <c r="AA58" s="20">
        <f>AA40+AA45+AA50</f>
        <v>0</v>
      </c>
      <c r="AB58" s="20">
        <f>AB40+AB45+AB50</f>
        <v>0</v>
      </c>
      <c r="AC58" s="20">
        <f>AC40+AC45+AC50</f>
        <v>0</v>
      </c>
      <c r="AD58" s="20">
        <f>AD40+AD45+AD50</f>
        <v>0</v>
      </c>
      <c r="AE58" s="20">
        <f>AE40+AE45+AE50</f>
        <v>0</v>
      </c>
      <c r="AF58" s="20">
        <f>AF40+AF45+AF50</f>
        <v>0</v>
      </c>
      <c r="AG58" s="20">
        <f>AG40+AG45+AG50</f>
        <v>0</v>
      </c>
      <c r="AH58" s="20">
        <f>AH40+AH45+AH50</f>
        <v>0</v>
      </c>
      <c r="AI58" s="20">
        <f>AI40+AI45+AI50</f>
        <v>0</v>
      </c>
      <c r="AJ58" s="20">
        <f>AJ40+AJ45+AJ50</f>
        <v>0</v>
      </c>
      <c r="AK58" s="20">
        <f>AK40+AK45+AK50</f>
        <v>0</v>
      </c>
      <c r="AL58" s="20">
        <f>AL40+AL45+AL50</f>
        <v>0</v>
      </c>
      <c r="AN58" s="20">
        <f>SUM(C58:E58)</f>
        <v>0</v>
      </c>
      <c r="AO58" s="20">
        <f>SUM(F58:H58)</f>
        <v>0</v>
      </c>
      <c r="AP58" s="20">
        <f>SUM(I58:K58)</f>
        <v>0</v>
      </c>
      <c r="AQ58" s="20">
        <f>SUM(L58:N58)</f>
        <v>0</v>
      </c>
      <c r="AR58" s="20">
        <f>SUM(O58:Q58)</f>
        <v>0</v>
      </c>
      <c r="AS58" s="20">
        <f>SUM(R58:T58)</f>
        <v>0</v>
      </c>
      <c r="AT58" s="20">
        <f>SUM(U58:W58)</f>
        <v>0</v>
      </c>
      <c r="AU58" s="20">
        <f>SUM(X58:Z58)</f>
        <v>0</v>
      </c>
      <c r="AV58" s="20">
        <f>SUM(AA58:AC58)</f>
        <v>0</v>
      </c>
      <c r="AW58" s="20">
        <f>SUM(AD58:AF58)</f>
        <v>0</v>
      </c>
      <c r="AX58" s="20">
        <f>SUM(AG58:AI58)</f>
        <v>0</v>
      </c>
      <c r="AY58" s="20">
        <f>SUM(AJ58:AL58)</f>
        <v>0</v>
      </c>
      <c r="BA58" s="20">
        <f>SUM(C58:N58)</f>
        <v>0</v>
      </c>
      <c r="BB58" s="20">
        <f>SUM(O58:Z58)</f>
        <v>0</v>
      </c>
      <c r="BC58" s="20">
        <f>SUM(AA58:AL58)</f>
        <v>0</v>
      </c>
    </row>
    <row r="59" spans="1:55">
      <c r="A59" s="18" t="s">
        <v>286</v>
      </c>
      <c r="B59" s="16" t="s">
        <v>287</v>
      </c>
      <c r="C59" s="20">
        <f>C42+C47+C52</f>
        <v>0</v>
      </c>
      <c r="D59" s="20">
        <f>D42+D47+D52</f>
        <v>0</v>
      </c>
      <c r="E59" s="20">
        <f>E42+E47+E52</f>
        <v>0</v>
      </c>
      <c r="F59" s="20">
        <f>F42+F47+F52</f>
        <v>0</v>
      </c>
      <c r="G59" s="20">
        <f>G42+G47+G52</f>
        <v>0</v>
      </c>
      <c r="H59" s="20">
        <f>H42+H47+H52</f>
        <v>0</v>
      </c>
      <c r="I59" s="20">
        <f>I42+I47+I52</f>
        <v>0</v>
      </c>
      <c r="J59" s="20">
        <f>J42+J47+J52</f>
        <v>0</v>
      </c>
      <c r="K59" s="20">
        <f>K42+K47+K52</f>
        <v>0</v>
      </c>
      <c r="L59" s="20">
        <f>L42+L47+L52</f>
        <v>0</v>
      </c>
      <c r="M59" s="20">
        <f>M42+M47+M52</f>
        <v>0</v>
      </c>
      <c r="N59" s="20">
        <f>N42+N47+N52</f>
        <v>0</v>
      </c>
      <c r="O59" s="20">
        <f>O42+O47+O52</f>
        <v>0</v>
      </c>
      <c r="P59" s="20">
        <f>P42+P47+P52</f>
        <v>0</v>
      </c>
      <c r="Q59" s="20">
        <f>Q42+Q47+Q52</f>
        <v>0</v>
      </c>
      <c r="R59" s="20">
        <f>R42+R47+R52</f>
        <v>0</v>
      </c>
      <c r="S59" s="20">
        <f>S42+S47+S52</f>
        <v>0</v>
      </c>
      <c r="T59" s="20">
        <f>T42+T47+T52</f>
        <v>0</v>
      </c>
      <c r="U59" s="20">
        <f>U42+U47+U52</f>
        <v>0</v>
      </c>
      <c r="V59" s="20">
        <f>V42+V47+V52</f>
        <v>0</v>
      </c>
      <c r="W59" s="20">
        <f>W42+W47+W52</f>
        <v>0</v>
      </c>
      <c r="X59" s="20">
        <f>X42+X47+X52</f>
        <v>0</v>
      </c>
      <c r="Y59" s="20">
        <f>Y42+Y47+Y52</f>
        <v>0</v>
      </c>
      <c r="Z59" s="20">
        <f>Z42+Z47+Z52</f>
        <v>0</v>
      </c>
      <c r="AA59" s="20">
        <f>AA42+AA47+AA52</f>
        <v>0</v>
      </c>
      <c r="AB59" s="20">
        <f>AB42+AB47+AB52</f>
        <v>0</v>
      </c>
      <c r="AC59" s="20">
        <f>AC42+AC47+AC52</f>
        <v>0</v>
      </c>
      <c r="AD59" s="20">
        <f>AD42+AD47+AD52</f>
        <v>0</v>
      </c>
      <c r="AE59" s="20">
        <f>AE42+AE47+AE52</f>
        <v>0</v>
      </c>
      <c r="AF59" s="20">
        <f>AF42+AF47+AF52</f>
        <v>0</v>
      </c>
      <c r="AG59" s="20">
        <f>AG42+AG47+AG52</f>
        <v>0</v>
      </c>
      <c r="AH59" s="20">
        <f>AH42+AH47+AH52</f>
        <v>0</v>
      </c>
      <c r="AI59" s="20">
        <f>AI42+AI47+AI52</f>
        <v>0</v>
      </c>
      <c r="AJ59" s="20">
        <f>AJ42+AJ47+AJ52</f>
        <v>0</v>
      </c>
      <c r="AK59" s="20">
        <f>AK42+AK47+AK52</f>
        <v>0</v>
      </c>
      <c r="AL59" s="20">
        <f>AL42+AL47+AL52</f>
        <v>0</v>
      </c>
      <c r="AN59" s="20">
        <f>SUM(C59:E59)</f>
        <v>0</v>
      </c>
      <c r="AO59" s="20">
        <f>SUM(F59:H59)</f>
        <v>0</v>
      </c>
      <c r="AP59" s="20">
        <f>SUM(I59:K59)</f>
        <v>0</v>
      </c>
      <c r="AQ59" s="20">
        <f>SUM(L59:N59)</f>
        <v>0</v>
      </c>
      <c r="AR59" s="20">
        <f>SUM(O59:Q59)</f>
        <v>0</v>
      </c>
      <c r="AS59" s="20">
        <f>SUM(R59:T59)</f>
        <v>0</v>
      </c>
      <c r="AT59" s="20">
        <f>SUM(U59:W59)</f>
        <v>0</v>
      </c>
      <c r="AU59" s="20">
        <f>SUM(X59:Z59)</f>
        <v>0</v>
      </c>
      <c r="AV59" s="20">
        <f>SUM(AA59:AC59)</f>
        <v>0</v>
      </c>
      <c r="AW59" s="20">
        <f>SUM(AD59:AF59)</f>
        <v>0</v>
      </c>
      <c r="AX59" s="20">
        <f>SUM(AG59:AI59)</f>
        <v>0</v>
      </c>
      <c r="AY59" s="20">
        <f>SUM(AJ59:AL59)</f>
        <v>0</v>
      </c>
      <c r="BA59" s="20">
        <f>SUM(C59:N59)</f>
        <v>0</v>
      </c>
      <c r="BB59" s="20">
        <f>SUM(O59:Z59)</f>
        <v>0</v>
      </c>
      <c r="BC59" s="20">
        <f>SUM(AA59:AL59)</f>
        <v>0</v>
      </c>
    </row>
    <row r="60" spans="1:55">
      <c r="A60" s="33" t="s">
        <v>288</v>
      </c>
      <c r="B60" s="16"/>
      <c r="C60" s="34">
        <f>C57+C58</f>
        <v>0</v>
      </c>
      <c r="D60" s="34">
        <f>D57+D58</f>
        <v>0</v>
      </c>
      <c r="E60" s="34">
        <f>E57+E58</f>
        <v>0</v>
      </c>
      <c r="F60" s="34">
        <f>F57+F58</f>
        <v>0</v>
      </c>
      <c r="G60" s="34">
        <f>G57+G58</f>
        <v>0</v>
      </c>
      <c r="H60" s="34">
        <f>H57+H58</f>
        <v>0</v>
      </c>
      <c r="I60" s="34">
        <f>I57+I58</f>
        <v>0</v>
      </c>
      <c r="J60" s="34">
        <f>J57+J58</f>
        <v>0</v>
      </c>
      <c r="K60" s="34">
        <f>K57+K58</f>
        <v>0</v>
      </c>
      <c r="L60" s="34">
        <f>L57+L58</f>
        <v>0</v>
      </c>
      <c r="M60" s="34">
        <f>M57+M58</f>
        <v>0</v>
      </c>
      <c r="N60" s="34">
        <f>N57+N58</f>
        <v>0</v>
      </c>
      <c r="O60" s="34">
        <f>O57+O58</f>
        <v>0</v>
      </c>
      <c r="P60" s="34">
        <f>P57+P58</f>
        <v>0</v>
      </c>
      <c r="Q60" s="34">
        <f>Q57+Q58</f>
        <v>0</v>
      </c>
      <c r="R60" s="34">
        <f>R57+R58</f>
        <v>0</v>
      </c>
      <c r="S60" s="34">
        <f>S57+S58</f>
        <v>0</v>
      </c>
      <c r="T60" s="34">
        <f>T57+T58</f>
        <v>0</v>
      </c>
      <c r="U60" s="34">
        <f>U57+U58</f>
        <v>0</v>
      </c>
      <c r="V60" s="34">
        <f>V57+V58</f>
        <v>0</v>
      </c>
      <c r="W60" s="34">
        <f>W57+W58</f>
        <v>0</v>
      </c>
      <c r="X60" s="34">
        <f>X57+X58</f>
        <v>0</v>
      </c>
      <c r="Y60" s="34">
        <f>Y57+Y58</f>
        <v>0</v>
      </c>
      <c r="Z60" s="34">
        <f>Z57+Z58</f>
        <v>0</v>
      </c>
      <c r="AA60" s="34">
        <f>AA57+AA58</f>
        <v>0</v>
      </c>
      <c r="AB60" s="34">
        <f>AB57+AB58</f>
        <v>0</v>
      </c>
      <c r="AC60" s="34">
        <f>AC57+AC58</f>
        <v>0</v>
      </c>
      <c r="AD60" s="34">
        <f>AD57+AD58</f>
        <v>0</v>
      </c>
      <c r="AE60" s="34">
        <f>AE57+AE58</f>
        <v>0</v>
      </c>
      <c r="AF60" s="34">
        <f>AF57+AF58</f>
        <v>0</v>
      </c>
      <c r="AG60" s="34">
        <f>AG57+AG58</f>
        <v>0</v>
      </c>
      <c r="AH60" s="34">
        <f>AH57+AH58</f>
        <v>0</v>
      </c>
      <c r="AI60" s="34">
        <f>AI57+AI58</f>
        <v>0</v>
      </c>
      <c r="AJ60" s="34">
        <f>AJ57+AJ58</f>
        <v>0</v>
      </c>
      <c r="AK60" s="34">
        <f>AK57+AK58</f>
        <v>0</v>
      </c>
      <c r="AL60" s="34">
        <f>AL57+AL58</f>
        <v>0</v>
      </c>
      <c r="AN60" s="34">
        <f>SUM(C60:E60)</f>
        <v>0</v>
      </c>
      <c r="AO60" s="34">
        <f>SUM(F60:H60)</f>
        <v>0</v>
      </c>
      <c r="AP60" s="34">
        <f>SUM(I60:K60)</f>
        <v>0</v>
      </c>
      <c r="AQ60" s="34">
        <f>SUM(L60:N60)</f>
        <v>0</v>
      </c>
      <c r="AR60" s="34">
        <f>SUM(O60:Q60)</f>
        <v>0</v>
      </c>
      <c r="AS60" s="34">
        <f>SUM(R60:T60)</f>
        <v>0</v>
      </c>
      <c r="AT60" s="34">
        <f>SUM(U60:W60)</f>
        <v>0</v>
      </c>
      <c r="AU60" s="34">
        <f>SUM(X60:Z60)</f>
        <v>0</v>
      </c>
      <c r="AV60" s="34">
        <f>SUM(AA60:AC60)</f>
        <v>0</v>
      </c>
      <c r="AW60" s="34">
        <f>SUM(AD60:AF60)</f>
        <v>0</v>
      </c>
      <c r="AX60" s="34">
        <f>SUM(AG60:AI60)</f>
        <v>0</v>
      </c>
      <c r="AY60" s="34">
        <f>SUM(AJ60:AL60)</f>
        <v>0</v>
      </c>
      <c r="BA60" s="34">
        <f>SUM(C60:N60)</f>
        <v>0</v>
      </c>
      <c r="BB60" s="34">
        <f>SUM(O60:Z60)</f>
        <v>0</v>
      </c>
      <c r="BC60" s="34">
        <f>SUM(AA60:AL60)</f>
        <v>0</v>
      </c>
    </row>
    <row r="61" spans="1:55" ht="5" customHeight="1"/>
    <row r="62" spans="1:55">
      <c r="A62" s="18" t="s">
        <v>289</v>
      </c>
      <c r="B62" s="16"/>
      <c r="C62" s="29">
        <f>C11+C19+C27</f>
        <v>0</v>
      </c>
      <c r="D62" s="29">
        <f>D11+D19+D27</f>
        <v>0</v>
      </c>
      <c r="E62" s="29">
        <f>E11+E19+E27</f>
        <v>0</v>
      </c>
      <c r="F62" s="29">
        <f>F11+F19+F27</f>
        <v>0</v>
      </c>
      <c r="G62" s="29">
        <f>G11+G19+G27</f>
        <v>0</v>
      </c>
      <c r="H62" s="29">
        <f>H11+H19+H27</f>
        <v>0</v>
      </c>
      <c r="I62" s="29">
        <f>I11+I19+I27</f>
        <v>0</v>
      </c>
      <c r="J62" s="29">
        <f>J11+J19+J27</f>
        <v>0</v>
      </c>
      <c r="K62" s="29">
        <f>K11+K19+K27</f>
        <v>0</v>
      </c>
      <c r="L62" s="29">
        <f>L11+L19+L27</f>
        <v>0</v>
      </c>
      <c r="M62" s="29">
        <f>M11+M19+M27</f>
        <v>0</v>
      </c>
      <c r="N62" s="29">
        <f>N11+N19+N27</f>
        <v>0</v>
      </c>
      <c r="O62" s="29">
        <f>O11+O19+O27</f>
        <v>0</v>
      </c>
      <c r="P62" s="29">
        <f>P11+P19+P27</f>
        <v>0</v>
      </c>
      <c r="Q62" s="29">
        <f>Q11+Q19+Q27</f>
        <v>0</v>
      </c>
      <c r="R62" s="29">
        <f>R11+R19+R27</f>
        <v>0</v>
      </c>
      <c r="S62" s="29">
        <f>S11+S19+S27</f>
        <v>0</v>
      </c>
      <c r="T62" s="29">
        <f>T11+T19+T27</f>
        <v>0</v>
      </c>
      <c r="U62" s="29">
        <f>U11+U19+U27</f>
        <v>0</v>
      </c>
      <c r="V62" s="29">
        <f>V11+V19+V27</f>
        <v>0</v>
      </c>
      <c r="W62" s="29">
        <f>W11+W19+W27</f>
        <v>0</v>
      </c>
      <c r="X62" s="29">
        <f>X11+X19+X27</f>
        <v>0</v>
      </c>
      <c r="Y62" s="29">
        <f>Y11+Y19+Y27</f>
        <v>0</v>
      </c>
      <c r="Z62" s="29">
        <f>Z11+Z19+Z27</f>
        <v>0</v>
      </c>
      <c r="AA62" s="29">
        <f>AA11+AA19+AA27</f>
        <v>0</v>
      </c>
      <c r="AB62" s="29">
        <f>AB11+AB19+AB27</f>
        <v>0</v>
      </c>
      <c r="AC62" s="29">
        <f>AC11+AC19+AC27</f>
        <v>0</v>
      </c>
      <c r="AD62" s="29">
        <f>AD11+AD19+AD27</f>
        <v>0</v>
      </c>
      <c r="AE62" s="29">
        <f>AE11+AE19+AE27</f>
        <v>0</v>
      </c>
      <c r="AF62" s="29">
        <f>AF11+AF19+AF27</f>
        <v>0</v>
      </c>
      <c r="AG62" s="29">
        <f>AG11+AG19+AG27</f>
        <v>0</v>
      </c>
      <c r="AH62" s="29">
        <f>AH11+AH19+AH27</f>
        <v>0</v>
      </c>
      <c r="AI62" s="29">
        <f>AI11+AI19+AI27</f>
        <v>0</v>
      </c>
      <c r="AJ62" s="29">
        <f>AJ11+AJ19+AJ27</f>
        <v>0</v>
      </c>
      <c r="AK62" s="29">
        <f>AK11+AK19+AK27</f>
        <v>0</v>
      </c>
      <c r="AL62" s="29">
        <f>AL11+AL19+AL27</f>
        <v>0</v>
      </c>
      <c r="AN62" s="29">
        <f>E62</f>
        <v>0</v>
      </c>
      <c r="AO62" s="29">
        <f>H62</f>
        <v>0</v>
      </c>
      <c r="AP62" s="29">
        <f>K62</f>
        <v>0</v>
      </c>
      <c r="AQ62" s="29">
        <f>N62</f>
        <v>0</v>
      </c>
      <c r="AR62" s="29">
        <f>Q62</f>
        <v>0</v>
      </c>
      <c r="AS62" s="29">
        <f>T62</f>
        <v>0</v>
      </c>
      <c r="AT62" s="29">
        <f>W62</f>
        <v>0</v>
      </c>
      <c r="AU62" s="29">
        <f>Z62</f>
        <v>0</v>
      </c>
      <c r="AV62" s="29">
        <f>AC62</f>
        <v>0</v>
      </c>
      <c r="AW62" s="29">
        <f>AF62</f>
        <v>0</v>
      </c>
      <c r="AX62" s="29">
        <f>AI62</f>
        <v>0</v>
      </c>
      <c r="AY62" s="29">
        <f>AL62</f>
        <v>0</v>
      </c>
      <c r="BA62" s="29">
        <f>N62</f>
        <v>0</v>
      </c>
      <c r="BB62" s="29">
        <f>Z62</f>
        <v>0</v>
      </c>
      <c r="BC62" s="29">
        <f>AL62</f>
        <v>0</v>
      </c>
    </row>
    <row r="63" spans="1:55">
      <c r="A63" s="18" t="s">
        <v>290</v>
      </c>
      <c r="B63" s="16"/>
      <c r="C63" s="32">
        <f>IFERROR(C57/C56,0)</f>
        <v>0</v>
      </c>
      <c r="D63" s="32">
        <f>IFERROR(D57/D56,0)</f>
        <v>0</v>
      </c>
      <c r="E63" s="32">
        <f>IFERROR(E57/E56,0)</f>
        <v>0</v>
      </c>
      <c r="F63" s="32">
        <f>IFERROR(F57/F56,0)</f>
        <v>0</v>
      </c>
      <c r="G63" s="32">
        <f>IFERROR(G57/G56,0)</f>
        <v>0</v>
      </c>
      <c r="H63" s="32">
        <f>IFERROR(H57/H56,0)</f>
        <v>0</v>
      </c>
      <c r="I63" s="32">
        <f>IFERROR(I57/I56,0)</f>
        <v>0</v>
      </c>
      <c r="J63" s="32">
        <f>IFERROR(J57/J56,0)</f>
        <v>0</v>
      </c>
      <c r="K63" s="32">
        <f>IFERROR(K57/K56,0)</f>
        <v>0</v>
      </c>
      <c r="L63" s="32">
        <f>IFERROR(L57/L56,0)</f>
        <v>0</v>
      </c>
      <c r="M63" s="32">
        <f>IFERROR(M57/M56,0)</f>
        <v>0</v>
      </c>
      <c r="N63" s="32">
        <f>IFERROR(N57/N56,0)</f>
        <v>0</v>
      </c>
      <c r="O63" s="32">
        <f>IFERROR(O57/O56,0)</f>
        <v>0</v>
      </c>
      <c r="P63" s="32">
        <f>IFERROR(P57/P56,0)</f>
        <v>0</v>
      </c>
      <c r="Q63" s="32">
        <f>IFERROR(Q57/Q56,0)</f>
        <v>0</v>
      </c>
      <c r="R63" s="32">
        <f>IFERROR(R57/R56,0)</f>
        <v>0</v>
      </c>
      <c r="S63" s="32">
        <f>IFERROR(S57/S56,0)</f>
        <v>0</v>
      </c>
      <c r="T63" s="32">
        <f>IFERROR(T57/T56,0)</f>
        <v>0</v>
      </c>
      <c r="U63" s="32">
        <f>IFERROR(U57/U56,0)</f>
        <v>0</v>
      </c>
      <c r="V63" s="32">
        <f>IFERROR(V57/V56,0)</f>
        <v>0</v>
      </c>
      <c r="W63" s="32">
        <f>IFERROR(W57/W56,0)</f>
        <v>0</v>
      </c>
      <c r="X63" s="32">
        <f>IFERROR(X57/X56,0)</f>
        <v>0</v>
      </c>
      <c r="Y63" s="32">
        <f>IFERROR(Y57/Y56,0)</f>
        <v>0</v>
      </c>
      <c r="Z63" s="32">
        <f>IFERROR(Z57/Z56,0)</f>
        <v>0</v>
      </c>
      <c r="AA63" s="32">
        <f>IFERROR(AA57/AA56,0)</f>
        <v>0</v>
      </c>
      <c r="AB63" s="32">
        <f>IFERROR(AB57/AB56,0)</f>
        <v>0</v>
      </c>
      <c r="AC63" s="32">
        <f>IFERROR(AC57/AC56,0)</f>
        <v>0</v>
      </c>
      <c r="AD63" s="32">
        <f>IFERROR(AD57/AD56,0)</f>
        <v>0</v>
      </c>
      <c r="AE63" s="32">
        <f>IFERROR(AE57/AE56,0)</f>
        <v>0</v>
      </c>
      <c r="AF63" s="32">
        <f>IFERROR(AF57/AF56,0)</f>
        <v>0</v>
      </c>
      <c r="AG63" s="32">
        <f>IFERROR(AG57/AG56,0)</f>
        <v>0</v>
      </c>
      <c r="AH63" s="32">
        <f>IFERROR(AH57/AH56,0)</f>
        <v>0</v>
      </c>
      <c r="AI63" s="32">
        <f>IFERROR(AI57/AI56,0)</f>
        <v>0</v>
      </c>
      <c r="AJ63" s="32">
        <f>IFERROR(AJ57/AJ56,0)</f>
        <v>0</v>
      </c>
      <c r="AK63" s="32">
        <f>IFERROR(AK57/AK56,0)</f>
        <v>0</v>
      </c>
      <c r="AL63" s="32">
        <f>IFERROR(AL57/AL56,0)</f>
        <v>0</v>
      </c>
      <c r="AN63" s="32">
        <f>AVERAGE(C63:E63)</f>
        <v>0</v>
      </c>
      <c r="AO63" s="32">
        <f>AVERAGE(F63:H63)</f>
        <v>0</v>
      </c>
      <c r="AP63" s="32">
        <f>AVERAGE(I63:K63)</f>
        <v>0</v>
      </c>
      <c r="AQ63" s="32">
        <f>AVERAGE(L63:N63)</f>
        <v>0</v>
      </c>
      <c r="AR63" s="32">
        <f>AVERAGE(O63:Q63)</f>
        <v>0</v>
      </c>
      <c r="AS63" s="32">
        <f>AVERAGE(R63:T63)</f>
        <v>0</v>
      </c>
      <c r="AT63" s="32">
        <f>AVERAGE(U63:W63)</f>
        <v>0</v>
      </c>
      <c r="AU63" s="32">
        <f>AVERAGE(X63:Z63)</f>
        <v>0</v>
      </c>
      <c r="AV63" s="32">
        <f>AVERAGE(AA63:AC63)</f>
        <v>0</v>
      </c>
      <c r="AW63" s="32">
        <f>AVERAGE(AD63:AF63)</f>
        <v>0</v>
      </c>
      <c r="AX63" s="32">
        <f>AVERAGE(AG63:AI63)</f>
        <v>0</v>
      </c>
      <c r="AY63" s="32">
        <f>AVERAGE(AJ63:AL63)</f>
        <v>0</v>
      </c>
      <c r="BA63" s="32">
        <f>AVERAGE(C63:N63)</f>
        <v>0</v>
      </c>
      <c r="BB63" s="32">
        <f>AVERAGE(O63:Z63)</f>
        <v>0</v>
      </c>
      <c r="BC63" s="32">
        <f>AVERAGE(AA63:AL63)</f>
        <v>0</v>
      </c>
    </row>
    <row r="64" spans="1:55">
      <c r="A64" s="18" t="s">
        <v>291</v>
      </c>
      <c r="B64" s="16"/>
      <c r="C64" s="25">
        <f>IFERROR(C58/C60,0)</f>
        <v>0</v>
      </c>
      <c r="D64" s="25">
        <f>IFERROR(D58/D60,0)</f>
        <v>0</v>
      </c>
      <c r="E64" s="25">
        <f>IFERROR(E58/E60,0)</f>
        <v>0</v>
      </c>
      <c r="F64" s="25">
        <f>IFERROR(F58/F60,0)</f>
        <v>0</v>
      </c>
      <c r="G64" s="25">
        <f>IFERROR(G58/G60,0)</f>
        <v>0</v>
      </c>
      <c r="H64" s="25">
        <f>IFERROR(H58/H60,0)</f>
        <v>0</v>
      </c>
      <c r="I64" s="25">
        <f>IFERROR(I58/I60,0)</f>
        <v>0</v>
      </c>
      <c r="J64" s="25">
        <f>IFERROR(J58/J60,0)</f>
        <v>0</v>
      </c>
      <c r="K64" s="25">
        <f>IFERROR(K58/K60,0)</f>
        <v>0</v>
      </c>
      <c r="L64" s="25">
        <f>IFERROR(L58/L60,0)</f>
        <v>0</v>
      </c>
      <c r="M64" s="25">
        <f>IFERROR(M58/M60,0)</f>
        <v>0</v>
      </c>
      <c r="N64" s="25">
        <f>IFERROR(N58/N60,0)</f>
        <v>0</v>
      </c>
      <c r="O64" s="25">
        <f>IFERROR(O58/O60,0)</f>
        <v>0</v>
      </c>
      <c r="P64" s="25">
        <f>IFERROR(P58/P60,0)</f>
        <v>0</v>
      </c>
      <c r="Q64" s="25">
        <f>IFERROR(Q58/Q60,0)</f>
        <v>0</v>
      </c>
      <c r="R64" s="25">
        <f>IFERROR(R58/R60,0)</f>
        <v>0</v>
      </c>
      <c r="S64" s="25">
        <f>IFERROR(S58/S60,0)</f>
        <v>0</v>
      </c>
      <c r="T64" s="25">
        <f>IFERROR(T58/T60,0)</f>
        <v>0</v>
      </c>
      <c r="U64" s="25">
        <f>IFERROR(U58/U60,0)</f>
        <v>0</v>
      </c>
      <c r="V64" s="25">
        <f>IFERROR(V58/V60,0)</f>
        <v>0</v>
      </c>
      <c r="W64" s="25">
        <f>IFERROR(W58/W60,0)</f>
        <v>0</v>
      </c>
      <c r="X64" s="25">
        <f>IFERROR(X58/X60,0)</f>
        <v>0</v>
      </c>
      <c r="Y64" s="25">
        <f>IFERROR(Y58/Y60,0)</f>
        <v>0</v>
      </c>
      <c r="Z64" s="25">
        <f>IFERROR(Z58/Z60,0)</f>
        <v>0</v>
      </c>
      <c r="AA64" s="25">
        <f>IFERROR(AA58/AA60,0)</f>
        <v>0</v>
      </c>
      <c r="AB64" s="25">
        <f>IFERROR(AB58/AB60,0)</f>
        <v>0</v>
      </c>
      <c r="AC64" s="25">
        <f>IFERROR(AC58/AC60,0)</f>
        <v>0</v>
      </c>
      <c r="AD64" s="25">
        <f>IFERROR(AD58/AD60,0)</f>
        <v>0</v>
      </c>
      <c r="AE64" s="25">
        <f>IFERROR(AE58/AE60,0)</f>
        <v>0</v>
      </c>
      <c r="AF64" s="25">
        <f>IFERROR(AF58/AF60,0)</f>
        <v>0</v>
      </c>
      <c r="AG64" s="25">
        <f>IFERROR(AG58/AG60,0)</f>
        <v>0</v>
      </c>
      <c r="AH64" s="25">
        <f>IFERROR(AH58/AH60,0)</f>
        <v>0</v>
      </c>
      <c r="AI64" s="25">
        <f>IFERROR(AI58/AI60,0)</f>
        <v>0</v>
      </c>
      <c r="AJ64" s="25">
        <f>IFERROR(AJ58/AJ60,0)</f>
        <v>0</v>
      </c>
      <c r="AK64" s="25">
        <f>IFERROR(AK58/AK60,0)</f>
        <v>0</v>
      </c>
      <c r="AL64" s="25">
        <f>IFERROR(AL58/AL60,0)</f>
        <v>0</v>
      </c>
      <c r="AN64" s="25">
        <f>AVERAGE(C64:E64)</f>
        <v>0</v>
      </c>
      <c r="AO64" s="25">
        <f>AVERAGE(F64:H64)</f>
        <v>0</v>
      </c>
      <c r="AP64" s="25">
        <f>AVERAGE(I64:K64)</f>
        <v>0</v>
      </c>
      <c r="AQ64" s="25">
        <f>AVERAGE(L64:N64)</f>
        <v>0</v>
      </c>
      <c r="AR64" s="25">
        <f>AVERAGE(O64:Q64)</f>
        <v>0</v>
      </c>
      <c r="AS64" s="25">
        <f>AVERAGE(R64:T64)</f>
        <v>0</v>
      </c>
      <c r="AT64" s="25">
        <f>AVERAGE(U64:W64)</f>
        <v>0</v>
      </c>
      <c r="AU64" s="25">
        <f>AVERAGE(X64:Z64)</f>
        <v>0</v>
      </c>
      <c r="AV64" s="25">
        <f>AVERAGE(AA64:AC64)</f>
        <v>0</v>
      </c>
      <c r="AW64" s="25">
        <f>AVERAGE(AD64:AF64)</f>
        <v>0</v>
      </c>
      <c r="AX64" s="25">
        <f>AVERAGE(AG64:AI64)</f>
        <v>0</v>
      </c>
      <c r="AY64" s="25">
        <f>AVERAGE(AJ64:AL64)</f>
        <v>0</v>
      </c>
      <c r="BA64" s="25">
        <f>AVERAGE(C64:N64)</f>
        <v>0</v>
      </c>
      <c r="BB64" s="25">
        <f>AVERAGE(O64:Z64)</f>
        <v>0</v>
      </c>
      <c r="BC64" s="25">
        <f>AVERAGE(AA64:AL64)</f>
        <v>0</v>
      </c>
    </row>
    <row r="65" spans="1:55">
      <c r="A65" s="18" t="s">
        <v>292</v>
      </c>
      <c r="B65" s="16" t="s">
        <v>293</v>
      </c>
      <c r="C65" s="25">
        <f>IFERROR(C51/C60,0)</f>
        <v>0</v>
      </c>
      <c r="D65" s="25">
        <f>IFERROR(D51/D60,0)</f>
        <v>0</v>
      </c>
      <c r="E65" s="25">
        <f>IFERROR(E51/E60,0)</f>
        <v>0</v>
      </c>
      <c r="F65" s="25">
        <f>IFERROR(F51/F60,0)</f>
        <v>0</v>
      </c>
      <c r="G65" s="25">
        <f>IFERROR(G51/G60,0)</f>
        <v>0</v>
      </c>
      <c r="H65" s="25">
        <f>IFERROR(H51/H60,0)</f>
        <v>0</v>
      </c>
      <c r="I65" s="25">
        <f>IFERROR(I51/I60,0)</f>
        <v>0</v>
      </c>
      <c r="J65" s="25">
        <f>IFERROR(J51/J60,0)</f>
        <v>0</v>
      </c>
      <c r="K65" s="25">
        <f>IFERROR(K51/K60,0)</f>
        <v>0</v>
      </c>
      <c r="L65" s="25">
        <f>IFERROR(L51/L60,0)</f>
        <v>0</v>
      </c>
      <c r="M65" s="25">
        <f>IFERROR(M51/M60,0)</f>
        <v>0</v>
      </c>
      <c r="N65" s="25">
        <f>IFERROR(N51/N60,0)</f>
        <v>0</v>
      </c>
      <c r="O65" s="25">
        <f>IFERROR(O51/O60,0)</f>
        <v>0</v>
      </c>
      <c r="P65" s="25">
        <f>IFERROR(P51/P60,0)</f>
        <v>0</v>
      </c>
      <c r="Q65" s="25">
        <f>IFERROR(Q51/Q60,0)</f>
        <v>0</v>
      </c>
      <c r="R65" s="25">
        <f>IFERROR(R51/R60,0)</f>
        <v>0</v>
      </c>
      <c r="S65" s="25">
        <f>IFERROR(S51/S60,0)</f>
        <v>0</v>
      </c>
      <c r="T65" s="25">
        <f>IFERROR(T51/T60,0)</f>
        <v>0</v>
      </c>
      <c r="U65" s="25">
        <f>IFERROR(U51/U60,0)</f>
        <v>0</v>
      </c>
      <c r="V65" s="25">
        <f>IFERROR(V51/V60,0)</f>
        <v>0</v>
      </c>
      <c r="W65" s="25">
        <f>IFERROR(W51/W60,0)</f>
        <v>0</v>
      </c>
      <c r="X65" s="25">
        <f>IFERROR(X51/X60,0)</f>
        <v>0</v>
      </c>
      <c r="Y65" s="25">
        <f>IFERROR(Y51/Y60,0)</f>
        <v>0</v>
      </c>
      <c r="Z65" s="25">
        <f>IFERROR(Z51/Z60,0)</f>
        <v>0</v>
      </c>
      <c r="AA65" s="25">
        <f>IFERROR(AA51/AA60,0)</f>
        <v>0</v>
      </c>
      <c r="AB65" s="25">
        <f>IFERROR(AB51/AB60,0)</f>
        <v>0</v>
      </c>
      <c r="AC65" s="25">
        <f>IFERROR(AC51/AC60,0)</f>
        <v>0</v>
      </c>
      <c r="AD65" s="25">
        <f>IFERROR(AD51/AD60,0)</f>
        <v>0</v>
      </c>
      <c r="AE65" s="25">
        <f>IFERROR(AE51/AE60,0)</f>
        <v>0</v>
      </c>
      <c r="AF65" s="25">
        <f>IFERROR(AF51/AF60,0)</f>
        <v>0</v>
      </c>
      <c r="AG65" s="25">
        <f>IFERROR(AG51/AG60,0)</f>
        <v>0</v>
      </c>
      <c r="AH65" s="25">
        <f>IFERROR(AH51/AH60,0)</f>
        <v>0</v>
      </c>
      <c r="AI65" s="25">
        <f>IFERROR(AI51/AI60,0)</f>
        <v>0</v>
      </c>
      <c r="AJ65" s="25">
        <f>IFERROR(AJ51/AJ60,0)</f>
        <v>0</v>
      </c>
      <c r="AK65" s="25">
        <f>IFERROR(AK51/AK60,0)</f>
        <v>0</v>
      </c>
      <c r="AL65" s="25">
        <f>IFERROR(AL51/AL60,0)</f>
        <v>0</v>
      </c>
      <c r="AN65" s="25">
        <f>AVERAGE(C65:E65)</f>
        <v>0</v>
      </c>
      <c r="AO65" s="25">
        <f>AVERAGE(F65:H65)</f>
        <v>0</v>
      </c>
      <c r="AP65" s="25">
        <f>AVERAGE(I65:K65)</f>
        <v>0</v>
      </c>
      <c r="AQ65" s="25">
        <f>AVERAGE(L65:N65)</f>
        <v>0</v>
      </c>
      <c r="AR65" s="25">
        <f>AVERAGE(O65:Q65)</f>
        <v>0</v>
      </c>
      <c r="AS65" s="25">
        <f>AVERAGE(R65:T65)</f>
        <v>0</v>
      </c>
      <c r="AT65" s="25">
        <f>AVERAGE(U65:W65)</f>
        <v>0</v>
      </c>
      <c r="AU65" s="25">
        <f>AVERAGE(X65:Z65)</f>
        <v>0</v>
      </c>
      <c r="AV65" s="25">
        <f>AVERAGE(AA65:AC65)</f>
        <v>0</v>
      </c>
      <c r="AW65" s="25">
        <f>AVERAGE(AD65:AF65)</f>
        <v>0</v>
      </c>
      <c r="AX65" s="25">
        <f>AVERAGE(AG65:AI65)</f>
        <v>0</v>
      </c>
      <c r="AY65" s="25">
        <f>AVERAGE(AJ65:AL65)</f>
        <v>0</v>
      </c>
      <c r="BA65" s="25">
        <f>AVERAGE(C65:N65)</f>
        <v>0</v>
      </c>
      <c r="BB65" s="25">
        <f>AVERAGE(O65:Z65)</f>
        <v>0</v>
      </c>
      <c r="BC65" s="25">
        <f>AVERAGE(AA65:AL65)</f>
        <v>0</v>
      </c>
    </row>
    <row r="66" spans="1:55">
      <c r="A66" s="18" t="s">
        <v>294</v>
      </c>
      <c r="B66" s="16"/>
      <c r="C66" s="32">
        <f>IFERROR(C60/C62,0)</f>
        <v>0</v>
      </c>
      <c r="D66" s="32">
        <f>IFERROR(D60/D62,0)</f>
        <v>0</v>
      </c>
      <c r="E66" s="32">
        <f>IFERROR(E60/E62,0)</f>
        <v>0</v>
      </c>
      <c r="F66" s="32">
        <f>IFERROR(F60/F62,0)</f>
        <v>0</v>
      </c>
      <c r="G66" s="32">
        <f>IFERROR(G60/G62,0)</f>
        <v>0</v>
      </c>
      <c r="H66" s="32">
        <f>IFERROR(H60/H62,0)</f>
        <v>0</v>
      </c>
      <c r="I66" s="32">
        <f>IFERROR(I60/I62,0)</f>
        <v>0</v>
      </c>
      <c r="J66" s="32">
        <f>IFERROR(J60/J62,0)</f>
        <v>0</v>
      </c>
      <c r="K66" s="32">
        <f>IFERROR(K60/K62,0)</f>
        <v>0</v>
      </c>
      <c r="L66" s="32">
        <f>IFERROR(L60/L62,0)</f>
        <v>0</v>
      </c>
      <c r="M66" s="32">
        <f>IFERROR(M60/M62,0)</f>
        <v>0</v>
      </c>
      <c r="N66" s="32">
        <f>IFERROR(N60/N62,0)</f>
        <v>0</v>
      </c>
      <c r="O66" s="32">
        <f>IFERROR(O60/O62,0)</f>
        <v>0</v>
      </c>
      <c r="P66" s="32">
        <f>IFERROR(P60/P62,0)</f>
        <v>0</v>
      </c>
      <c r="Q66" s="32">
        <f>IFERROR(Q60/Q62,0)</f>
        <v>0</v>
      </c>
      <c r="R66" s="32">
        <f>IFERROR(R60/R62,0)</f>
        <v>0</v>
      </c>
      <c r="S66" s="32">
        <f>IFERROR(S60/S62,0)</f>
        <v>0</v>
      </c>
      <c r="T66" s="32">
        <f>IFERROR(T60/T62,0)</f>
        <v>0</v>
      </c>
      <c r="U66" s="32">
        <f>IFERROR(U60/U62,0)</f>
        <v>0</v>
      </c>
      <c r="V66" s="32">
        <f>IFERROR(V60/V62,0)</f>
        <v>0</v>
      </c>
      <c r="W66" s="32">
        <f>IFERROR(W60/W62,0)</f>
        <v>0</v>
      </c>
      <c r="X66" s="32">
        <f>IFERROR(X60/X62,0)</f>
        <v>0</v>
      </c>
      <c r="Y66" s="32">
        <f>IFERROR(Y60/Y62,0)</f>
        <v>0</v>
      </c>
      <c r="Z66" s="32">
        <f>IFERROR(Z60/Z62,0)</f>
        <v>0</v>
      </c>
      <c r="AA66" s="32">
        <f>IFERROR(AA60/AA62,0)</f>
        <v>0</v>
      </c>
      <c r="AB66" s="32">
        <f>IFERROR(AB60/AB62,0)</f>
        <v>0</v>
      </c>
      <c r="AC66" s="32">
        <f>IFERROR(AC60/AC62,0)</f>
        <v>0</v>
      </c>
      <c r="AD66" s="32">
        <f>IFERROR(AD60/AD62,0)</f>
        <v>0</v>
      </c>
      <c r="AE66" s="32">
        <f>IFERROR(AE60/AE62,0)</f>
        <v>0</v>
      </c>
      <c r="AF66" s="32">
        <f>IFERROR(AF60/AF62,0)</f>
        <v>0</v>
      </c>
      <c r="AG66" s="32">
        <f>IFERROR(AG60/AG62,0)</f>
        <v>0</v>
      </c>
      <c r="AH66" s="32">
        <f>IFERROR(AH60/AH62,0)</f>
        <v>0</v>
      </c>
      <c r="AI66" s="32">
        <f>IFERROR(AI60/AI62,0)</f>
        <v>0</v>
      </c>
      <c r="AJ66" s="32">
        <f>IFERROR(AJ60/AJ62,0)</f>
        <v>0</v>
      </c>
      <c r="AK66" s="32">
        <f>IFERROR(AK60/AK62,0)</f>
        <v>0</v>
      </c>
      <c r="AL66" s="32">
        <f>IFERROR(AL60/AL62,0)</f>
        <v>0</v>
      </c>
      <c r="AN66" s="32">
        <f>AVERAGE(C66:E66)</f>
        <v>0</v>
      </c>
      <c r="AO66" s="32">
        <f>AVERAGE(F66:H66)</f>
        <v>0</v>
      </c>
      <c r="AP66" s="32">
        <f>AVERAGE(I66:K66)</f>
        <v>0</v>
      </c>
      <c r="AQ66" s="32">
        <f>AVERAGE(L66:N66)</f>
        <v>0</v>
      </c>
      <c r="AR66" s="32">
        <f>AVERAGE(O66:Q66)</f>
        <v>0</v>
      </c>
      <c r="AS66" s="32">
        <f>AVERAGE(R66:T66)</f>
        <v>0</v>
      </c>
      <c r="AT66" s="32">
        <f>AVERAGE(U66:W66)</f>
        <v>0</v>
      </c>
      <c r="AU66" s="32">
        <f>AVERAGE(X66:Z66)</f>
        <v>0</v>
      </c>
      <c r="AV66" s="32">
        <f>AVERAGE(AA66:AC66)</f>
        <v>0</v>
      </c>
      <c r="AW66" s="32">
        <f>AVERAGE(AD66:AF66)</f>
        <v>0</v>
      </c>
      <c r="AX66" s="32">
        <f>AVERAGE(AG66:AI66)</f>
        <v>0</v>
      </c>
      <c r="AY66" s="32">
        <f>AVERAGE(AJ66:AL66)</f>
        <v>0</v>
      </c>
      <c r="BA66" s="32">
        <f>AVERAGE(C66:N66)</f>
        <v>0</v>
      </c>
      <c r="BB66" s="32">
        <f>AVERAGE(O66:Z66)</f>
        <v>0</v>
      </c>
      <c r="BC66" s="32">
        <f>AVERAGE(AA66:AL66)</f>
        <v>0</v>
      </c>
    </row>
    <row r="67" spans="1:55">
      <c r="A67" s="18" t="s">
        <v>295</v>
      </c>
      <c r="B67" s="16"/>
      <c r="C67" s="25">
        <f>0</f>
        <v>0</v>
      </c>
      <c r="D67" s="25">
        <f>IFERROR(D56/C56-1,0)</f>
        <v>0</v>
      </c>
      <c r="E67" s="25">
        <f>IFERROR(E56/D56-1,0)</f>
        <v>0</v>
      </c>
      <c r="F67" s="25">
        <f>IFERROR(F56/E56-1,0)</f>
        <v>0</v>
      </c>
      <c r="G67" s="25">
        <f>IFERROR(G56/F56-1,0)</f>
        <v>0</v>
      </c>
      <c r="H67" s="25">
        <f>IFERROR(H56/G56-1,0)</f>
        <v>0</v>
      </c>
      <c r="I67" s="25">
        <f>IFERROR(I56/H56-1,0)</f>
        <v>0</v>
      </c>
      <c r="J67" s="25">
        <f>IFERROR(J56/I56-1,0)</f>
        <v>0</v>
      </c>
      <c r="K67" s="25">
        <f>IFERROR(K56/J56-1,0)</f>
        <v>0</v>
      </c>
      <c r="L67" s="25">
        <f>IFERROR(L56/K56-1,0)</f>
        <v>0</v>
      </c>
      <c r="M67" s="25">
        <f>IFERROR(M56/L56-1,0)</f>
        <v>0</v>
      </c>
      <c r="N67" s="25">
        <f>IFERROR(N56/M56-1,0)</f>
        <v>0</v>
      </c>
      <c r="O67" s="25">
        <f>IFERROR(O56/N56-1,0)</f>
        <v>0</v>
      </c>
      <c r="P67" s="25">
        <f>IFERROR(P56/O56-1,0)</f>
        <v>0</v>
      </c>
      <c r="Q67" s="25">
        <f>IFERROR(Q56/P56-1,0)</f>
        <v>0</v>
      </c>
      <c r="R67" s="25">
        <f>IFERROR(R56/Q56-1,0)</f>
        <v>0</v>
      </c>
      <c r="S67" s="25">
        <f>IFERROR(S56/R56-1,0)</f>
        <v>0</v>
      </c>
      <c r="T67" s="25">
        <f>IFERROR(T56/S56-1,0)</f>
        <v>0</v>
      </c>
      <c r="U67" s="25">
        <f>IFERROR(U56/T56-1,0)</f>
        <v>0</v>
      </c>
      <c r="V67" s="25">
        <f>IFERROR(V56/U56-1,0)</f>
        <v>0</v>
      </c>
      <c r="W67" s="25">
        <f>IFERROR(W56/V56-1,0)</f>
        <v>0</v>
      </c>
      <c r="X67" s="25">
        <f>IFERROR(X56/W56-1,0)</f>
        <v>0</v>
      </c>
      <c r="Y67" s="25">
        <f>IFERROR(Y56/X56-1,0)</f>
        <v>0</v>
      </c>
      <c r="Z67" s="25">
        <f>IFERROR(Z56/Y56-1,0)</f>
        <v>0</v>
      </c>
      <c r="AA67" s="25">
        <f>IFERROR(AA56/Z56-1,0)</f>
        <v>0</v>
      </c>
      <c r="AB67" s="25">
        <f>IFERROR(AB56/AA56-1,0)</f>
        <v>0</v>
      </c>
      <c r="AC67" s="25">
        <f>IFERROR(AC56/AB56-1,0)</f>
        <v>0</v>
      </c>
      <c r="AD67" s="25">
        <f>IFERROR(AD56/AC56-1,0)</f>
        <v>0</v>
      </c>
      <c r="AE67" s="25">
        <f>IFERROR(AE56/AD56-1,0)</f>
        <v>0</v>
      </c>
      <c r="AF67" s="25">
        <f>IFERROR(AF56/AE56-1,0)</f>
        <v>0</v>
      </c>
      <c r="AG67" s="25">
        <f>IFERROR(AG56/AF56-1,0)</f>
        <v>0</v>
      </c>
      <c r="AH67" s="25">
        <f>IFERROR(AH56/AG56-1,0)</f>
        <v>0</v>
      </c>
      <c r="AI67" s="25">
        <f>IFERROR(AI56/AH56-1,0)</f>
        <v>0</v>
      </c>
      <c r="AJ67" s="25">
        <f>IFERROR(AJ56/AI56-1,0)</f>
        <v>0</v>
      </c>
      <c r="AK67" s="25">
        <f>IFERROR(AK56/AJ56-1,0)</f>
        <v>0</v>
      </c>
      <c r="AL67" s="25">
        <f>IFERROR(AL56/AK56-1,0)</f>
        <v>0</v>
      </c>
      <c r="AN67" s="25">
        <f>AVERAGE(C67:E67)</f>
        <v>0</v>
      </c>
      <c r="AO67" s="25">
        <f>AVERAGE(F67:H67)</f>
        <v>0</v>
      </c>
      <c r="AP67" s="25">
        <f>AVERAGE(I67:K67)</f>
        <v>0</v>
      </c>
      <c r="AQ67" s="25">
        <f>AVERAGE(L67:N67)</f>
        <v>0</v>
      </c>
      <c r="AR67" s="25">
        <f>AVERAGE(O67:Q67)</f>
        <v>0</v>
      </c>
      <c r="AS67" s="25">
        <f>AVERAGE(R67:T67)</f>
        <v>0</v>
      </c>
      <c r="AT67" s="25">
        <f>AVERAGE(U67:W67)</f>
        <v>0</v>
      </c>
      <c r="AU67" s="25">
        <f>AVERAGE(X67:Z67)</f>
        <v>0</v>
      </c>
      <c r="AV67" s="25">
        <f>AVERAGE(AA67:AC67)</f>
        <v>0</v>
      </c>
      <c r="AW67" s="25">
        <f>AVERAGE(AD67:AF67)</f>
        <v>0</v>
      </c>
      <c r="AX67" s="25">
        <f>AVERAGE(AG67:AI67)</f>
        <v>0</v>
      </c>
      <c r="AY67" s="25">
        <f>AVERAGE(AJ67:AL67)</f>
        <v>0</v>
      </c>
      <c r="BA67" s="25">
        <f>AVERAGE(C67:N67)</f>
        <v>0</v>
      </c>
      <c r="BB67" s="25">
        <f>AVERAGE(O67:Z67)</f>
        <v>0</v>
      </c>
      <c r="BC67" s="25">
        <f>AVERAGE(AA67:AL67)</f>
        <v>0</v>
      </c>
    </row>
    <row r="68" spans="1:55">
      <c r="A68" s="18" t="s">
        <v>296</v>
      </c>
      <c r="B68" s="16"/>
      <c r="C68" s="25">
        <f>0</f>
        <v>0</v>
      </c>
      <c r="D68" s="25">
        <f>IFERROR(D60/C60-1,0)</f>
        <v>0</v>
      </c>
      <c r="E68" s="25">
        <f>IFERROR(E60/D60-1,0)</f>
        <v>0</v>
      </c>
      <c r="F68" s="25">
        <f>IFERROR(F60/E60-1,0)</f>
        <v>0</v>
      </c>
      <c r="G68" s="25">
        <f>IFERROR(G60/F60-1,0)</f>
        <v>0</v>
      </c>
      <c r="H68" s="25">
        <f>IFERROR(H60/G60-1,0)</f>
        <v>0</v>
      </c>
      <c r="I68" s="25">
        <f>IFERROR(I60/H60-1,0)</f>
        <v>0</v>
      </c>
      <c r="J68" s="25">
        <f>IFERROR(J60/I60-1,0)</f>
        <v>0</v>
      </c>
      <c r="K68" s="25">
        <f>IFERROR(K60/J60-1,0)</f>
        <v>0</v>
      </c>
      <c r="L68" s="25">
        <f>IFERROR(L60/K60-1,0)</f>
        <v>0</v>
      </c>
      <c r="M68" s="25">
        <f>IFERROR(M60/L60-1,0)</f>
        <v>0</v>
      </c>
      <c r="N68" s="25">
        <f>IFERROR(N60/M60-1,0)</f>
        <v>0</v>
      </c>
      <c r="O68" s="25">
        <f>IFERROR(O60/N60-1,0)</f>
        <v>0</v>
      </c>
      <c r="P68" s="25">
        <f>IFERROR(P60/O60-1,0)</f>
        <v>0</v>
      </c>
      <c r="Q68" s="25">
        <f>IFERROR(Q60/P60-1,0)</f>
        <v>0</v>
      </c>
      <c r="R68" s="25">
        <f>IFERROR(R60/Q60-1,0)</f>
        <v>0</v>
      </c>
      <c r="S68" s="25">
        <f>IFERROR(S60/R60-1,0)</f>
        <v>0</v>
      </c>
      <c r="T68" s="25">
        <f>IFERROR(T60/S60-1,0)</f>
        <v>0</v>
      </c>
      <c r="U68" s="25">
        <f>IFERROR(U60/T60-1,0)</f>
        <v>0</v>
      </c>
      <c r="V68" s="25">
        <f>IFERROR(V60/U60-1,0)</f>
        <v>0</v>
      </c>
      <c r="W68" s="25">
        <f>IFERROR(W60/V60-1,0)</f>
        <v>0</v>
      </c>
      <c r="X68" s="25">
        <f>IFERROR(X60/W60-1,0)</f>
        <v>0</v>
      </c>
      <c r="Y68" s="25">
        <f>IFERROR(Y60/X60-1,0)</f>
        <v>0</v>
      </c>
      <c r="Z68" s="25">
        <f>IFERROR(Z60/Y60-1,0)</f>
        <v>0</v>
      </c>
      <c r="AA68" s="25">
        <f>IFERROR(AA60/Z60-1,0)</f>
        <v>0</v>
      </c>
      <c r="AB68" s="25">
        <f>IFERROR(AB60/AA60-1,0)</f>
        <v>0</v>
      </c>
      <c r="AC68" s="25">
        <f>IFERROR(AC60/AB60-1,0)</f>
        <v>0</v>
      </c>
      <c r="AD68" s="25">
        <f>IFERROR(AD60/AC60-1,0)</f>
        <v>0</v>
      </c>
      <c r="AE68" s="25">
        <f>IFERROR(AE60/AD60-1,0)</f>
        <v>0</v>
      </c>
      <c r="AF68" s="25">
        <f>IFERROR(AF60/AE60-1,0)</f>
        <v>0</v>
      </c>
      <c r="AG68" s="25">
        <f>IFERROR(AG60/AF60-1,0)</f>
        <v>0</v>
      </c>
      <c r="AH68" s="25">
        <f>IFERROR(AH60/AG60-1,0)</f>
        <v>0</v>
      </c>
      <c r="AI68" s="25">
        <f>IFERROR(AI60/AH60-1,0)</f>
        <v>0</v>
      </c>
      <c r="AJ68" s="25">
        <f>IFERROR(AJ60/AI60-1,0)</f>
        <v>0</v>
      </c>
      <c r="AK68" s="25">
        <f>IFERROR(AK60/AJ60-1,0)</f>
        <v>0</v>
      </c>
      <c r="AL68" s="25">
        <f>IFERROR(AL60/AK60-1,0)</f>
        <v>0</v>
      </c>
      <c r="AN68" s="25">
        <f>AVERAGE(C68:E68)</f>
        <v>0</v>
      </c>
      <c r="AO68" s="25">
        <f>AVERAGE(F68:H68)</f>
        <v>0</v>
      </c>
      <c r="AP68" s="25">
        <f>AVERAGE(I68:K68)</f>
        <v>0</v>
      </c>
      <c r="AQ68" s="25">
        <f>AVERAGE(L68:N68)</f>
        <v>0</v>
      </c>
      <c r="AR68" s="25">
        <f>AVERAGE(O68:Q68)</f>
        <v>0</v>
      </c>
      <c r="AS68" s="25">
        <f>AVERAGE(R68:T68)</f>
        <v>0</v>
      </c>
      <c r="AT68" s="25">
        <f>AVERAGE(U68:W68)</f>
        <v>0</v>
      </c>
      <c r="AU68" s="25">
        <f>AVERAGE(X68:Z68)</f>
        <v>0</v>
      </c>
      <c r="AV68" s="25">
        <f>AVERAGE(AA68:AC68)</f>
        <v>0</v>
      </c>
      <c r="AW68" s="25">
        <f>AVERAGE(AD68:AF68)</f>
        <v>0</v>
      </c>
      <c r="AX68" s="25">
        <f>AVERAGE(AG68:AI68)</f>
        <v>0</v>
      </c>
      <c r="AY68" s="25">
        <f>AVERAGE(AJ68:AL68)</f>
        <v>0</v>
      </c>
      <c r="BA68" s="25">
        <f>AVERAGE(C68:N68)</f>
        <v>0</v>
      </c>
      <c r="BB68" s="25">
        <f>AVERAGE(O68:Z68)</f>
        <v>0</v>
      </c>
      <c r="BC68" s="25">
        <f>AVERAGE(AA68:AL68)</f>
        <v>0</v>
      </c>
    </row>
  </sheetData>
  <mergeCells count="10">
    <mergeCell ref="A1:BC1"/>
    <mergeCell ref="A2:BC2"/>
    <mergeCell ref="C5:AL5"/>
    <mergeCell ref="AN5:AY5"/>
    <mergeCell ref="BA5:BC5"/>
    <mergeCell ref="A7:BC7"/>
    <mergeCell ref="A15:BC15"/>
    <mergeCell ref="A23:BC23"/>
    <mergeCell ref="A31:BC31"/>
    <mergeCell ref="A54:BC54"/>
  </mergeCells>
  <pageMargins left="0.7" right="0.7" top="0.75" bottom="0.75" header="0.3" footer="0.3"/>
  <pageSetup paperSize="9" scale="55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dimension ref="A1:BC31"/>
  <sheetViews>
    <sheetView showGridLines="0" zoomScale="110" zoomScaleNormal="11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40.7109375" customWidth="1"/>
    <col min="2" max="2" width="30.7109375" customWidth="1"/>
    <col min="3" max="38" width="11.7109375" customWidth="1"/>
    <col min="39" max="39" width="2.7109375" customWidth="1"/>
    <col min="40" max="51" width="12.7109375" customWidth="1"/>
    <col min="52" max="52" width="2.7109375" customWidth="1"/>
    <col min="53" max="55" width="12.7109375" customWidth="1"/>
  </cols>
  <sheetData>
    <row r="1" spans="1:55" ht="22" customHeight="1">
      <c r="A1" s="1" t="s">
        <v>297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ht="16" customHeight="1">
      <c r="A2" s="2" t="s">
        <v>298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</row>
    <row r="5" spans="1:55">
      <c r="A5" s="14" t="s">
        <v>191</v>
      </c>
      <c r="B5" s="14" t="s">
        <v>192</v>
      </c>
      <c r="C5" s="14" t="s">
        <v>188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N5" s="14" t="s">
        <v>189</v>
      </c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BA5" s="14" t="s">
        <v>190</v>
      </c>
      <c r="BB5" s="14"/>
      <c r="BC5" s="14"/>
    </row>
    <row r="6" spans="1:55">
      <c r="A6" s="17"/>
      <c r="B6" s="17"/>
      <c r="C6" s="28">
        <v>46023</v>
      </c>
      <c r="D6" s="28">
        <v>46054</v>
      </c>
      <c r="E6" s="28">
        <v>46082</v>
      </c>
      <c r="F6" s="28">
        <v>46113</v>
      </c>
      <c r="G6" s="28">
        <v>46143</v>
      </c>
      <c r="H6" s="28">
        <v>46174</v>
      </c>
      <c r="I6" s="28">
        <v>46204</v>
      </c>
      <c r="J6" s="28">
        <v>46235</v>
      </c>
      <c r="K6" s="28">
        <v>46266</v>
      </c>
      <c r="L6" s="28">
        <v>46296</v>
      </c>
      <c r="M6" s="28">
        <v>46327</v>
      </c>
      <c r="N6" s="28">
        <v>46357</v>
      </c>
      <c r="O6" s="28">
        <v>46388</v>
      </c>
      <c r="P6" s="28">
        <v>46419</v>
      </c>
      <c r="Q6" s="28">
        <v>46447</v>
      </c>
      <c r="R6" s="28">
        <v>46478</v>
      </c>
      <c r="S6" s="28">
        <v>46508</v>
      </c>
      <c r="T6" s="28">
        <v>46539</v>
      </c>
      <c r="U6" s="28">
        <v>46569</v>
      </c>
      <c r="V6" s="28">
        <v>46600</v>
      </c>
      <c r="W6" s="28">
        <v>46631</v>
      </c>
      <c r="X6" s="28">
        <v>46661</v>
      </c>
      <c r="Y6" s="28">
        <v>46692</v>
      </c>
      <c r="Z6" s="28">
        <v>46722</v>
      </c>
      <c r="AA6" s="28">
        <v>46753</v>
      </c>
      <c r="AB6" s="28">
        <v>46784</v>
      </c>
      <c r="AC6" s="28">
        <v>46813</v>
      </c>
      <c r="AD6" s="28">
        <v>46844</v>
      </c>
      <c r="AE6" s="28">
        <v>46874</v>
      </c>
      <c r="AF6" s="28">
        <v>46905</v>
      </c>
      <c r="AG6" s="28">
        <v>46935</v>
      </c>
      <c r="AH6" s="28">
        <v>46966</v>
      </c>
      <c r="AI6" s="28">
        <v>46997</v>
      </c>
      <c r="AJ6" s="28">
        <v>47027</v>
      </c>
      <c r="AK6" s="28">
        <v>47058</v>
      </c>
      <c r="AL6" s="28">
        <v>47088</v>
      </c>
      <c r="AN6" s="17" t="s">
        <v>193</v>
      </c>
      <c r="AO6" s="17" t="s">
        <v>194</v>
      </c>
      <c r="AP6" s="17" t="s">
        <v>195</v>
      </c>
      <c r="AQ6" s="17" t="s">
        <v>196</v>
      </c>
      <c r="AR6" s="17" t="s">
        <v>197</v>
      </c>
      <c r="AS6" s="17" t="s">
        <v>198</v>
      </c>
      <c r="AT6" s="17" t="s">
        <v>199</v>
      </c>
      <c r="AU6" s="17" t="s">
        <v>200</v>
      </c>
      <c r="AV6" s="17" t="s">
        <v>201</v>
      </c>
      <c r="AW6" s="17" t="s">
        <v>202</v>
      </c>
      <c r="AX6" s="17" t="s">
        <v>203</v>
      </c>
      <c r="AY6" s="17" t="s">
        <v>204</v>
      </c>
      <c r="BA6" s="17" t="s">
        <v>205</v>
      </c>
      <c r="BB6" s="17" t="s">
        <v>206</v>
      </c>
      <c r="BC6" s="17" t="s">
        <v>207</v>
      </c>
    </row>
    <row r="7" spans="1:55" ht="16" customHeight="1">
      <c r="A7" s="14" t="s">
        <v>299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</row>
    <row r="8" spans="1:55">
      <c r="A8" s="18" t="s">
        <v>300</v>
      </c>
      <c r="B8" s="16" t="s">
        <v>301</v>
      </c>
      <c r="C8" s="20">
        <f>'Revenue'!$C$55</f>
        <v>0</v>
      </c>
      <c r="D8" s="20">
        <f>'Revenue'!$D$55</f>
        <v>0</v>
      </c>
      <c r="E8" s="20">
        <f>'Revenue'!$E$55</f>
        <v>0</v>
      </c>
      <c r="F8" s="20">
        <f>'Revenue'!$F$55</f>
        <v>0</v>
      </c>
      <c r="G8" s="20">
        <f>'Revenue'!$G$55</f>
        <v>0</v>
      </c>
      <c r="H8" s="20">
        <f>'Revenue'!$H$55</f>
        <v>0</v>
      </c>
      <c r="I8" s="20">
        <f>'Revenue'!$I$55</f>
        <v>0</v>
      </c>
      <c r="J8" s="20">
        <f>'Revenue'!$J$55</f>
        <v>0</v>
      </c>
      <c r="K8" s="20">
        <f>'Revenue'!$K$55</f>
        <v>0</v>
      </c>
      <c r="L8" s="20">
        <f>'Revenue'!$L$55</f>
        <v>0</v>
      </c>
      <c r="M8" s="20">
        <f>'Revenue'!$M$55</f>
        <v>0</v>
      </c>
      <c r="N8" s="20">
        <f>'Revenue'!$N$55</f>
        <v>0</v>
      </c>
      <c r="O8" s="20">
        <f>'Revenue'!$O$55</f>
        <v>0</v>
      </c>
      <c r="P8" s="20">
        <f>'Revenue'!$P$55</f>
        <v>0</v>
      </c>
      <c r="Q8" s="20">
        <f>'Revenue'!$Q$55</f>
        <v>0</v>
      </c>
      <c r="R8" s="20">
        <f>'Revenue'!$R$55</f>
        <v>0</v>
      </c>
      <c r="S8" s="20">
        <f>'Revenue'!$S$55</f>
        <v>0</v>
      </c>
      <c r="T8" s="20">
        <f>'Revenue'!$T$55</f>
        <v>0</v>
      </c>
      <c r="U8" s="20">
        <f>'Revenue'!$U$55</f>
        <v>0</v>
      </c>
      <c r="V8" s="20">
        <f>'Revenue'!$V$55</f>
        <v>0</v>
      </c>
      <c r="W8" s="20">
        <f>'Revenue'!$W$55</f>
        <v>0</v>
      </c>
      <c r="X8" s="20">
        <f>'Revenue'!$X$55</f>
        <v>0</v>
      </c>
      <c r="Y8" s="20">
        <f>'Revenue'!$Y$55</f>
        <v>0</v>
      </c>
      <c r="Z8" s="20">
        <f>'Revenue'!$Z$55</f>
        <v>0</v>
      </c>
      <c r="AA8" s="20">
        <f>'Revenue'!$AA$55</f>
        <v>0</v>
      </c>
      <c r="AB8" s="20">
        <f>'Revenue'!$AB$55</f>
        <v>0</v>
      </c>
      <c r="AC8" s="20">
        <f>'Revenue'!$AC$55</f>
        <v>0</v>
      </c>
      <c r="AD8" s="20">
        <f>'Revenue'!$AD$55</f>
        <v>0</v>
      </c>
      <c r="AE8" s="20">
        <f>'Revenue'!$AE$55</f>
        <v>0</v>
      </c>
      <c r="AF8" s="20">
        <f>'Revenue'!$AF$55</f>
        <v>0</v>
      </c>
      <c r="AG8" s="20">
        <f>'Revenue'!$AG$55</f>
        <v>0</v>
      </c>
      <c r="AH8" s="20">
        <f>'Revenue'!$AH$55</f>
        <v>0</v>
      </c>
      <c r="AI8" s="20">
        <f>'Revenue'!$AI$55</f>
        <v>0</v>
      </c>
      <c r="AJ8" s="20">
        <f>'Revenue'!$AJ$55</f>
        <v>0</v>
      </c>
      <c r="AK8" s="20">
        <f>'Revenue'!$AK$55</f>
        <v>0</v>
      </c>
      <c r="AL8" s="20">
        <f>'Revenue'!$AL$55</f>
        <v>0</v>
      </c>
      <c r="AN8" s="20">
        <f>SUM(C8:E8)</f>
        <v>0</v>
      </c>
      <c r="AO8" s="20">
        <f>SUM(F8:H8)</f>
        <v>0</v>
      </c>
      <c r="AP8" s="20">
        <f>SUM(I8:K8)</f>
        <v>0</v>
      </c>
      <c r="AQ8" s="20">
        <f>SUM(L8:N8)</f>
        <v>0</v>
      </c>
      <c r="AR8" s="20">
        <f>SUM(O8:Q8)</f>
        <v>0</v>
      </c>
      <c r="AS8" s="20">
        <f>SUM(R8:T8)</f>
        <v>0</v>
      </c>
      <c r="AT8" s="20">
        <f>SUM(U8:W8)</f>
        <v>0</v>
      </c>
      <c r="AU8" s="20">
        <f>SUM(X8:Z8)</f>
        <v>0</v>
      </c>
      <c r="AV8" s="20">
        <f>SUM(AA8:AC8)</f>
        <v>0</v>
      </c>
      <c r="AW8" s="20">
        <f>SUM(AD8:AF8)</f>
        <v>0</v>
      </c>
      <c r="AX8" s="20">
        <f>SUM(AG8:AI8)</f>
        <v>0</v>
      </c>
      <c r="AY8" s="20">
        <f>SUM(AJ8:AL8)</f>
        <v>0</v>
      </c>
      <c r="BA8" s="20">
        <f>SUM(C8:N8)</f>
        <v>0</v>
      </c>
      <c r="BB8" s="20">
        <f>SUM(O8:Z8)</f>
        <v>0</v>
      </c>
      <c r="BC8" s="20">
        <f>SUM(AA8:AL8)</f>
        <v>0</v>
      </c>
    </row>
    <row r="9" spans="1:55">
      <c r="A9" s="18" t="s">
        <v>302</v>
      </c>
      <c r="B9" s="16" t="s">
        <v>301</v>
      </c>
      <c r="C9" s="20">
        <f>'Revenue'!$C$56</f>
        <v>0</v>
      </c>
      <c r="D9" s="20">
        <f>'Revenue'!$D$56</f>
        <v>0</v>
      </c>
      <c r="E9" s="20">
        <f>'Revenue'!$E$56</f>
        <v>0</v>
      </c>
      <c r="F9" s="20">
        <f>'Revenue'!$F$56</f>
        <v>0</v>
      </c>
      <c r="G9" s="20">
        <f>'Revenue'!$G$56</f>
        <v>0</v>
      </c>
      <c r="H9" s="20">
        <f>'Revenue'!$H$56</f>
        <v>0</v>
      </c>
      <c r="I9" s="20">
        <f>'Revenue'!$I$56</f>
        <v>0</v>
      </c>
      <c r="J9" s="20">
        <f>'Revenue'!$J$56</f>
        <v>0</v>
      </c>
      <c r="K9" s="20">
        <f>'Revenue'!$K$56</f>
        <v>0</v>
      </c>
      <c r="L9" s="20">
        <f>'Revenue'!$L$56</f>
        <v>0</v>
      </c>
      <c r="M9" s="20">
        <f>'Revenue'!$M$56</f>
        <v>0</v>
      </c>
      <c r="N9" s="20">
        <f>'Revenue'!$N$56</f>
        <v>0</v>
      </c>
      <c r="O9" s="20">
        <f>'Revenue'!$O$56</f>
        <v>0</v>
      </c>
      <c r="P9" s="20">
        <f>'Revenue'!$P$56</f>
        <v>0</v>
      </c>
      <c r="Q9" s="20">
        <f>'Revenue'!$Q$56</f>
        <v>0</v>
      </c>
      <c r="R9" s="20">
        <f>'Revenue'!$R$56</f>
        <v>0</v>
      </c>
      <c r="S9" s="20">
        <f>'Revenue'!$S$56</f>
        <v>0</v>
      </c>
      <c r="T9" s="20">
        <f>'Revenue'!$T$56</f>
        <v>0</v>
      </c>
      <c r="U9" s="20">
        <f>'Revenue'!$U$56</f>
        <v>0</v>
      </c>
      <c r="V9" s="20">
        <f>'Revenue'!$V$56</f>
        <v>0</v>
      </c>
      <c r="W9" s="20">
        <f>'Revenue'!$W$56</f>
        <v>0</v>
      </c>
      <c r="X9" s="20">
        <f>'Revenue'!$X$56</f>
        <v>0</v>
      </c>
      <c r="Y9" s="20">
        <f>'Revenue'!$Y$56</f>
        <v>0</v>
      </c>
      <c r="Z9" s="20">
        <f>'Revenue'!$Z$56</f>
        <v>0</v>
      </c>
      <c r="AA9" s="20">
        <f>'Revenue'!$AA$56</f>
        <v>0</v>
      </c>
      <c r="AB9" s="20">
        <f>'Revenue'!$AB$56</f>
        <v>0</v>
      </c>
      <c r="AC9" s="20">
        <f>'Revenue'!$AC$56</f>
        <v>0</v>
      </c>
      <c r="AD9" s="20">
        <f>'Revenue'!$AD$56</f>
        <v>0</v>
      </c>
      <c r="AE9" s="20">
        <f>'Revenue'!$AE$56</f>
        <v>0</v>
      </c>
      <c r="AF9" s="20">
        <f>'Revenue'!$AF$56</f>
        <v>0</v>
      </c>
      <c r="AG9" s="20">
        <f>'Revenue'!$AG$56</f>
        <v>0</v>
      </c>
      <c r="AH9" s="20">
        <f>'Revenue'!$AH$56</f>
        <v>0</v>
      </c>
      <c r="AI9" s="20">
        <f>'Revenue'!$AI$56</f>
        <v>0</v>
      </c>
      <c r="AJ9" s="20">
        <f>'Revenue'!$AJ$56</f>
        <v>0</v>
      </c>
      <c r="AK9" s="20">
        <f>'Revenue'!$AK$56</f>
        <v>0</v>
      </c>
      <c r="AL9" s="20">
        <f>'Revenue'!$AL$56</f>
        <v>0</v>
      </c>
      <c r="AN9" s="20">
        <f>SUM(C9:E9)</f>
        <v>0</v>
      </c>
      <c r="AO9" s="20">
        <f>SUM(F9:H9)</f>
        <v>0</v>
      </c>
      <c r="AP9" s="20">
        <f>SUM(I9:K9)</f>
        <v>0</v>
      </c>
      <c r="AQ9" s="20">
        <f>SUM(L9:N9)</f>
        <v>0</v>
      </c>
      <c r="AR9" s="20">
        <f>SUM(O9:Q9)</f>
        <v>0</v>
      </c>
      <c r="AS9" s="20">
        <f>SUM(R9:T9)</f>
        <v>0</v>
      </c>
      <c r="AT9" s="20">
        <f>SUM(U9:W9)</f>
        <v>0</v>
      </c>
      <c r="AU9" s="20">
        <f>SUM(X9:Z9)</f>
        <v>0</v>
      </c>
      <c r="AV9" s="20">
        <f>SUM(AA9:AC9)</f>
        <v>0</v>
      </c>
      <c r="AW9" s="20">
        <f>SUM(AD9:AF9)</f>
        <v>0</v>
      </c>
      <c r="AX9" s="20">
        <f>SUM(AG9:AI9)</f>
        <v>0</v>
      </c>
      <c r="AY9" s="20">
        <f>SUM(AJ9:AL9)</f>
        <v>0</v>
      </c>
      <c r="BA9" s="20">
        <f>SUM(C9:N9)</f>
        <v>0</v>
      </c>
      <c r="BB9" s="20">
        <f>SUM(O9:Z9)</f>
        <v>0</v>
      </c>
      <c r="BC9" s="20">
        <f>SUM(AA9:AL9)</f>
        <v>0</v>
      </c>
    </row>
    <row r="10" spans="1:55">
      <c r="A10" s="18" t="s">
        <v>303</v>
      </c>
      <c r="B10" s="16" t="s">
        <v>304</v>
      </c>
      <c r="C10" s="20">
        <f>'Revenue'!C55*(1-'Assumptions'!$F$41)*(1-'Assumptions'!$F$43)</f>
        <v>0</v>
      </c>
      <c r="D10" s="20">
        <f>'Revenue'!D55*(1-'Assumptions'!$F$41)*(1-'Assumptions'!$F$43)</f>
        <v>0</v>
      </c>
      <c r="E10" s="20">
        <f>'Revenue'!E55*(1-'Assumptions'!$F$41)*(1-'Assumptions'!$F$43)</f>
        <v>0</v>
      </c>
      <c r="F10" s="20">
        <f>'Revenue'!F55*(1-'Assumptions'!$F$41)*(1-'Assumptions'!$F$43)</f>
        <v>0</v>
      </c>
      <c r="G10" s="20">
        <f>'Revenue'!G55*(1-'Assumptions'!$F$41)*(1-'Assumptions'!$F$43)</f>
        <v>0</v>
      </c>
      <c r="H10" s="20">
        <f>'Revenue'!H55*(1-'Assumptions'!$F$41)*(1-'Assumptions'!$F$43)</f>
        <v>0</v>
      </c>
      <c r="I10" s="20">
        <f>'Revenue'!I55*(1-'Assumptions'!$F$41)*(1-'Assumptions'!$F$43)</f>
        <v>0</v>
      </c>
      <c r="J10" s="20">
        <f>'Revenue'!J55*(1-'Assumptions'!$F$41)*(1-'Assumptions'!$F$43)</f>
        <v>0</v>
      </c>
      <c r="K10" s="20">
        <f>'Revenue'!K55*(1-'Assumptions'!$F$41)*(1-'Assumptions'!$F$43)</f>
        <v>0</v>
      </c>
      <c r="L10" s="20">
        <f>'Revenue'!L55*(1-'Assumptions'!$F$41)*(1-'Assumptions'!$F$43)</f>
        <v>0</v>
      </c>
      <c r="M10" s="20">
        <f>'Revenue'!M55*(1-'Assumptions'!$F$41)*(1-'Assumptions'!$F$43)</f>
        <v>0</v>
      </c>
      <c r="N10" s="20">
        <f>'Revenue'!N55*(1-'Assumptions'!$F$41)*(1-'Assumptions'!$F$43)</f>
        <v>0</v>
      </c>
      <c r="O10" s="20">
        <f>'Revenue'!O55*(1-'Assumptions'!$F$41)*(1-'Assumptions'!$F$43)</f>
        <v>0</v>
      </c>
      <c r="P10" s="20">
        <f>'Revenue'!P55*(1-'Assumptions'!$F$41)*(1-'Assumptions'!$F$43)</f>
        <v>0</v>
      </c>
      <c r="Q10" s="20">
        <f>'Revenue'!Q55*(1-'Assumptions'!$F$41)*(1-'Assumptions'!$F$43)</f>
        <v>0</v>
      </c>
      <c r="R10" s="20">
        <f>'Revenue'!R55*(1-'Assumptions'!$F$41)*(1-'Assumptions'!$F$43)</f>
        <v>0</v>
      </c>
      <c r="S10" s="20">
        <f>'Revenue'!S55*(1-'Assumptions'!$F$41)*(1-'Assumptions'!$F$43)</f>
        <v>0</v>
      </c>
      <c r="T10" s="20">
        <f>'Revenue'!T55*(1-'Assumptions'!$F$41)*(1-'Assumptions'!$F$43)</f>
        <v>0</v>
      </c>
      <c r="U10" s="20">
        <f>'Revenue'!U55*(1-'Assumptions'!$F$41)*(1-'Assumptions'!$F$43)</f>
        <v>0</v>
      </c>
      <c r="V10" s="20">
        <f>'Revenue'!V55*(1-'Assumptions'!$F$41)*(1-'Assumptions'!$F$43)</f>
        <v>0</v>
      </c>
      <c r="W10" s="20">
        <f>'Revenue'!W55*(1-'Assumptions'!$F$41)*(1-'Assumptions'!$F$43)</f>
        <v>0</v>
      </c>
      <c r="X10" s="20">
        <f>'Revenue'!X55*(1-'Assumptions'!$F$41)*(1-'Assumptions'!$F$43)</f>
        <v>0</v>
      </c>
      <c r="Y10" s="20">
        <f>'Revenue'!Y55*(1-'Assumptions'!$F$41)*(1-'Assumptions'!$F$43)</f>
        <v>0</v>
      </c>
      <c r="Z10" s="20">
        <f>'Revenue'!Z55*(1-'Assumptions'!$F$41)*(1-'Assumptions'!$F$43)</f>
        <v>0</v>
      </c>
      <c r="AA10" s="20">
        <f>'Revenue'!AA55*(1-'Assumptions'!$F$41)*(1-'Assumptions'!$F$43)</f>
        <v>0</v>
      </c>
      <c r="AB10" s="20">
        <f>'Revenue'!AB55*(1-'Assumptions'!$F$41)*(1-'Assumptions'!$F$43)</f>
        <v>0</v>
      </c>
      <c r="AC10" s="20">
        <f>'Revenue'!AC55*(1-'Assumptions'!$F$41)*(1-'Assumptions'!$F$43)</f>
        <v>0</v>
      </c>
      <c r="AD10" s="20">
        <f>'Revenue'!AD55*(1-'Assumptions'!$F$41)*(1-'Assumptions'!$F$43)</f>
        <v>0</v>
      </c>
      <c r="AE10" s="20">
        <f>'Revenue'!AE55*(1-'Assumptions'!$F$41)*(1-'Assumptions'!$F$43)</f>
        <v>0</v>
      </c>
      <c r="AF10" s="20">
        <f>'Revenue'!AF55*(1-'Assumptions'!$F$41)*(1-'Assumptions'!$F$43)</f>
        <v>0</v>
      </c>
      <c r="AG10" s="20">
        <f>'Revenue'!AG55*(1-'Assumptions'!$F$41)*(1-'Assumptions'!$F$43)</f>
        <v>0</v>
      </c>
      <c r="AH10" s="20">
        <f>'Revenue'!AH55*(1-'Assumptions'!$F$41)*(1-'Assumptions'!$F$43)</f>
        <v>0</v>
      </c>
      <c r="AI10" s="20">
        <f>'Revenue'!AI55*(1-'Assumptions'!$F$41)*(1-'Assumptions'!$F$43)</f>
        <v>0</v>
      </c>
      <c r="AJ10" s="20">
        <f>'Revenue'!AJ55*(1-'Assumptions'!$F$41)*(1-'Assumptions'!$F$43)</f>
        <v>0</v>
      </c>
      <c r="AK10" s="20">
        <f>'Revenue'!AK55*(1-'Assumptions'!$F$41)*(1-'Assumptions'!$F$43)</f>
        <v>0</v>
      </c>
      <c r="AL10" s="20">
        <f>'Revenue'!AL55*(1-'Assumptions'!$F$41)*(1-'Assumptions'!$F$43)</f>
        <v>0</v>
      </c>
      <c r="AN10" s="20">
        <f>SUM(C10:E10)</f>
        <v>0</v>
      </c>
      <c r="AO10" s="20">
        <f>SUM(F10:H10)</f>
        <v>0</v>
      </c>
      <c r="AP10" s="20">
        <f>SUM(I10:K10)</f>
        <v>0</v>
      </c>
      <c r="AQ10" s="20">
        <f>SUM(L10:N10)</f>
        <v>0</v>
      </c>
      <c r="AR10" s="20">
        <f>SUM(O10:Q10)</f>
        <v>0</v>
      </c>
      <c r="AS10" s="20">
        <f>SUM(R10:T10)</f>
        <v>0</v>
      </c>
      <c r="AT10" s="20">
        <f>SUM(U10:W10)</f>
        <v>0</v>
      </c>
      <c r="AU10" s="20">
        <f>SUM(X10:Z10)</f>
        <v>0</v>
      </c>
      <c r="AV10" s="20">
        <f>SUM(AA10:AC10)</f>
        <v>0</v>
      </c>
      <c r="AW10" s="20">
        <f>SUM(AD10:AF10)</f>
        <v>0</v>
      </c>
      <c r="AX10" s="20">
        <f>SUM(AG10:AI10)</f>
        <v>0</v>
      </c>
      <c r="AY10" s="20">
        <f>SUM(AJ10:AL10)</f>
        <v>0</v>
      </c>
      <c r="BA10" s="20">
        <f>SUM(C10:N10)</f>
        <v>0</v>
      </c>
      <c r="BB10" s="20">
        <f>SUM(O10:Z10)</f>
        <v>0</v>
      </c>
      <c r="BC10" s="20">
        <f>SUM(AA10:AL10)</f>
        <v>0</v>
      </c>
    </row>
    <row r="11" spans="1:55">
      <c r="A11" s="18" t="s">
        <v>305</v>
      </c>
      <c r="B11" s="16"/>
      <c r="C11" s="25">
        <f>'Assumptions'!$F$56</f>
        <v>0</v>
      </c>
      <c r="D11" s="25">
        <f>MIN(0.88,MAX(0.35,C11+'Assumptions'!$F$57))</f>
        <v>0</v>
      </c>
      <c r="E11" s="25">
        <f>MIN(0.88,MAX(0.35,D11+'Assumptions'!$F$57))</f>
        <v>0</v>
      </c>
      <c r="F11" s="25">
        <f>MIN(0.88,MAX(0.35,E11+'Assumptions'!$F$57))</f>
        <v>0</v>
      </c>
      <c r="G11" s="25">
        <f>MIN(0.88,MAX(0.35,F11+'Assumptions'!$F$57))</f>
        <v>0</v>
      </c>
      <c r="H11" s="25">
        <f>MIN(0.88,MAX(0.35,G11+'Assumptions'!$F$57))</f>
        <v>0</v>
      </c>
      <c r="I11" s="25">
        <f>MIN(0.88,MAX(0.35,H11+'Assumptions'!$F$57))</f>
        <v>0</v>
      </c>
      <c r="J11" s="25">
        <f>MIN(0.88,MAX(0.35,I11+'Assumptions'!$F$57))</f>
        <v>0</v>
      </c>
      <c r="K11" s="25">
        <f>MIN(0.88,MAX(0.35,J11+'Assumptions'!$F$57))</f>
        <v>0</v>
      </c>
      <c r="L11" s="25">
        <f>MIN(0.88,MAX(0.35,K11+'Assumptions'!$F$57))</f>
        <v>0</v>
      </c>
      <c r="M11" s="25">
        <f>MIN(0.88,MAX(0.35,L11+'Assumptions'!$F$57))</f>
        <v>0</v>
      </c>
      <c r="N11" s="25">
        <f>MIN(0.88,MAX(0.35,M11+'Assumptions'!$F$57))</f>
        <v>0</v>
      </c>
      <c r="O11" s="25">
        <f>MIN(0.88,MAX(0.35,N11+'Assumptions'!$F$57))</f>
        <v>0</v>
      </c>
      <c r="P11" s="25">
        <f>MIN(0.88,MAX(0.35,O11+'Assumptions'!$F$57))</f>
        <v>0</v>
      </c>
      <c r="Q11" s="25">
        <f>MIN(0.88,MAX(0.35,P11+'Assumptions'!$F$57))</f>
        <v>0</v>
      </c>
      <c r="R11" s="25">
        <f>MIN(0.88,MAX(0.35,Q11+'Assumptions'!$F$57))</f>
        <v>0</v>
      </c>
      <c r="S11" s="25">
        <f>MIN(0.88,MAX(0.35,R11+'Assumptions'!$F$57))</f>
        <v>0</v>
      </c>
      <c r="T11" s="25">
        <f>MIN(0.88,MAX(0.35,S11+'Assumptions'!$F$57))</f>
        <v>0</v>
      </c>
      <c r="U11" s="25">
        <f>MIN(0.88,MAX(0.35,T11+'Assumptions'!$F$57))</f>
        <v>0</v>
      </c>
      <c r="V11" s="25">
        <f>MIN(0.88,MAX(0.35,U11+'Assumptions'!$F$57))</f>
        <v>0</v>
      </c>
      <c r="W11" s="25">
        <f>MIN(0.88,MAX(0.35,V11+'Assumptions'!$F$57))</f>
        <v>0</v>
      </c>
      <c r="X11" s="25">
        <f>MIN(0.88,MAX(0.35,W11+'Assumptions'!$F$57))</f>
        <v>0</v>
      </c>
      <c r="Y11" s="25">
        <f>MIN(0.88,MAX(0.35,X11+'Assumptions'!$F$57))</f>
        <v>0</v>
      </c>
      <c r="Z11" s="25">
        <f>MIN(0.88,MAX(0.35,Y11+'Assumptions'!$F$57))</f>
        <v>0</v>
      </c>
      <c r="AA11" s="25">
        <f>MIN(0.88,MAX(0.35,Z11+'Assumptions'!$F$57))</f>
        <v>0</v>
      </c>
      <c r="AB11" s="25">
        <f>MIN(0.88,MAX(0.35,AA11+'Assumptions'!$F$57))</f>
        <v>0</v>
      </c>
      <c r="AC11" s="25">
        <f>MIN(0.88,MAX(0.35,AB11+'Assumptions'!$F$57))</f>
        <v>0</v>
      </c>
      <c r="AD11" s="25">
        <f>MIN(0.88,MAX(0.35,AC11+'Assumptions'!$F$57))</f>
        <v>0</v>
      </c>
      <c r="AE11" s="25">
        <f>MIN(0.88,MAX(0.35,AD11+'Assumptions'!$F$57))</f>
        <v>0</v>
      </c>
      <c r="AF11" s="25">
        <f>MIN(0.88,MAX(0.35,AE11+'Assumptions'!$F$57))</f>
        <v>0</v>
      </c>
      <c r="AG11" s="25">
        <f>MIN(0.88,MAX(0.35,AF11+'Assumptions'!$F$57))</f>
        <v>0</v>
      </c>
      <c r="AH11" s="25">
        <f>MIN(0.88,MAX(0.35,AG11+'Assumptions'!$F$57))</f>
        <v>0</v>
      </c>
      <c r="AI11" s="25">
        <f>MIN(0.88,MAX(0.35,AH11+'Assumptions'!$F$57))</f>
        <v>0</v>
      </c>
      <c r="AJ11" s="25">
        <f>MIN(0.88,MAX(0.35,AI11+'Assumptions'!$F$57))</f>
        <v>0</v>
      </c>
      <c r="AK11" s="25">
        <f>MIN(0.88,MAX(0.35,AJ11+'Assumptions'!$F$57))</f>
        <v>0</v>
      </c>
      <c r="AL11" s="25">
        <f>MIN(0.88,MAX(0.35,AK11+'Assumptions'!$F$57))</f>
        <v>0</v>
      </c>
      <c r="AN11" s="25">
        <f>AVERAGE(C11:E11)</f>
        <v>0</v>
      </c>
      <c r="AO11" s="25">
        <f>AVERAGE(F11:H11)</f>
        <v>0</v>
      </c>
      <c r="AP11" s="25">
        <f>AVERAGE(I11:K11)</f>
        <v>0</v>
      </c>
      <c r="AQ11" s="25">
        <f>AVERAGE(L11:N11)</f>
        <v>0</v>
      </c>
      <c r="AR11" s="25">
        <f>AVERAGE(O11:Q11)</f>
        <v>0</v>
      </c>
      <c r="AS11" s="25">
        <f>AVERAGE(R11:T11)</f>
        <v>0</v>
      </c>
      <c r="AT11" s="25">
        <f>AVERAGE(U11:W11)</f>
        <v>0</v>
      </c>
      <c r="AU11" s="25">
        <f>AVERAGE(X11:Z11)</f>
        <v>0</v>
      </c>
      <c r="AV11" s="25">
        <f>AVERAGE(AA11:AC11)</f>
        <v>0</v>
      </c>
      <c r="AW11" s="25">
        <f>AVERAGE(AD11:AF11)</f>
        <v>0</v>
      </c>
      <c r="AX11" s="25">
        <f>AVERAGE(AG11:AI11)</f>
        <v>0</v>
      </c>
      <c r="AY11" s="25">
        <f>AVERAGE(AJ11:AL11)</f>
        <v>0</v>
      </c>
      <c r="BA11" s="25">
        <f>AVERAGE(C11:N11)</f>
        <v>0</v>
      </c>
      <c r="BB11" s="25">
        <f>AVERAGE(O11:Z11)</f>
        <v>0</v>
      </c>
      <c r="BC11" s="25">
        <f>AVERAGE(AA11:AL11)</f>
        <v>0</v>
      </c>
    </row>
    <row r="12" spans="1:55">
      <c r="A12" s="18" t="s">
        <v>306</v>
      </c>
      <c r="B12" s="16" t="s">
        <v>307</v>
      </c>
      <c r="C12" s="32">
        <f>('Assumptions'!$F$55*'Assumptions'!$F$49/MAX(0.35,C11)+(1-'Assumptions'!$F$55)*'Assumptions'!$F$50)</f>
        <v>0</v>
      </c>
      <c r="D12" s="32">
        <f>('Assumptions'!$F$55*'Assumptions'!$F$49/MAX(0.35,D11)+(1-'Assumptions'!$F$55)*'Assumptions'!$F$50)</f>
        <v>0</v>
      </c>
      <c r="E12" s="32">
        <f>('Assumptions'!$F$55*'Assumptions'!$F$49/MAX(0.35,E11)+(1-'Assumptions'!$F$55)*'Assumptions'!$F$50)</f>
        <v>0</v>
      </c>
      <c r="F12" s="32">
        <f>('Assumptions'!$F$55*'Assumptions'!$F$49/MAX(0.35,F11)+(1-'Assumptions'!$F$55)*'Assumptions'!$F$50)</f>
        <v>0</v>
      </c>
      <c r="G12" s="32">
        <f>('Assumptions'!$F$55*'Assumptions'!$F$49/MAX(0.35,G11)+(1-'Assumptions'!$F$55)*'Assumptions'!$F$50)</f>
        <v>0</v>
      </c>
      <c r="H12" s="32">
        <f>('Assumptions'!$F$55*'Assumptions'!$F$49/MAX(0.35,H11)+(1-'Assumptions'!$F$55)*'Assumptions'!$F$50)</f>
        <v>0</v>
      </c>
      <c r="I12" s="32">
        <f>('Assumptions'!$F$55*'Assumptions'!$F$49/MAX(0.35,I11)+(1-'Assumptions'!$F$55)*'Assumptions'!$F$50)</f>
        <v>0</v>
      </c>
      <c r="J12" s="32">
        <f>('Assumptions'!$F$55*'Assumptions'!$F$49/MAX(0.35,J11)+(1-'Assumptions'!$F$55)*'Assumptions'!$F$50)</f>
        <v>0</v>
      </c>
      <c r="K12" s="32">
        <f>('Assumptions'!$F$55*'Assumptions'!$F$49/MAX(0.35,K11)+(1-'Assumptions'!$F$55)*'Assumptions'!$F$50)</f>
        <v>0</v>
      </c>
      <c r="L12" s="32">
        <f>('Assumptions'!$F$55*'Assumptions'!$F$49/MAX(0.35,L11)+(1-'Assumptions'!$F$55)*'Assumptions'!$F$50)</f>
        <v>0</v>
      </c>
      <c r="M12" s="32">
        <f>('Assumptions'!$F$55*'Assumptions'!$F$49/MAX(0.35,M11)+(1-'Assumptions'!$F$55)*'Assumptions'!$F$50)</f>
        <v>0</v>
      </c>
      <c r="N12" s="32">
        <f>('Assumptions'!$F$55*'Assumptions'!$F$49/MAX(0.35,N11)+(1-'Assumptions'!$F$55)*'Assumptions'!$F$50)</f>
        <v>0</v>
      </c>
      <c r="O12" s="32">
        <f>('Assumptions'!$F$55*'Assumptions'!$F$49/MAX(0.35,O11)+(1-'Assumptions'!$F$55)*'Assumptions'!$F$50)</f>
        <v>0</v>
      </c>
      <c r="P12" s="32">
        <f>('Assumptions'!$F$55*'Assumptions'!$F$49/MAX(0.35,P11)+(1-'Assumptions'!$F$55)*'Assumptions'!$F$50)</f>
        <v>0</v>
      </c>
      <c r="Q12" s="32">
        <f>('Assumptions'!$F$55*'Assumptions'!$F$49/MAX(0.35,Q11)+(1-'Assumptions'!$F$55)*'Assumptions'!$F$50)</f>
        <v>0</v>
      </c>
      <c r="R12" s="32">
        <f>('Assumptions'!$F$55*'Assumptions'!$F$49/MAX(0.35,R11)+(1-'Assumptions'!$F$55)*'Assumptions'!$F$50)</f>
        <v>0</v>
      </c>
      <c r="S12" s="32">
        <f>('Assumptions'!$F$55*'Assumptions'!$F$49/MAX(0.35,S11)+(1-'Assumptions'!$F$55)*'Assumptions'!$F$50)</f>
        <v>0</v>
      </c>
      <c r="T12" s="32">
        <f>('Assumptions'!$F$55*'Assumptions'!$F$49/MAX(0.35,T11)+(1-'Assumptions'!$F$55)*'Assumptions'!$F$50)</f>
        <v>0</v>
      </c>
      <c r="U12" s="32">
        <f>('Assumptions'!$F$55*'Assumptions'!$F$49/MAX(0.35,U11)+(1-'Assumptions'!$F$55)*'Assumptions'!$F$50)</f>
        <v>0</v>
      </c>
      <c r="V12" s="32">
        <f>('Assumptions'!$F$55*'Assumptions'!$F$49/MAX(0.35,V11)+(1-'Assumptions'!$F$55)*'Assumptions'!$F$50)</f>
        <v>0</v>
      </c>
      <c r="W12" s="32">
        <f>('Assumptions'!$F$55*'Assumptions'!$F$49/MAX(0.35,W11)+(1-'Assumptions'!$F$55)*'Assumptions'!$F$50)</f>
        <v>0</v>
      </c>
      <c r="X12" s="32">
        <f>('Assumptions'!$F$55*'Assumptions'!$F$49/MAX(0.35,X11)+(1-'Assumptions'!$F$55)*'Assumptions'!$F$50)</f>
        <v>0</v>
      </c>
      <c r="Y12" s="32">
        <f>('Assumptions'!$F$55*'Assumptions'!$F$49/MAX(0.35,Y11)+(1-'Assumptions'!$F$55)*'Assumptions'!$F$50)</f>
        <v>0</v>
      </c>
      <c r="Z12" s="32">
        <f>('Assumptions'!$F$55*'Assumptions'!$F$49/MAX(0.35,Z11)+(1-'Assumptions'!$F$55)*'Assumptions'!$F$50)</f>
        <v>0</v>
      </c>
      <c r="AA12" s="32">
        <f>('Assumptions'!$F$55*'Assumptions'!$F$49/MAX(0.35,AA11)+(1-'Assumptions'!$F$55)*'Assumptions'!$F$50)</f>
        <v>0</v>
      </c>
      <c r="AB12" s="32">
        <f>('Assumptions'!$F$55*'Assumptions'!$F$49/MAX(0.35,AB11)+(1-'Assumptions'!$F$55)*'Assumptions'!$F$50)</f>
        <v>0</v>
      </c>
      <c r="AC12" s="32">
        <f>('Assumptions'!$F$55*'Assumptions'!$F$49/MAX(0.35,AC11)+(1-'Assumptions'!$F$55)*'Assumptions'!$F$50)</f>
        <v>0</v>
      </c>
      <c r="AD12" s="32">
        <f>('Assumptions'!$F$55*'Assumptions'!$F$49/MAX(0.35,AD11)+(1-'Assumptions'!$F$55)*'Assumptions'!$F$50)</f>
        <v>0</v>
      </c>
      <c r="AE12" s="32">
        <f>('Assumptions'!$F$55*'Assumptions'!$F$49/MAX(0.35,AE11)+(1-'Assumptions'!$F$55)*'Assumptions'!$F$50)</f>
        <v>0</v>
      </c>
      <c r="AF12" s="32">
        <f>('Assumptions'!$F$55*'Assumptions'!$F$49/MAX(0.35,AF11)+(1-'Assumptions'!$F$55)*'Assumptions'!$F$50)</f>
        <v>0</v>
      </c>
      <c r="AG12" s="32">
        <f>('Assumptions'!$F$55*'Assumptions'!$F$49/MAX(0.35,AG11)+(1-'Assumptions'!$F$55)*'Assumptions'!$F$50)</f>
        <v>0</v>
      </c>
      <c r="AH12" s="32">
        <f>('Assumptions'!$F$55*'Assumptions'!$F$49/MAX(0.35,AH11)+(1-'Assumptions'!$F$55)*'Assumptions'!$F$50)</f>
        <v>0</v>
      </c>
      <c r="AI12" s="32">
        <f>('Assumptions'!$F$55*'Assumptions'!$F$49/MAX(0.35,AI11)+(1-'Assumptions'!$F$55)*'Assumptions'!$F$50)</f>
        <v>0</v>
      </c>
      <c r="AJ12" s="32">
        <f>('Assumptions'!$F$55*'Assumptions'!$F$49/MAX(0.35,AJ11)+(1-'Assumptions'!$F$55)*'Assumptions'!$F$50)</f>
        <v>0</v>
      </c>
      <c r="AK12" s="32">
        <f>('Assumptions'!$F$55*'Assumptions'!$F$49/MAX(0.35,AK11)+(1-'Assumptions'!$F$55)*'Assumptions'!$F$50)</f>
        <v>0</v>
      </c>
      <c r="AL12" s="32">
        <f>('Assumptions'!$F$55*'Assumptions'!$F$49/MAX(0.35,AL11)+(1-'Assumptions'!$F$55)*'Assumptions'!$F$50)</f>
        <v>0</v>
      </c>
      <c r="AN12" s="32">
        <f>AVERAGE(C12:E12)</f>
        <v>0</v>
      </c>
      <c r="AO12" s="32">
        <f>AVERAGE(F12:H12)</f>
        <v>0</v>
      </c>
      <c r="AP12" s="32">
        <f>AVERAGE(I12:K12)</f>
        <v>0</v>
      </c>
      <c r="AQ12" s="32">
        <f>AVERAGE(L12:N12)</f>
        <v>0</v>
      </c>
      <c r="AR12" s="32">
        <f>AVERAGE(O12:Q12)</f>
        <v>0</v>
      </c>
      <c r="AS12" s="32">
        <f>AVERAGE(R12:T12)</f>
        <v>0</v>
      </c>
      <c r="AT12" s="32">
        <f>AVERAGE(U12:W12)</f>
        <v>0</v>
      </c>
      <c r="AU12" s="32">
        <f>AVERAGE(X12:Z12)</f>
        <v>0</v>
      </c>
      <c r="AV12" s="32">
        <f>AVERAGE(AA12:AC12)</f>
        <v>0</v>
      </c>
      <c r="AW12" s="32">
        <f>AVERAGE(AD12:AF12)</f>
        <v>0</v>
      </c>
      <c r="AX12" s="32">
        <f>AVERAGE(AG12:AI12)</f>
        <v>0</v>
      </c>
      <c r="AY12" s="32">
        <f>AVERAGE(AJ12:AL12)</f>
        <v>0</v>
      </c>
      <c r="BA12" s="32">
        <f>AVERAGE(C12:N12)</f>
        <v>0</v>
      </c>
      <c r="BB12" s="32">
        <f>AVERAGE(O12:Z12)</f>
        <v>0</v>
      </c>
      <c r="BC12" s="32">
        <f>AVERAGE(AA12:AL12)</f>
        <v>0</v>
      </c>
    </row>
    <row r="13" spans="1:55">
      <c r="A13" s="18" t="s">
        <v>308</v>
      </c>
      <c r="B13" s="16" t="s">
        <v>309</v>
      </c>
      <c r="C13" s="32">
        <f>('Assumptions'!$F$51*(1-'Revenue'!C32)+'Assumptions'!$F$52*'Revenue'!C32)</f>
        <v>0</v>
      </c>
      <c r="D13" s="32">
        <f>('Assumptions'!$F$51*(1-'Revenue'!D32)+'Assumptions'!$F$52*'Revenue'!D32)</f>
        <v>0</v>
      </c>
      <c r="E13" s="32">
        <f>('Assumptions'!$F$51*(1-'Revenue'!E32)+'Assumptions'!$F$52*'Revenue'!E32)</f>
        <v>0</v>
      </c>
      <c r="F13" s="32">
        <f>('Assumptions'!$F$51*(1-'Revenue'!F32)+'Assumptions'!$F$52*'Revenue'!F32)</f>
        <v>0</v>
      </c>
      <c r="G13" s="32">
        <f>('Assumptions'!$F$51*(1-'Revenue'!G32)+'Assumptions'!$F$52*'Revenue'!G32)</f>
        <v>0</v>
      </c>
      <c r="H13" s="32">
        <f>('Assumptions'!$F$51*(1-'Revenue'!H32)+'Assumptions'!$F$52*'Revenue'!H32)</f>
        <v>0</v>
      </c>
      <c r="I13" s="32">
        <f>('Assumptions'!$F$51*(1-'Revenue'!I32)+'Assumptions'!$F$52*'Revenue'!I32)</f>
        <v>0</v>
      </c>
      <c r="J13" s="32">
        <f>('Assumptions'!$F$51*(1-'Revenue'!J32)+'Assumptions'!$F$52*'Revenue'!J32)</f>
        <v>0</v>
      </c>
      <c r="K13" s="32">
        <f>('Assumptions'!$F$51*(1-'Revenue'!K32)+'Assumptions'!$F$52*'Revenue'!K32)</f>
        <v>0</v>
      </c>
      <c r="L13" s="32">
        <f>('Assumptions'!$F$51*(1-'Revenue'!L32)+'Assumptions'!$F$52*'Revenue'!L32)</f>
        <v>0</v>
      </c>
      <c r="M13" s="32">
        <f>('Assumptions'!$F$51*(1-'Revenue'!M32)+'Assumptions'!$F$52*'Revenue'!M32)</f>
        <v>0</v>
      </c>
      <c r="N13" s="32">
        <f>('Assumptions'!$F$51*(1-'Revenue'!N32)+'Assumptions'!$F$52*'Revenue'!N32)</f>
        <v>0</v>
      </c>
      <c r="O13" s="32">
        <f>('Assumptions'!$F$51*(1-'Revenue'!O32)+'Assumptions'!$F$52*'Revenue'!O32)</f>
        <v>0</v>
      </c>
      <c r="P13" s="32">
        <f>('Assumptions'!$F$51*(1-'Revenue'!P32)+'Assumptions'!$F$52*'Revenue'!P32)</f>
        <v>0</v>
      </c>
      <c r="Q13" s="32">
        <f>('Assumptions'!$F$51*(1-'Revenue'!Q32)+'Assumptions'!$F$52*'Revenue'!Q32)</f>
        <v>0</v>
      </c>
      <c r="R13" s="32">
        <f>('Assumptions'!$F$51*(1-'Revenue'!R32)+'Assumptions'!$F$52*'Revenue'!R32)</f>
        <v>0</v>
      </c>
      <c r="S13" s="32">
        <f>('Assumptions'!$F$51*(1-'Revenue'!S32)+'Assumptions'!$F$52*'Revenue'!S32)</f>
        <v>0</v>
      </c>
      <c r="T13" s="32">
        <f>('Assumptions'!$F$51*(1-'Revenue'!T32)+'Assumptions'!$F$52*'Revenue'!T32)</f>
        <v>0</v>
      </c>
      <c r="U13" s="32">
        <f>('Assumptions'!$F$51*(1-'Revenue'!U32)+'Assumptions'!$F$52*'Revenue'!U32)</f>
        <v>0</v>
      </c>
      <c r="V13" s="32">
        <f>('Assumptions'!$F$51*(1-'Revenue'!V32)+'Assumptions'!$F$52*'Revenue'!V32)</f>
        <v>0</v>
      </c>
      <c r="W13" s="32">
        <f>('Assumptions'!$F$51*(1-'Revenue'!W32)+'Assumptions'!$F$52*'Revenue'!W32)</f>
        <v>0</v>
      </c>
      <c r="X13" s="32">
        <f>('Assumptions'!$F$51*(1-'Revenue'!X32)+'Assumptions'!$F$52*'Revenue'!X32)</f>
        <v>0</v>
      </c>
      <c r="Y13" s="32">
        <f>('Assumptions'!$F$51*(1-'Revenue'!Y32)+'Assumptions'!$F$52*'Revenue'!Y32)</f>
        <v>0</v>
      </c>
      <c r="Z13" s="32">
        <f>('Assumptions'!$F$51*(1-'Revenue'!Z32)+'Assumptions'!$F$52*'Revenue'!Z32)</f>
        <v>0</v>
      </c>
      <c r="AA13" s="32">
        <f>('Assumptions'!$F$51*(1-'Revenue'!AA32)+'Assumptions'!$F$52*'Revenue'!AA32)</f>
        <v>0</v>
      </c>
      <c r="AB13" s="32">
        <f>('Assumptions'!$F$51*(1-'Revenue'!AB32)+'Assumptions'!$F$52*'Revenue'!AB32)</f>
        <v>0</v>
      </c>
      <c r="AC13" s="32">
        <f>('Assumptions'!$F$51*(1-'Revenue'!AC32)+'Assumptions'!$F$52*'Revenue'!AC32)</f>
        <v>0</v>
      </c>
      <c r="AD13" s="32">
        <f>('Assumptions'!$F$51*(1-'Revenue'!AD32)+'Assumptions'!$F$52*'Revenue'!AD32)</f>
        <v>0</v>
      </c>
      <c r="AE13" s="32">
        <f>('Assumptions'!$F$51*(1-'Revenue'!AE32)+'Assumptions'!$F$52*'Revenue'!AE32)</f>
        <v>0</v>
      </c>
      <c r="AF13" s="32">
        <f>('Assumptions'!$F$51*(1-'Revenue'!AF32)+'Assumptions'!$F$52*'Revenue'!AF32)</f>
        <v>0</v>
      </c>
      <c r="AG13" s="32">
        <f>('Assumptions'!$F$51*(1-'Revenue'!AG32)+'Assumptions'!$F$52*'Revenue'!AG32)</f>
        <v>0</v>
      </c>
      <c r="AH13" s="32">
        <f>('Assumptions'!$F$51*(1-'Revenue'!AH32)+'Assumptions'!$F$52*'Revenue'!AH32)</f>
        <v>0</v>
      </c>
      <c r="AI13" s="32">
        <f>('Assumptions'!$F$51*(1-'Revenue'!AI32)+'Assumptions'!$F$52*'Revenue'!AI32)</f>
        <v>0</v>
      </c>
      <c r="AJ13" s="32">
        <f>('Assumptions'!$F$51*(1-'Revenue'!AJ32)+'Assumptions'!$F$52*'Revenue'!AJ32)</f>
        <v>0</v>
      </c>
      <c r="AK13" s="32">
        <f>('Assumptions'!$F$51*(1-'Revenue'!AK32)+'Assumptions'!$F$52*'Revenue'!AK32)</f>
        <v>0</v>
      </c>
      <c r="AL13" s="32">
        <f>('Assumptions'!$F$51*(1-'Revenue'!AL32)+'Assumptions'!$F$52*'Revenue'!AL32)</f>
        <v>0</v>
      </c>
      <c r="AN13" s="32">
        <f>AVERAGE(C13:E13)</f>
        <v>0</v>
      </c>
      <c r="AO13" s="32">
        <f>AVERAGE(F13:H13)</f>
        <v>0</v>
      </c>
      <c r="AP13" s="32">
        <f>AVERAGE(I13:K13)</f>
        <v>0</v>
      </c>
      <c r="AQ13" s="32">
        <f>AVERAGE(L13:N13)</f>
        <v>0</v>
      </c>
      <c r="AR13" s="32">
        <f>AVERAGE(O13:Q13)</f>
        <v>0</v>
      </c>
      <c r="AS13" s="32">
        <f>AVERAGE(R13:T13)</f>
        <v>0</v>
      </c>
      <c r="AT13" s="32">
        <f>AVERAGE(U13:W13)</f>
        <v>0</v>
      </c>
      <c r="AU13" s="32">
        <f>AVERAGE(X13:Z13)</f>
        <v>0</v>
      </c>
      <c r="AV13" s="32">
        <f>AVERAGE(AA13:AC13)</f>
        <v>0</v>
      </c>
      <c r="AW13" s="32">
        <f>AVERAGE(AD13:AF13)</f>
        <v>0</v>
      </c>
      <c r="AX13" s="32">
        <f>AVERAGE(AG13:AI13)</f>
        <v>0</v>
      </c>
      <c r="AY13" s="32">
        <f>AVERAGE(AJ13:AL13)</f>
        <v>0</v>
      </c>
      <c r="BA13" s="32">
        <f>AVERAGE(C13:N13)</f>
        <v>0</v>
      </c>
      <c r="BB13" s="32">
        <f>AVERAGE(O13:Z13)</f>
        <v>0</v>
      </c>
      <c r="BC13" s="32">
        <f>AVERAGE(AA13:AL13)</f>
        <v>0</v>
      </c>
    </row>
    <row r="14" spans="1:55" ht="5" customHeight="1"/>
    <row r="15" spans="1:55" ht="16" customHeight="1">
      <c r="A15" s="14" t="s">
        <v>310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</row>
    <row r="16" spans="1:55">
      <c r="A16" s="18" t="s">
        <v>311</v>
      </c>
      <c r="B16" s="16"/>
      <c r="C16" s="20">
        <f>C10*C12</f>
        <v>0</v>
      </c>
      <c r="D16" s="20">
        <f>D10*D12</f>
        <v>0</v>
      </c>
      <c r="E16" s="20">
        <f>E10*E12</f>
        <v>0</v>
      </c>
      <c r="F16" s="20">
        <f>F10*F12</f>
        <v>0</v>
      </c>
      <c r="G16" s="20">
        <f>G10*G12</f>
        <v>0</v>
      </c>
      <c r="H16" s="20">
        <f>H10*H12</f>
        <v>0</v>
      </c>
      <c r="I16" s="20">
        <f>I10*I12</f>
        <v>0</v>
      </c>
      <c r="J16" s="20">
        <f>J10*J12</f>
        <v>0</v>
      </c>
      <c r="K16" s="20">
        <f>K10*K12</f>
        <v>0</v>
      </c>
      <c r="L16" s="20">
        <f>L10*L12</f>
        <v>0</v>
      </c>
      <c r="M16" s="20">
        <f>M10*M12</f>
        <v>0</v>
      </c>
      <c r="N16" s="20">
        <f>N10*N12</f>
        <v>0</v>
      </c>
      <c r="O16" s="20">
        <f>O10*O12</f>
        <v>0</v>
      </c>
      <c r="P16" s="20">
        <f>P10*P12</f>
        <v>0</v>
      </c>
      <c r="Q16" s="20">
        <f>Q10*Q12</f>
        <v>0</v>
      </c>
      <c r="R16" s="20">
        <f>R10*R12</f>
        <v>0</v>
      </c>
      <c r="S16" s="20">
        <f>S10*S12</f>
        <v>0</v>
      </c>
      <c r="T16" s="20">
        <f>T10*T12</f>
        <v>0</v>
      </c>
      <c r="U16" s="20">
        <f>U10*U12</f>
        <v>0</v>
      </c>
      <c r="V16" s="20">
        <f>V10*V12</f>
        <v>0</v>
      </c>
      <c r="W16" s="20">
        <f>W10*W12</f>
        <v>0</v>
      </c>
      <c r="X16" s="20">
        <f>X10*X12</f>
        <v>0</v>
      </c>
      <c r="Y16" s="20">
        <f>Y10*Y12</f>
        <v>0</v>
      </c>
      <c r="Z16" s="20">
        <f>Z10*Z12</f>
        <v>0</v>
      </c>
      <c r="AA16" s="20">
        <f>AA10*AA12</f>
        <v>0</v>
      </c>
      <c r="AB16" s="20">
        <f>AB10*AB12</f>
        <v>0</v>
      </c>
      <c r="AC16" s="20">
        <f>AC10*AC12</f>
        <v>0</v>
      </c>
      <c r="AD16" s="20">
        <f>AD10*AD12</f>
        <v>0</v>
      </c>
      <c r="AE16" s="20">
        <f>AE10*AE12</f>
        <v>0</v>
      </c>
      <c r="AF16" s="20">
        <f>AF10*AF12</f>
        <v>0</v>
      </c>
      <c r="AG16" s="20">
        <f>AG10*AG12</f>
        <v>0</v>
      </c>
      <c r="AH16" s="20">
        <f>AH10*AH12</f>
        <v>0</v>
      </c>
      <c r="AI16" s="20">
        <f>AI10*AI12</f>
        <v>0</v>
      </c>
      <c r="AJ16" s="20">
        <f>AJ10*AJ12</f>
        <v>0</v>
      </c>
      <c r="AK16" s="20">
        <f>AK10*AK12</f>
        <v>0</v>
      </c>
      <c r="AL16" s="20">
        <f>AL10*AL12</f>
        <v>0</v>
      </c>
      <c r="AN16" s="20">
        <f>SUM(C16:E16)</f>
        <v>0</v>
      </c>
      <c r="AO16" s="20">
        <f>SUM(F16:H16)</f>
        <v>0</v>
      </c>
      <c r="AP16" s="20">
        <f>SUM(I16:K16)</f>
        <v>0</v>
      </c>
      <c r="AQ16" s="20">
        <f>SUM(L16:N16)</f>
        <v>0</v>
      </c>
      <c r="AR16" s="20">
        <f>SUM(O16:Q16)</f>
        <v>0</v>
      </c>
      <c r="AS16" s="20">
        <f>SUM(R16:T16)</f>
        <v>0</v>
      </c>
      <c r="AT16" s="20">
        <f>SUM(U16:W16)</f>
        <v>0</v>
      </c>
      <c r="AU16" s="20">
        <f>SUM(X16:Z16)</f>
        <v>0</v>
      </c>
      <c r="AV16" s="20">
        <f>SUM(AA16:AC16)</f>
        <v>0</v>
      </c>
      <c r="AW16" s="20">
        <f>SUM(AD16:AF16)</f>
        <v>0</v>
      </c>
      <c r="AX16" s="20">
        <f>SUM(AG16:AI16)</f>
        <v>0</v>
      </c>
      <c r="AY16" s="20">
        <f>SUM(AJ16:AL16)</f>
        <v>0</v>
      </c>
      <c r="BA16" s="20">
        <f>SUM(C16:N16)</f>
        <v>0</v>
      </c>
      <c r="BB16" s="20">
        <f>SUM(O16:Z16)</f>
        <v>0</v>
      </c>
      <c r="BC16" s="20">
        <f>SUM(AA16:AL16)</f>
        <v>0</v>
      </c>
    </row>
    <row r="17" spans="1:55">
      <c r="A17" s="18" t="s">
        <v>312</v>
      </c>
      <c r="B17" s="16"/>
      <c r="C17" s="20">
        <f>C10*C13</f>
        <v>0</v>
      </c>
      <c r="D17" s="20">
        <f>D10*D13</f>
        <v>0</v>
      </c>
      <c r="E17" s="20">
        <f>E10*E13</f>
        <v>0</v>
      </c>
      <c r="F17" s="20">
        <f>F10*F13</f>
        <v>0</v>
      </c>
      <c r="G17" s="20">
        <f>G10*G13</f>
        <v>0</v>
      </c>
      <c r="H17" s="20">
        <f>H10*H13</f>
        <v>0</v>
      </c>
      <c r="I17" s="20">
        <f>I10*I13</f>
        <v>0</v>
      </c>
      <c r="J17" s="20">
        <f>J10*J13</f>
        <v>0</v>
      </c>
      <c r="K17" s="20">
        <f>K10*K13</f>
        <v>0</v>
      </c>
      <c r="L17" s="20">
        <f>L10*L13</f>
        <v>0</v>
      </c>
      <c r="M17" s="20">
        <f>M10*M13</f>
        <v>0</v>
      </c>
      <c r="N17" s="20">
        <f>N10*N13</f>
        <v>0</v>
      </c>
      <c r="O17" s="20">
        <f>O10*O13</f>
        <v>0</v>
      </c>
      <c r="P17" s="20">
        <f>P10*P13</f>
        <v>0</v>
      </c>
      <c r="Q17" s="20">
        <f>Q10*Q13</f>
        <v>0</v>
      </c>
      <c r="R17" s="20">
        <f>R10*R13</f>
        <v>0</v>
      </c>
      <c r="S17" s="20">
        <f>S10*S13</f>
        <v>0</v>
      </c>
      <c r="T17" s="20">
        <f>T10*T13</f>
        <v>0</v>
      </c>
      <c r="U17" s="20">
        <f>U10*U13</f>
        <v>0</v>
      </c>
      <c r="V17" s="20">
        <f>V10*V13</f>
        <v>0</v>
      </c>
      <c r="W17" s="20">
        <f>W10*W13</f>
        <v>0</v>
      </c>
      <c r="X17" s="20">
        <f>X10*X13</f>
        <v>0</v>
      </c>
      <c r="Y17" s="20">
        <f>Y10*Y13</f>
        <v>0</v>
      </c>
      <c r="Z17" s="20">
        <f>Z10*Z13</f>
        <v>0</v>
      </c>
      <c r="AA17" s="20">
        <f>AA10*AA13</f>
        <v>0</v>
      </c>
      <c r="AB17" s="20">
        <f>AB10*AB13</f>
        <v>0</v>
      </c>
      <c r="AC17" s="20">
        <f>AC10*AC13</f>
        <v>0</v>
      </c>
      <c r="AD17" s="20">
        <f>AD10*AD13</f>
        <v>0</v>
      </c>
      <c r="AE17" s="20">
        <f>AE10*AE13</f>
        <v>0</v>
      </c>
      <c r="AF17" s="20">
        <f>AF10*AF13</f>
        <v>0</v>
      </c>
      <c r="AG17" s="20">
        <f>AG10*AG13</f>
        <v>0</v>
      </c>
      <c r="AH17" s="20">
        <f>AH10*AH13</f>
        <v>0</v>
      </c>
      <c r="AI17" s="20">
        <f>AI10*AI13</f>
        <v>0</v>
      </c>
      <c r="AJ17" s="20">
        <f>AJ10*AJ13</f>
        <v>0</v>
      </c>
      <c r="AK17" s="20">
        <f>AK10*AK13</f>
        <v>0</v>
      </c>
      <c r="AL17" s="20">
        <f>AL10*AL13</f>
        <v>0</v>
      </c>
      <c r="AN17" s="20">
        <f>SUM(C17:E17)</f>
        <v>0</v>
      </c>
      <c r="AO17" s="20">
        <f>SUM(F17:H17)</f>
        <v>0</v>
      </c>
      <c r="AP17" s="20">
        <f>SUM(I17:K17)</f>
        <v>0</v>
      </c>
      <c r="AQ17" s="20">
        <f>SUM(L17:N17)</f>
        <v>0</v>
      </c>
      <c r="AR17" s="20">
        <f>SUM(O17:Q17)</f>
        <v>0</v>
      </c>
      <c r="AS17" s="20">
        <f>SUM(R17:T17)</f>
        <v>0</v>
      </c>
      <c r="AT17" s="20">
        <f>SUM(U17:W17)</f>
        <v>0</v>
      </c>
      <c r="AU17" s="20">
        <f>SUM(X17:Z17)</f>
        <v>0</v>
      </c>
      <c r="AV17" s="20">
        <f>SUM(AA17:AC17)</f>
        <v>0</v>
      </c>
      <c r="AW17" s="20">
        <f>SUM(AD17:AF17)</f>
        <v>0</v>
      </c>
      <c r="AX17" s="20">
        <f>SUM(AG17:AI17)</f>
        <v>0</v>
      </c>
      <c r="AY17" s="20">
        <f>SUM(AJ17:AL17)</f>
        <v>0</v>
      </c>
      <c r="BA17" s="20">
        <f>SUM(C17:N17)</f>
        <v>0</v>
      </c>
      <c r="BB17" s="20">
        <f>SUM(O17:Z17)</f>
        <v>0</v>
      </c>
      <c r="BC17" s="20">
        <f>SUM(AA17:AL17)</f>
        <v>0</v>
      </c>
    </row>
    <row r="18" spans="1:55">
      <c r="A18" s="18" t="s">
        <v>313</v>
      </c>
      <c r="B18" s="16"/>
      <c r="C18" s="20">
        <f>'Revenue'!C55*'Assumptions'!$F$53</f>
        <v>0</v>
      </c>
      <c r="D18" s="20">
        <f>'Revenue'!D55*'Assumptions'!$F$53</f>
        <v>0</v>
      </c>
      <c r="E18" s="20">
        <f>'Revenue'!E55*'Assumptions'!$F$53</f>
        <v>0</v>
      </c>
      <c r="F18" s="20">
        <f>'Revenue'!F55*'Assumptions'!$F$53</f>
        <v>0</v>
      </c>
      <c r="G18" s="20">
        <f>'Revenue'!G55*'Assumptions'!$F$53</f>
        <v>0</v>
      </c>
      <c r="H18" s="20">
        <f>'Revenue'!H55*'Assumptions'!$F$53</f>
        <v>0</v>
      </c>
      <c r="I18" s="20">
        <f>'Revenue'!I55*'Assumptions'!$F$53</f>
        <v>0</v>
      </c>
      <c r="J18" s="20">
        <f>'Revenue'!J55*'Assumptions'!$F$53</f>
        <v>0</v>
      </c>
      <c r="K18" s="20">
        <f>'Revenue'!K55*'Assumptions'!$F$53</f>
        <v>0</v>
      </c>
      <c r="L18" s="20">
        <f>'Revenue'!L55*'Assumptions'!$F$53</f>
        <v>0</v>
      </c>
      <c r="M18" s="20">
        <f>'Revenue'!M55*'Assumptions'!$F$53</f>
        <v>0</v>
      </c>
      <c r="N18" s="20">
        <f>'Revenue'!N55*'Assumptions'!$F$53</f>
        <v>0</v>
      </c>
      <c r="O18" s="20">
        <f>'Revenue'!O55*'Assumptions'!$F$53</f>
        <v>0</v>
      </c>
      <c r="P18" s="20">
        <f>'Revenue'!P55*'Assumptions'!$F$53</f>
        <v>0</v>
      </c>
      <c r="Q18" s="20">
        <f>'Revenue'!Q55*'Assumptions'!$F$53</f>
        <v>0</v>
      </c>
      <c r="R18" s="20">
        <f>'Revenue'!R55*'Assumptions'!$F$53</f>
        <v>0</v>
      </c>
      <c r="S18" s="20">
        <f>'Revenue'!S55*'Assumptions'!$F$53</f>
        <v>0</v>
      </c>
      <c r="T18" s="20">
        <f>'Revenue'!T55*'Assumptions'!$F$53</f>
        <v>0</v>
      </c>
      <c r="U18" s="20">
        <f>'Revenue'!U55*'Assumptions'!$F$53</f>
        <v>0</v>
      </c>
      <c r="V18" s="20">
        <f>'Revenue'!V55*'Assumptions'!$F$53</f>
        <v>0</v>
      </c>
      <c r="W18" s="20">
        <f>'Revenue'!W55*'Assumptions'!$F$53</f>
        <v>0</v>
      </c>
      <c r="X18" s="20">
        <f>'Revenue'!X55*'Assumptions'!$F$53</f>
        <v>0</v>
      </c>
      <c r="Y18" s="20">
        <f>'Revenue'!Y55*'Assumptions'!$F$53</f>
        <v>0</v>
      </c>
      <c r="Z18" s="20">
        <f>'Revenue'!Z55*'Assumptions'!$F$53</f>
        <v>0</v>
      </c>
      <c r="AA18" s="20">
        <f>'Revenue'!AA55*'Assumptions'!$F$53</f>
        <v>0</v>
      </c>
      <c r="AB18" s="20">
        <f>'Revenue'!AB55*'Assumptions'!$F$53</f>
        <v>0</v>
      </c>
      <c r="AC18" s="20">
        <f>'Revenue'!AC55*'Assumptions'!$F$53</f>
        <v>0</v>
      </c>
      <c r="AD18" s="20">
        <f>'Revenue'!AD55*'Assumptions'!$F$53</f>
        <v>0</v>
      </c>
      <c r="AE18" s="20">
        <f>'Revenue'!AE55*'Assumptions'!$F$53</f>
        <v>0</v>
      </c>
      <c r="AF18" s="20">
        <f>'Revenue'!AF55*'Assumptions'!$F$53</f>
        <v>0</v>
      </c>
      <c r="AG18" s="20">
        <f>'Revenue'!AG55*'Assumptions'!$F$53</f>
        <v>0</v>
      </c>
      <c r="AH18" s="20">
        <f>'Revenue'!AH55*'Assumptions'!$F$53</f>
        <v>0</v>
      </c>
      <c r="AI18" s="20">
        <f>'Revenue'!AI55*'Assumptions'!$F$53</f>
        <v>0</v>
      </c>
      <c r="AJ18" s="20">
        <f>'Revenue'!AJ55*'Assumptions'!$F$53</f>
        <v>0</v>
      </c>
      <c r="AK18" s="20">
        <f>'Revenue'!AK55*'Assumptions'!$F$53</f>
        <v>0</v>
      </c>
      <c r="AL18" s="20">
        <f>'Revenue'!AL55*'Assumptions'!$F$53</f>
        <v>0</v>
      </c>
      <c r="AN18" s="20">
        <f>SUM(C18:E18)</f>
        <v>0</v>
      </c>
      <c r="AO18" s="20">
        <f>SUM(F18:H18)</f>
        <v>0</v>
      </c>
      <c r="AP18" s="20">
        <f>SUM(I18:K18)</f>
        <v>0</v>
      </c>
      <c r="AQ18" s="20">
        <f>SUM(L18:N18)</f>
        <v>0</v>
      </c>
      <c r="AR18" s="20">
        <f>SUM(O18:Q18)</f>
        <v>0</v>
      </c>
      <c r="AS18" s="20">
        <f>SUM(R18:T18)</f>
        <v>0</v>
      </c>
      <c r="AT18" s="20">
        <f>SUM(U18:W18)</f>
        <v>0</v>
      </c>
      <c r="AU18" s="20">
        <f>SUM(X18:Z18)</f>
        <v>0</v>
      </c>
      <c r="AV18" s="20">
        <f>SUM(AA18:AC18)</f>
        <v>0</v>
      </c>
      <c r="AW18" s="20">
        <f>SUM(AD18:AF18)</f>
        <v>0</v>
      </c>
      <c r="AX18" s="20">
        <f>SUM(AG18:AI18)</f>
        <v>0</v>
      </c>
      <c r="AY18" s="20">
        <f>SUM(AJ18:AL18)</f>
        <v>0</v>
      </c>
      <c r="BA18" s="20">
        <f>SUM(C18:N18)</f>
        <v>0</v>
      </c>
      <c r="BB18" s="20">
        <f>SUM(O18:Z18)</f>
        <v>0</v>
      </c>
      <c r="BC18" s="20">
        <f>SUM(AA18:AL18)</f>
        <v>0</v>
      </c>
    </row>
    <row r="19" spans="1:55">
      <c r="A19" s="18" t="s">
        <v>314</v>
      </c>
      <c r="B19" s="16"/>
      <c r="C19" s="20">
        <f>'Revenue'!C55*'Assumptions'!$F$54</f>
        <v>0</v>
      </c>
      <c r="D19" s="20">
        <f>'Revenue'!D55*'Assumptions'!$F$54</f>
        <v>0</v>
      </c>
      <c r="E19" s="20">
        <f>'Revenue'!E55*'Assumptions'!$F$54</f>
        <v>0</v>
      </c>
      <c r="F19" s="20">
        <f>'Revenue'!F55*'Assumptions'!$F$54</f>
        <v>0</v>
      </c>
      <c r="G19" s="20">
        <f>'Revenue'!G55*'Assumptions'!$F$54</f>
        <v>0</v>
      </c>
      <c r="H19" s="20">
        <f>'Revenue'!H55*'Assumptions'!$F$54</f>
        <v>0</v>
      </c>
      <c r="I19" s="20">
        <f>'Revenue'!I55*'Assumptions'!$F$54</f>
        <v>0</v>
      </c>
      <c r="J19" s="20">
        <f>'Revenue'!J55*'Assumptions'!$F$54</f>
        <v>0</v>
      </c>
      <c r="K19" s="20">
        <f>'Revenue'!K55*'Assumptions'!$F$54</f>
        <v>0</v>
      </c>
      <c r="L19" s="20">
        <f>'Revenue'!L55*'Assumptions'!$F$54</f>
        <v>0</v>
      </c>
      <c r="M19" s="20">
        <f>'Revenue'!M55*'Assumptions'!$F$54</f>
        <v>0</v>
      </c>
      <c r="N19" s="20">
        <f>'Revenue'!N55*'Assumptions'!$F$54</f>
        <v>0</v>
      </c>
      <c r="O19" s="20">
        <f>'Revenue'!O55*'Assumptions'!$F$54</f>
        <v>0</v>
      </c>
      <c r="P19" s="20">
        <f>'Revenue'!P55*'Assumptions'!$F$54</f>
        <v>0</v>
      </c>
      <c r="Q19" s="20">
        <f>'Revenue'!Q55*'Assumptions'!$F$54</f>
        <v>0</v>
      </c>
      <c r="R19" s="20">
        <f>'Revenue'!R55*'Assumptions'!$F$54</f>
        <v>0</v>
      </c>
      <c r="S19" s="20">
        <f>'Revenue'!S55*'Assumptions'!$F$54</f>
        <v>0</v>
      </c>
      <c r="T19" s="20">
        <f>'Revenue'!T55*'Assumptions'!$F$54</f>
        <v>0</v>
      </c>
      <c r="U19" s="20">
        <f>'Revenue'!U55*'Assumptions'!$F$54</f>
        <v>0</v>
      </c>
      <c r="V19" s="20">
        <f>'Revenue'!V55*'Assumptions'!$F$54</f>
        <v>0</v>
      </c>
      <c r="W19" s="20">
        <f>'Revenue'!W55*'Assumptions'!$F$54</f>
        <v>0</v>
      </c>
      <c r="X19" s="20">
        <f>'Revenue'!X55*'Assumptions'!$F$54</f>
        <v>0</v>
      </c>
      <c r="Y19" s="20">
        <f>'Revenue'!Y55*'Assumptions'!$F$54</f>
        <v>0</v>
      </c>
      <c r="Z19" s="20">
        <f>'Revenue'!Z55*'Assumptions'!$F$54</f>
        <v>0</v>
      </c>
      <c r="AA19" s="20">
        <f>'Revenue'!AA55*'Assumptions'!$F$54</f>
        <v>0</v>
      </c>
      <c r="AB19" s="20">
        <f>'Revenue'!AB55*'Assumptions'!$F$54</f>
        <v>0</v>
      </c>
      <c r="AC19" s="20">
        <f>'Revenue'!AC55*'Assumptions'!$F$54</f>
        <v>0</v>
      </c>
      <c r="AD19" s="20">
        <f>'Revenue'!AD55*'Assumptions'!$F$54</f>
        <v>0</v>
      </c>
      <c r="AE19" s="20">
        <f>'Revenue'!AE55*'Assumptions'!$F$54</f>
        <v>0</v>
      </c>
      <c r="AF19" s="20">
        <f>'Revenue'!AF55*'Assumptions'!$F$54</f>
        <v>0</v>
      </c>
      <c r="AG19" s="20">
        <f>'Revenue'!AG55*'Assumptions'!$F$54</f>
        <v>0</v>
      </c>
      <c r="AH19" s="20">
        <f>'Revenue'!AH55*'Assumptions'!$F$54</f>
        <v>0</v>
      </c>
      <c r="AI19" s="20">
        <f>'Revenue'!AI55*'Assumptions'!$F$54</f>
        <v>0</v>
      </c>
      <c r="AJ19" s="20">
        <f>'Revenue'!AJ55*'Assumptions'!$F$54</f>
        <v>0</v>
      </c>
      <c r="AK19" s="20">
        <f>'Revenue'!AK55*'Assumptions'!$F$54</f>
        <v>0</v>
      </c>
      <c r="AL19" s="20">
        <f>'Revenue'!AL55*'Assumptions'!$F$54</f>
        <v>0</v>
      </c>
      <c r="AN19" s="20">
        <f>SUM(C19:E19)</f>
        <v>0</v>
      </c>
      <c r="AO19" s="20">
        <f>SUM(F19:H19)</f>
        <v>0</v>
      </c>
      <c r="AP19" s="20">
        <f>SUM(I19:K19)</f>
        <v>0</v>
      </c>
      <c r="AQ19" s="20">
        <f>SUM(L19:N19)</f>
        <v>0</v>
      </c>
      <c r="AR19" s="20">
        <f>SUM(O19:Q19)</f>
        <v>0</v>
      </c>
      <c r="AS19" s="20">
        <f>SUM(R19:T19)</f>
        <v>0</v>
      </c>
      <c r="AT19" s="20">
        <f>SUM(U19:W19)</f>
        <v>0</v>
      </c>
      <c r="AU19" s="20">
        <f>SUM(X19:Z19)</f>
        <v>0</v>
      </c>
      <c r="AV19" s="20">
        <f>SUM(AA19:AC19)</f>
        <v>0</v>
      </c>
      <c r="AW19" s="20">
        <f>SUM(AD19:AF19)</f>
        <v>0</v>
      </c>
      <c r="AX19" s="20">
        <f>SUM(AG19:AI19)</f>
        <v>0</v>
      </c>
      <c r="AY19" s="20">
        <f>SUM(AJ19:AL19)</f>
        <v>0</v>
      </c>
      <c r="BA19" s="20">
        <f>SUM(C19:N19)</f>
        <v>0</v>
      </c>
      <c r="BB19" s="20">
        <f>SUM(O19:Z19)</f>
        <v>0</v>
      </c>
      <c r="BC19" s="20">
        <f>SUM(AA19:AL19)</f>
        <v>0</v>
      </c>
    </row>
    <row r="20" spans="1:55">
      <c r="A20" s="18" t="s">
        <v>315</v>
      </c>
      <c r="B20" s="16"/>
      <c r="C20" s="20">
        <f>'Headcount'!$C$21</f>
        <v>0</v>
      </c>
      <c r="D20" s="20">
        <f>'Headcount'!$D$21</f>
        <v>0</v>
      </c>
      <c r="E20" s="20">
        <f>'Headcount'!$E$21</f>
        <v>0</v>
      </c>
      <c r="F20" s="20">
        <f>'Headcount'!$F$21</f>
        <v>0</v>
      </c>
      <c r="G20" s="20">
        <f>'Headcount'!$G$21</f>
        <v>0</v>
      </c>
      <c r="H20" s="20">
        <f>'Headcount'!$H$21</f>
        <v>0</v>
      </c>
      <c r="I20" s="20">
        <f>'Headcount'!$I$21</f>
        <v>0</v>
      </c>
      <c r="J20" s="20">
        <f>'Headcount'!$J$21</f>
        <v>0</v>
      </c>
      <c r="K20" s="20">
        <f>'Headcount'!$K$21</f>
        <v>0</v>
      </c>
      <c r="L20" s="20">
        <f>'Headcount'!$L$21</f>
        <v>0</v>
      </c>
      <c r="M20" s="20">
        <f>'Headcount'!$M$21</f>
        <v>0</v>
      </c>
      <c r="N20" s="20">
        <f>'Headcount'!$N$21</f>
        <v>0</v>
      </c>
      <c r="O20" s="20">
        <f>'Headcount'!$O$21</f>
        <v>0</v>
      </c>
      <c r="P20" s="20">
        <f>'Headcount'!$P$21</f>
        <v>0</v>
      </c>
      <c r="Q20" s="20">
        <f>'Headcount'!$Q$21</f>
        <v>0</v>
      </c>
      <c r="R20" s="20">
        <f>'Headcount'!$R$21</f>
        <v>0</v>
      </c>
      <c r="S20" s="20">
        <f>'Headcount'!$S$21</f>
        <v>0</v>
      </c>
      <c r="T20" s="20">
        <f>'Headcount'!$T$21</f>
        <v>0</v>
      </c>
      <c r="U20" s="20">
        <f>'Headcount'!$U$21</f>
        <v>0</v>
      </c>
      <c r="V20" s="20">
        <f>'Headcount'!$V$21</f>
        <v>0</v>
      </c>
      <c r="W20" s="20">
        <f>'Headcount'!$W$21</f>
        <v>0</v>
      </c>
      <c r="X20" s="20">
        <f>'Headcount'!$X$21</f>
        <v>0</v>
      </c>
      <c r="Y20" s="20">
        <f>'Headcount'!$Y$21</f>
        <v>0</v>
      </c>
      <c r="Z20" s="20">
        <f>'Headcount'!$Z$21</f>
        <v>0</v>
      </c>
      <c r="AA20" s="20">
        <f>'Headcount'!$AA$21</f>
        <v>0</v>
      </c>
      <c r="AB20" s="20">
        <f>'Headcount'!$AB$21</f>
        <v>0</v>
      </c>
      <c r="AC20" s="20">
        <f>'Headcount'!$AC$21</f>
        <v>0</v>
      </c>
      <c r="AD20" s="20">
        <f>'Headcount'!$AD$21</f>
        <v>0</v>
      </c>
      <c r="AE20" s="20">
        <f>'Headcount'!$AE$21</f>
        <v>0</v>
      </c>
      <c r="AF20" s="20">
        <f>'Headcount'!$AF$21</f>
        <v>0</v>
      </c>
      <c r="AG20" s="20">
        <f>'Headcount'!$AG$21</f>
        <v>0</v>
      </c>
      <c r="AH20" s="20">
        <f>'Headcount'!$AH$21</f>
        <v>0</v>
      </c>
      <c r="AI20" s="20">
        <f>'Headcount'!$AI$21</f>
        <v>0</v>
      </c>
      <c r="AJ20" s="20">
        <f>'Headcount'!$AJ$21</f>
        <v>0</v>
      </c>
      <c r="AK20" s="20">
        <f>'Headcount'!$AK$21</f>
        <v>0</v>
      </c>
      <c r="AL20" s="20">
        <f>'Headcount'!$AL$21</f>
        <v>0</v>
      </c>
      <c r="AN20" s="20">
        <f>SUM(C20:E20)</f>
        <v>0</v>
      </c>
      <c r="AO20" s="20">
        <f>SUM(F20:H20)</f>
        <v>0</v>
      </c>
      <c r="AP20" s="20">
        <f>SUM(I20:K20)</f>
        <v>0</v>
      </c>
      <c r="AQ20" s="20">
        <f>SUM(L20:N20)</f>
        <v>0</v>
      </c>
      <c r="AR20" s="20">
        <f>SUM(O20:Q20)</f>
        <v>0</v>
      </c>
      <c r="AS20" s="20">
        <f>SUM(R20:T20)</f>
        <v>0</v>
      </c>
      <c r="AT20" s="20">
        <f>SUM(U20:W20)</f>
        <v>0</v>
      </c>
      <c r="AU20" s="20">
        <f>SUM(X20:Z20)</f>
        <v>0</v>
      </c>
      <c r="AV20" s="20">
        <f>SUM(AA20:AC20)</f>
        <v>0</v>
      </c>
      <c r="AW20" s="20">
        <f>SUM(AD20:AF20)</f>
        <v>0</v>
      </c>
      <c r="AX20" s="20">
        <f>SUM(AG20:AI20)</f>
        <v>0</v>
      </c>
      <c r="AY20" s="20">
        <f>SUM(AJ20:AL20)</f>
        <v>0</v>
      </c>
      <c r="BA20" s="20">
        <f>SUM(C20:N20)</f>
        <v>0</v>
      </c>
      <c r="BB20" s="20">
        <f>SUM(O20:Z20)</f>
        <v>0</v>
      </c>
      <c r="BC20" s="20">
        <f>SUM(AA20:AL20)</f>
        <v>0</v>
      </c>
    </row>
    <row r="21" spans="1:55">
      <c r="A21" s="33" t="s">
        <v>316</v>
      </c>
      <c r="B21" s="16"/>
      <c r="C21" s="34">
        <f>C16+C17+C18+C19+C20</f>
        <v>0</v>
      </c>
      <c r="D21" s="34">
        <f>D16+D17+D18+D19+D20</f>
        <v>0</v>
      </c>
      <c r="E21" s="34">
        <f>E16+E17+E18+E19+E20</f>
        <v>0</v>
      </c>
      <c r="F21" s="34">
        <f>F16+F17+F18+F19+F20</f>
        <v>0</v>
      </c>
      <c r="G21" s="34">
        <f>G16+G17+G18+G19+G20</f>
        <v>0</v>
      </c>
      <c r="H21" s="34">
        <f>H16+H17+H18+H19+H20</f>
        <v>0</v>
      </c>
      <c r="I21" s="34">
        <f>I16+I17+I18+I19+I20</f>
        <v>0</v>
      </c>
      <c r="J21" s="34">
        <f>J16+J17+J18+J19+J20</f>
        <v>0</v>
      </c>
      <c r="K21" s="34">
        <f>K16+K17+K18+K19+K20</f>
        <v>0</v>
      </c>
      <c r="L21" s="34">
        <f>L16+L17+L18+L19+L20</f>
        <v>0</v>
      </c>
      <c r="M21" s="34">
        <f>M16+M17+M18+M19+M20</f>
        <v>0</v>
      </c>
      <c r="N21" s="34">
        <f>N16+N17+N18+N19+N20</f>
        <v>0</v>
      </c>
      <c r="O21" s="34">
        <f>O16+O17+O18+O19+O20</f>
        <v>0</v>
      </c>
      <c r="P21" s="34">
        <f>P16+P17+P18+P19+P20</f>
        <v>0</v>
      </c>
      <c r="Q21" s="34">
        <f>Q16+Q17+Q18+Q19+Q20</f>
        <v>0</v>
      </c>
      <c r="R21" s="34">
        <f>R16+R17+R18+R19+R20</f>
        <v>0</v>
      </c>
      <c r="S21" s="34">
        <f>S16+S17+S18+S19+S20</f>
        <v>0</v>
      </c>
      <c r="T21" s="34">
        <f>T16+T17+T18+T19+T20</f>
        <v>0</v>
      </c>
      <c r="U21" s="34">
        <f>U16+U17+U18+U19+U20</f>
        <v>0</v>
      </c>
      <c r="V21" s="34">
        <f>V16+V17+V18+V19+V20</f>
        <v>0</v>
      </c>
      <c r="W21" s="34">
        <f>W16+W17+W18+W19+W20</f>
        <v>0</v>
      </c>
      <c r="X21" s="34">
        <f>X16+X17+X18+X19+X20</f>
        <v>0</v>
      </c>
      <c r="Y21" s="34">
        <f>Y16+Y17+Y18+Y19+Y20</f>
        <v>0</v>
      </c>
      <c r="Z21" s="34">
        <f>Z16+Z17+Z18+Z19+Z20</f>
        <v>0</v>
      </c>
      <c r="AA21" s="34">
        <f>AA16+AA17+AA18+AA19+AA20</f>
        <v>0</v>
      </c>
      <c r="AB21" s="34">
        <f>AB16+AB17+AB18+AB19+AB20</f>
        <v>0</v>
      </c>
      <c r="AC21" s="34">
        <f>AC16+AC17+AC18+AC19+AC20</f>
        <v>0</v>
      </c>
      <c r="AD21" s="34">
        <f>AD16+AD17+AD18+AD19+AD20</f>
        <v>0</v>
      </c>
      <c r="AE21" s="34">
        <f>AE16+AE17+AE18+AE19+AE20</f>
        <v>0</v>
      </c>
      <c r="AF21" s="34">
        <f>AF16+AF17+AF18+AF19+AF20</f>
        <v>0</v>
      </c>
      <c r="AG21" s="34">
        <f>AG16+AG17+AG18+AG19+AG20</f>
        <v>0</v>
      </c>
      <c r="AH21" s="34">
        <f>AH16+AH17+AH18+AH19+AH20</f>
        <v>0</v>
      </c>
      <c r="AI21" s="34">
        <f>AI16+AI17+AI18+AI19+AI20</f>
        <v>0</v>
      </c>
      <c r="AJ21" s="34">
        <f>AJ16+AJ17+AJ18+AJ19+AJ20</f>
        <v>0</v>
      </c>
      <c r="AK21" s="34">
        <f>AK16+AK17+AK18+AK19+AK20</f>
        <v>0</v>
      </c>
      <c r="AL21" s="34">
        <f>AL16+AL17+AL18+AL19+AL20</f>
        <v>0</v>
      </c>
      <c r="AN21" s="34">
        <f>SUM(C21:E21)</f>
        <v>0</v>
      </c>
      <c r="AO21" s="34">
        <f>SUM(F21:H21)</f>
        <v>0</v>
      </c>
      <c r="AP21" s="34">
        <f>SUM(I21:K21)</f>
        <v>0</v>
      </c>
      <c r="AQ21" s="34">
        <f>SUM(L21:N21)</f>
        <v>0</v>
      </c>
      <c r="AR21" s="34">
        <f>SUM(O21:Q21)</f>
        <v>0</v>
      </c>
      <c r="AS21" s="34">
        <f>SUM(R21:T21)</f>
        <v>0</v>
      </c>
      <c r="AT21" s="34">
        <f>SUM(U21:W21)</f>
        <v>0</v>
      </c>
      <c r="AU21" s="34">
        <f>SUM(X21:Z21)</f>
        <v>0</v>
      </c>
      <c r="AV21" s="34">
        <f>SUM(AA21:AC21)</f>
        <v>0</v>
      </c>
      <c r="AW21" s="34">
        <f>SUM(AD21:AF21)</f>
        <v>0</v>
      </c>
      <c r="AX21" s="34">
        <f>SUM(AG21:AI21)</f>
        <v>0</v>
      </c>
      <c r="AY21" s="34">
        <f>SUM(AJ21:AL21)</f>
        <v>0</v>
      </c>
      <c r="BA21" s="34">
        <f>SUM(C21:N21)</f>
        <v>0</v>
      </c>
      <c r="BB21" s="34">
        <f>SUM(O21:Z21)</f>
        <v>0</v>
      </c>
      <c r="BC21" s="34">
        <f>SUM(AA21:AL21)</f>
        <v>0</v>
      </c>
    </row>
    <row r="22" spans="1:55" ht="5" customHeight="1"/>
    <row r="23" spans="1:55" ht="16" customHeight="1">
      <c r="A23" s="14" t="s">
        <v>317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</row>
    <row r="24" spans="1:55">
      <c r="A24" s="30" t="s">
        <v>318</v>
      </c>
      <c r="B24" s="16"/>
      <c r="C24" s="31">
        <f>'Revenue'!C60-C21</f>
        <v>0</v>
      </c>
      <c r="D24" s="31">
        <f>'Revenue'!D60-D21</f>
        <v>0</v>
      </c>
      <c r="E24" s="31">
        <f>'Revenue'!E60-E21</f>
        <v>0</v>
      </c>
      <c r="F24" s="31">
        <f>'Revenue'!F60-F21</f>
        <v>0</v>
      </c>
      <c r="G24" s="31">
        <f>'Revenue'!G60-G21</f>
        <v>0</v>
      </c>
      <c r="H24" s="31">
        <f>'Revenue'!H60-H21</f>
        <v>0</v>
      </c>
      <c r="I24" s="31">
        <f>'Revenue'!I60-I21</f>
        <v>0</v>
      </c>
      <c r="J24" s="31">
        <f>'Revenue'!J60-J21</f>
        <v>0</v>
      </c>
      <c r="K24" s="31">
        <f>'Revenue'!K60-K21</f>
        <v>0</v>
      </c>
      <c r="L24" s="31">
        <f>'Revenue'!L60-L21</f>
        <v>0</v>
      </c>
      <c r="M24" s="31">
        <f>'Revenue'!M60-M21</f>
        <v>0</v>
      </c>
      <c r="N24" s="31">
        <f>'Revenue'!N60-N21</f>
        <v>0</v>
      </c>
      <c r="O24" s="31">
        <f>'Revenue'!O60-O21</f>
        <v>0</v>
      </c>
      <c r="P24" s="31">
        <f>'Revenue'!P60-P21</f>
        <v>0</v>
      </c>
      <c r="Q24" s="31">
        <f>'Revenue'!Q60-Q21</f>
        <v>0</v>
      </c>
      <c r="R24" s="31">
        <f>'Revenue'!R60-R21</f>
        <v>0</v>
      </c>
      <c r="S24" s="31">
        <f>'Revenue'!S60-S21</f>
        <v>0</v>
      </c>
      <c r="T24" s="31">
        <f>'Revenue'!T60-T21</f>
        <v>0</v>
      </c>
      <c r="U24" s="31">
        <f>'Revenue'!U60-U21</f>
        <v>0</v>
      </c>
      <c r="V24" s="31">
        <f>'Revenue'!V60-V21</f>
        <v>0</v>
      </c>
      <c r="W24" s="31">
        <f>'Revenue'!W60-W21</f>
        <v>0</v>
      </c>
      <c r="X24" s="31">
        <f>'Revenue'!X60-X21</f>
        <v>0</v>
      </c>
      <c r="Y24" s="31">
        <f>'Revenue'!Y60-Y21</f>
        <v>0</v>
      </c>
      <c r="Z24" s="31">
        <f>'Revenue'!Z60-Z21</f>
        <v>0</v>
      </c>
      <c r="AA24" s="31">
        <f>'Revenue'!AA60-AA21</f>
        <v>0</v>
      </c>
      <c r="AB24" s="31">
        <f>'Revenue'!AB60-AB21</f>
        <v>0</v>
      </c>
      <c r="AC24" s="31">
        <f>'Revenue'!AC60-AC21</f>
        <v>0</v>
      </c>
      <c r="AD24" s="31">
        <f>'Revenue'!AD60-AD21</f>
        <v>0</v>
      </c>
      <c r="AE24" s="31">
        <f>'Revenue'!AE60-AE21</f>
        <v>0</v>
      </c>
      <c r="AF24" s="31">
        <f>'Revenue'!AF60-AF21</f>
        <v>0</v>
      </c>
      <c r="AG24" s="31">
        <f>'Revenue'!AG60-AG21</f>
        <v>0</v>
      </c>
      <c r="AH24" s="31">
        <f>'Revenue'!AH60-AH21</f>
        <v>0</v>
      </c>
      <c r="AI24" s="31">
        <f>'Revenue'!AI60-AI21</f>
        <v>0</v>
      </c>
      <c r="AJ24" s="31">
        <f>'Revenue'!AJ60-AJ21</f>
        <v>0</v>
      </c>
      <c r="AK24" s="31">
        <f>'Revenue'!AK60-AK21</f>
        <v>0</v>
      </c>
      <c r="AL24" s="31">
        <f>'Revenue'!AL60-AL21</f>
        <v>0</v>
      </c>
      <c r="AN24" s="31">
        <f>SUM(C24:E24)</f>
        <v>0</v>
      </c>
      <c r="AO24" s="31">
        <f>SUM(F24:H24)</f>
        <v>0</v>
      </c>
      <c r="AP24" s="31">
        <f>SUM(I24:K24)</f>
        <v>0</v>
      </c>
      <c r="AQ24" s="31">
        <f>SUM(L24:N24)</f>
        <v>0</v>
      </c>
      <c r="AR24" s="31">
        <f>SUM(O24:Q24)</f>
        <v>0</v>
      </c>
      <c r="AS24" s="31">
        <f>SUM(R24:T24)</f>
        <v>0</v>
      </c>
      <c r="AT24" s="31">
        <f>SUM(U24:W24)</f>
        <v>0</v>
      </c>
      <c r="AU24" s="31">
        <f>SUM(X24:Z24)</f>
        <v>0</v>
      </c>
      <c r="AV24" s="31">
        <f>SUM(AA24:AC24)</f>
        <v>0</v>
      </c>
      <c r="AW24" s="31">
        <f>SUM(AD24:AF24)</f>
        <v>0</v>
      </c>
      <c r="AX24" s="31">
        <f>SUM(AG24:AI24)</f>
        <v>0</v>
      </c>
      <c r="AY24" s="31">
        <f>SUM(AJ24:AL24)</f>
        <v>0</v>
      </c>
      <c r="BA24" s="31">
        <f>SUM(C24:N24)</f>
        <v>0</v>
      </c>
      <c r="BB24" s="31">
        <f>SUM(O24:Z24)</f>
        <v>0</v>
      </c>
      <c r="BC24" s="31">
        <f>SUM(AA24:AL24)</f>
        <v>0</v>
      </c>
    </row>
    <row r="25" spans="1:55">
      <c r="A25" s="18" t="s">
        <v>319</v>
      </c>
      <c r="B25" s="16"/>
      <c r="C25" s="25">
        <f>IFERROR(C24/'Revenue'!C60,0)</f>
        <v>0</v>
      </c>
      <c r="D25" s="25">
        <f>IFERROR(D24/'Revenue'!D60,0)</f>
        <v>0</v>
      </c>
      <c r="E25" s="25">
        <f>IFERROR(E24/'Revenue'!E60,0)</f>
        <v>0</v>
      </c>
      <c r="F25" s="25">
        <f>IFERROR(F24/'Revenue'!F60,0)</f>
        <v>0</v>
      </c>
      <c r="G25" s="25">
        <f>IFERROR(G24/'Revenue'!G60,0)</f>
        <v>0</v>
      </c>
      <c r="H25" s="25">
        <f>IFERROR(H24/'Revenue'!H60,0)</f>
        <v>0</v>
      </c>
      <c r="I25" s="25">
        <f>IFERROR(I24/'Revenue'!I60,0)</f>
        <v>0</v>
      </c>
      <c r="J25" s="25">
        <f>IFERROR(J24/'Revenue'!J60,0)</f>
        <v>0</v>
      </c>
      <c r="K25" s="25">
        <f>IFERROR(K24/'Revenue'!K60,0)</f>
        <v>0</v>
      </c>
      <c r="L25" s="25">
        <f>IFERROR(L24/'Revenue'!L60,0)</f>
        <v>0</v>
      </c>
      <c r="M25" s="25">
        <f>IFERROR(M24/'Revenue'!M60,0)</f>
        <v>0</v>
      </c>
      <c r="N25" s="25">
        <f>IFERROR(N24/'Revenue'!N60,0)</f>
        <v>0</v>
      </c>
      <c r="O25" s="25">
        <f>IFERROR(O24/'Revenue'!O60,0)</f>
        <v>0</v>
      </c>
      <c r="P25" s="25">
        <f>IFERROR(P24/'Revenue'!P60,0)</f>
        <v>0</v>
      </c>
      <c r="Q25" s="25">
        <f>IFERROR(Q24/'Revenue'!Q60,0)</f>
        <v>0</v>
      </c>
      <c r="R25" s="25">
        <f>IFERROR(R24/'Revenue'!R60,0)</f>
        <v>0</v>
      </c>
      <c r="S25" s="25">
        <f>IFERROR(S24/'Revenue'!S60,0)</f>
        <v>0</v>
      </c>
      <c r="T25" s="25">
        <f>IFERROR(T24/'Revenue'!T60,0)</f>
        <v>0</v>
      </c>
      <c r="U25" s="25">
        <f>IFERROR(U24/'Revenue'!U60,0)</f>
        <v>0</v>
      </c>
      <c r="V25" s="25">
        <f>IFERROR(V24/'Revenue'!V60,0)</f>
        <v>0</v>
      </c>
      <c r="W25" s="25">
        <f>IFERROR(W24/'Revenue'!W60,0)</f>
        <v>0</v>
      </c>
      <c r="X25" s="25">
        <f>IFERROR(X24/'Revenue'!X60,0)</f>
        <v>0</v>
      </c>
      <c r="Y25" s="25">
        <f>IFERROR(Y24/'Revenue'!Y60,0)</f>
        <v>0</v>
      </c>
      <c r="Z25" s="25">
        <f>IFERROR(Z24/'Revenue'!Z60,0)</f>
        <v>0</v>
      </c>
      <c r="AA25" s="25">
        <f>IFERROR(AA24/'Revenue'!AA60,0)</f>
        <v>0</v>
      </c>
      <c r="AB25" s="25">
        <f>IFERROR(AB24/'Revenue'!AB60,0)</f>
        <v>0</v>
      </c>
      <c r="AC25" s="25">
        <f>IFERROR(AC24/'Revenue'!AC60,0)</f>
        <v>0</v>
      </c>
      <c r="AD25" s="25">
        <f>IFERROR(AD24/'Revenue'!AD60,0)</f>
        <v>0</v>
      </c>
      <c r="AE25" s="25">
        <f>IFERROR(AE24/'Revenue'!AE60,0)</f>
        <v>0</v>
      </c>
      <c r="AF25" s="25">
        <f>IFERROR(AF24/'Revenue'!AF60,0)</f>
        <v>0</v>
      </c>
      <c r="AG25" s="25">
        <f>IFERROR(AG24/'Revenue'!AG60,0)</f>
        <v>0</v>
      </c>
      <c r="AH25" s="25">
        <f>IFERROR(AH24/'Revenue'!AH60,0)</f>
        <v>0</v>
      </c>
      <c r="AI25" s="25">
        <f>IFERROR(AI24/'Revenue'!AI60,0)</f>
        <v>0</v>
      </c>
      <c r="AJ25" s="25">
        <f>IFERROR(AJ24/'Revenue'!AJ60,0)</f>
        <v>0</v>
      </c>
      <c r="AK25" s="25">
        <f>IFERROR(AK24/'Revenue'!AK60,0)</f>
        <v>0</v>
      </c>
      <c r="AL25" s="25">
        <f>IFERROR(AL24/'Revenue'!AL60,0)</f>
        <v>0</v>
      </c>
      <c r="AN25" s="25">
        <f>AVERAGE(C25:E25)</f>
        <v>0</v>
      </c>
      <c r="AO25" s="25">
        <f>AVERAGE(F25:H25)</f>
        <v>0</v>
      </c>
      <c r="AP25" s="25">
        <f>AVERAGE(I25:K25)</f>
        <v>0</v>
      </c>
      <c r="AQ25" s="25">
        <f>AVERAGE(L25:N25)</f>
        <v>0</v>
      </c>
      <c r="AR25" s="25">
        <f>AVERAGE(O25:Q25)</f>
        <v>0</v>
      </c>
      <c r="AS25" s="25">
        <f>AVERAGE(R25:T25)</f>
        <v>0</v>
      </c>
      <c r="AT25" s="25">
        <f>AVERAGE(U25:W25)</f>
        <v>0</v>
      </c>
      <c r="AU25" s="25">
        <f>AVERAGE(X25:Z25)</f>
        <v>0</v>
      </c>
      <c r="AV25" s="25">
        <f>AVERAGE(AA25:AC25)</f>
        <v>0</v>
      </c>
      <c r="AW25" s="25">
        <f>AVERAGE(AD25:AF25)</f>
        <v>0</v>
      </c>
      <c r="AX25" s="25">
        <f>AVERAGE(AG25:AI25)</f>
        <v>0</v>
      </c>
      <c r="AY25" s="25">
        <f>AVERAGE(AJ25:AL25)</f>
        <v>0</v>
      </c>
      <c r="BA25" s="25">
        <f>AVERAGE(C25:N25)</f>
        <v>0</v>
      </c>
      <c r="BB25" s="25">
        <f>AVERAGE(O25:Z25)</f>
        <v>0</v>
      </c>
      <c r="BC25" s="25">
        <f>AVERAGE(AA25:AL25)</f>
        <v>0</v>
      </c>
    </row>
    <row r="26" spans="1:55">
      <c r="A26" s="18" t="s">
        <v>320</v>
      </c>
      <c r="B26" s="16"/>
      <c r="C26" s="32">
        <f>IFERROR(C21/C9,0)</f>
        <v>0</v>
      </c>
      <c r="D26" s="32">
        <f>IFERROR(D21/D9,0)</f>
        <v>0</v>
      </c>
      <c r="E26" s="32">
        <f>IFERROR(E21/E9,0)</f>
        <v>0</v>
      </c>
      <c r="F26" s="32">
        <f>IFERROR(F21/F9,0)</f>
        <v>0</v>
      </c>
      <c r="G26" s="32">
        <f>IFERROR(G21/G9,0)</f>
        <v>0</v>
      </c>
      <c r="H26" s="32">
        <f>IFERROR(H21/H9,0)</f>
        <v>0</v>
      </c>
      <c r="I26" s="32">
        <f>IFERROR(I21/I9,0)</f>
        <v>0</v>
      </c>
      <c r="J26" s="32">
        <f>IFERROR(J21/J9,0)</f>
        <v>0</v>
      </c>
      <c r="K26" s="32">
        <f>IFERROR(K21/K9,0)</f>
        <v>0</v>
      </c>
      <c r="L26" s="32">
        <f>IFERROR(L21/L9,0)</f>
        <v>0</v>
      </c>
      <c r="M26" s="32">
        <f>IFERROR(M21/M9,0)</f>
        <v>0</v>
      </c>
      <c r="N26" s="32">
        <f>IFERROR(N21/N9,0)</f>
        <v>0</v>
      </c>
      <c r="O26" s="32">
        <f>IFERROR(O21/O9,0)</f>
        <v>0</v>
      </c>
      <c r="P26" s="32">
        <f>IFERROR(P21/P9,0)</f>
        <v>0</v>
      </c>
      <c r="Q26" s="32">
        <f>IFERROR(Q21/Q9,0)</f>
        <v>0</v>
      </c>
      <c r="R26" s="32">
        <f>IFERROR(R21/R9,0)</f>
        <v>0</v>
      </c>
      <c r="S26" s="32">
        <f>IFERROR(S21/S9,0)</f>
        <v>0</v>
      </c>
      <c r="T26" s="32">
        <f>IFERROR(T21/T9,0)</f>
        <v>0</v>
      </c>
      <c r="U26" s="32">
        <f>IFERROR(U21/U9,0)</f>
        <v>0</v>
      </c>
      <c r="V26" s="32">
        <f>IFERROR(V21/V9,0)</f>
        <v>0</v>
      </c>
      <c r="W26" s="32">
        <f>IFERROR(W21/W9,0)</f>
        <v>0</v>
      </c>
      <c r="X26" s="32">
        <f>IFERROR(X21/X9,0)</f>
        <v>0</v>
      </c>
      <c r="Y26" s="32">
        <f>IFERROR(Y21/Y9,0)</f>
        <v>0</v>
      </c>
      <c r="Z26" s="32">
        <f>IFERROR(Z21/Z9,0)</f>
        <v>0</v>
      </c>
      <c r="AA26" s="32">
        <f>IFERROR(AA21/AA9,0)</f>
        <v>0</v>
      </c>
      <c r="AB26" s="32">
        <f>IFERROR(AB21/AB9,0)</f>
        <v>0</v>
      </c>
      <c r="AC26" s="32">
        <f>IFERROR(AC21/AC9,0)</f>
        <v>0</v>
      </c>
      <c r="AD26" s="32">
        <f>IFERROR(AD21/AD9,0)</f>
        <v>0</v>
      </c>
      <c r="AE26" s="32">
        <f>IFERROR(AE21/AE9,0)</f>
        <v>0</v>
      </c>
      <c r="AF26" s="32">
        <f>IFERROR(AF21/AF9,0)</f>
        <v>0</v>
      </c>
      <c r="AG26" s="32">
        <f>IFERROR(AG21/AG9,0)</f>
        <v>0</v>
      </c>
      <c r="AH26" s="32">
        <f>IFERROR(AH21/AH9,0)</f>
        <v>0</v>
      </c>
      <c r="AI26" s="32">
        <f>IFERROR(AI21/AI9,0)</f>
        <v>0</v>
      </c>
      <c r="AJ26" s="32">
        <f>IFERROR(AJ21/AJ9,0)</f>
        <v>0</v>
      </c>
      <c r="AK26" s="32">
        <f>IFERROR(AK21/AK9,0)</f>
        <v>0</v>
      </c>
      <c r="AL26" s="32">
        <f>IFERROR(AL21/AL9,0)</f>
        <v>0</v>
      </c>
      <c r="AN26" s="32">
        <f>AVERAGE(C26:E26)</f>
        <v>0</v>
      </c>
      <c r="AO26" s="32">
        <f>AVERAGE(F26:H26)</f>
        <v>0</v>
      </c>
      <c r="AP26" s="32">
        <f>AVERAGE(I26:K26)</f>
        <v>0</v>
      </c>
      <c r="AQ26" s="32">
        <f>AVERAGE(L26:N26)</f>
        <v>0</v>
      </c>
      <c r="AR26" s="32">
        <f>AVERAGE(O26:Q26)</f>
        <v>0</v>
      </c>
      <c r="AS26" s="32">
        <f>AVERAGE(R26:T26)</f>
        <v>0</v>
      </c>
      <c r="AT26" s="32">
        <f>AVERAGE(U26:W26)</f>
        <v>0</v>
      </c>
      <c r="AU26" s="32">
        <f>AVERAGE(X26:Z26)</f>
        <v>0</v>
      </c>
      <c r="AV26" s="32">
        <f>AVERAGE(AA26:AC26)</f>
        <v>0</v>
      </c>
      <c r="AW26" s="32">
        <f>AVERAGE(AD26:AF26)</f>
        <v>0</v>
      </c>
      <c r="AX26" s="32">
        <f>AVERAGE(AG26:AI26)</f>
        <v>0</v>
      </c>
      <c r="AY26" s="32">
        <f>AVERAGE(AJ26:AL26)</f>
        <v>0</v>
      </c>
      <c r="BA26" s="32">
        <f>AVERAGE(C26:N26)</f>
        <v>0</v>
      </c>
      <c r="BB26" s="32">
        <f>AVERAGE(O26:Z26)</f>
        <v>0</v>
      </c>
      <c r="BC26" s="32">
        <f>AVERAGE(AA26:AL26)</f>
        <v>0</v>
      </c>
    </row>
    <row r="27" spans="1:55">
      <c r="A27" s="18" t="s">
        <v>321</v>
      </c>
      <c r="B27" s="16" t="s">
        <v>322</v>
      </c>
      <c r="C27" s="25">
        <f>IFERROR(('Revenue'!C57-(C16+C17))/'Revenue'!C57,0)</f>
        <v>0</v>
      </c>
      <c r="D27" s="25">
        <f>IFERROR(('Revenue'!D57-(D16+D17))/'Revenue'!D57,0)</f>
        <v>0</v>
      </c>
      <c r="E27" s="25">
        <f>IFERROR(('Revenue'!E57-(E16+E17))/'Revenue'!E57,0)</f>
        <v>0</v>
      </c>
      <c r="F27" s="25">
        <f>IFERROR(('Revenue'!F57-(F16+F17))/'Revenue'!F57,0)</f>
        <v>0</v>
      </c>
      <c r="G27" s="25">
        <f>IFERROR(('Revenue'!G57-(G16+G17))/'Revenue'!G57,0)</f>
        <v>0</v>
      </c>
      <c r="H27" s="25">
        <f>IFERROR(('Revenue'!H57-(H16+H17))/'Revenue'!H57,0)</f>
        <v>0</v>
      </c>
      <c r="I27" s="25">
        <f>IFERROR(('Revenue'!I57-(I16+I17))/'Revenue'!I57,0)</f>
        <v>0</v>
      </c>
      <c r="J27" s="25">
        <f>IFERROR(('Revenue'!J57-(J16+J17))/'Revenue'!J57,0)</f>
        <v>0</v>
      </c>
      <c r="K27" s="25">
        <f>IFERROR(('Revenue'!K57-(K16+K17))/'Revenue'!K57,0)</f>
        <v>0</v>
      </c>
      <c r="L27" s="25">
        <f>IFERROR(('Revenue'!L57-(L16+L17))/'Revenue'!L57,0)</f>
        <v>0</v>
      </c>
      <c r="M27" s="25">
        <f>IFERROR(('Revenue'!M57-(M16+M17))/'Revenue'!M57,0)</f>
        <v>0</v>
      </c>
      <c r="N27" s="25">
        <f>IFERROR(('Revenue'!N57-(N16+N17))/'Revenue'!N57,0)</f>
        <v>0</v>
      </c>
      <c r="O27" s="25">
        <f>IFERROR(('Revenue'!O57-(O16+O17))/'Revenue'!O57,0)</f>
        <v>0</v>
      </c>
      <c r="P27" s="25">
        <f>IFERROR(('Revenue'!P57-(P16+P17))/'Revenue'!P57,0)</f>
        <v>0</v>
      </c>
      <c r="Q27" s="25">
        <f>IFERROR(('Revenue'!Q57-(Q16+Q17))/'Revenue'!Q57,0)</f>
        <v>0</v>
      </c>
      <c r="R27" s="25">
        <f>IFERROR(('Revenue'!R57-(R16+R17))/'Revenue'!R57,0)</f>
        <v>0</v>
      </c>
      <c r="S27" s="25">
        <f>IFERROR(('Revenue'!S57-(S16+S17))/'Revenue'!S57,0)</f>
        <v>0</v>
      </c>
      <c r="T27" s="25">
        <f>IFERROR(('Revenue'!T57-(T16+T17))/'Revenue'!T57,0)</f>
        <v>0</v>
      </c>
      <c r="U27" s="25">
        <f>IFERROR(('Revenue'!U57-(U16+U17))/'Revenue'!U57,0)</f>
        <v>0</v>
      </c>
      <c r="V27" s="25">
        <f>IFERROR(('Revenue'!V57-(V16+V17))/'Revenue'!V57,0)</f>
        <v>0</v>
      </c>
      <c r="W27" s="25">
        <f>IFERROR(('Revenue'!W57-(W16+W17))/'Revenue'!W57,0)</f>
        <v>0</v>
      </c>
      <c r="X27" s="25">
        <f>IFERROR(('Revenue'!X57-(X16+X17))/'Revenue'!X57,0)</f>
        <v>0</v>
      </c>
      <c r="Y27" s="25">
        <f>IFERROR(('Revenue'!Y57-(Y16+Y17))/'Revenue'!Y57,0)</f>
        <v>0</v>
      </c>
      <c r="Z27" s="25">
        <f>IFERROR(('Revenue'!Z57-(Z16+Z17))/'Revenue'!Z57,0)</f>
        <v>0</v>
      </c>
      <c r="AA27" s="25">
        <f>IFERROR(('Revenue'!AA57-(AA16+AA17))/'Revenue'!AA57,0)</f>
        <v>0</v>
      </c>
      <c r="AB27" s="25">
        <f>IFERROR(('Revenue'!AB57-(AB16+AB17))/'Revenue'!AB57,0)</f>
        <v>0</v>
      </c>
      <c r="AC27" s="25">
        <f>IFERROR(('Revenue'!AC57-(AC16+AC17))/'Revenue'!AC57,0)</f>
        <v>0</v>
      </c>
      <c r="AD27" s="25">
        <f>IFERROR(('Revenue'!AD57-(AD16+AD17))/'Revenue'!AD57,0)</f>
        <v>0</v>
      </c>
      <c r="AE27" s="25">
        <f>IFERROR(('Revenue'!AE57-(AE16+AE17))/'Revenue'!AE57,0)</f>
        <v>0</v>
      </c>
      <c r="AF27" s="25">
        <f>IFERROR(('Revenue'!AF57-(AF16+AF17))/'Revenue'!AF57,0)</f>
        <v>0</v>
      </c>
      <c r="AG27" s="25">
        <f>IFERROR(('Revenue'!AG57-(AG16+AG17))/'Revenue'!AG57,0)</f>
        <v>0</v>
      </c>
      <c r="AH27" s="25">
        <f>IFERROR(('Revenue'!AH57-(AH16+AH17))/'Revenue'!AH57,0)</f>
        <v>0</v>
      </c>
      <c r="AI27" s="25">
        <f>IFERROR(('Revenue'!AI57-(AI16+AI17))/'Revenue'!AI57,0)</f>
        <v>0</v>
      </c>
      <c r="AJ27" s="25">
        <f>IFERROR(('Revenue'!AJ57-(AJ16+AJ17))/'Revenue'!AJ57,0)</f>
        <v>0</v>
      </c>
      <c r="AK27" s="25">
        <f>IFERROR(('Revenue'!AK57-(AK16+AK17))/'Revenue'!AK57,0)</f>
        <v>0</v>
      </c>
      <c r="AL27" s="25">
        <f>IFERROR(('Revenue'!AL57-(AL16+AL17))/'Revenue'!AL57,0)</f>
        <v>0</v>
      </c>
      <c r="AN27" s="25">
        <f>AVERAGE(C27:E27)</f>
        <v>0</v>
      </c>
      <c r="AO27" s="25">
        <f>AVERAGE(F27:H27)</f>
        <v>0</v>
      </c>
      <c r="AP27" s="25">
        <f>AVERAGE(I27:K27)</f>
        <v>0</v>
      </c>
      <c r="AQ27" s="25">
        <f>AVERAGE(L27:N27)</f>
        <v>0</v>
      </c>
      <c r="AR27" s="25">
        <f>AVERAGE(O27:Q27)</f>
        <v>0</v>
      </c>
      <c r="AS27" s="25">
        <f>AVERAGE(R27:T27)</f>
        <v>0</v>
      </c>
      <c r="AT27" s="25">
        <f>AVERAGE(U27:W27)</f>
        <v>0</v>
      </c>
      <c r="AU27" s="25">
        <f>AVERAGE(X27:Z27)</f>
        <v>0</v>
      </c>
      <c r="AV27" s="25">
        <f>AVERAGE(AA27:AC27)</f>
        <v>0</v>
      </c>
      <c r="AW27" s="25">
        <f>AVERAGE(AD27:AF27)</f>
        <v>0</v>
      </c>
      <c r="AX27" s="25">
        <f>AVERAGE(AG27:AI27)</f>
        <v>0</v>
      </c>
      <c r="AY27" s="25">
        <f>AVERAGE(AJ27:AL27)</f>
        <v>0</v>
      </c>
      <c r="BA27" s="25">
        <f>AVERAGE(C27:N27)</f>
        <v>0</v>
      </c>
      <c r="BB27" s="25">
        <f>AVERAGE(O27:Z27)</f>
        <v>0</v>
      </c>
      <c r="BC27" s="25">
        <f>AVERAGE(AA27:AL27)</f>
        <v>0</v>
      </c>
    </row>
    <row r="28" spans="1:55">
      <c r="A28" s="18" t="s">
        <v>305</v>
      </c>
      <c r="B28" s="16"/>
      <c r="C28" s="25">
        <f>'COGS &amp; GM'!$C$11</f>
        <v>0</v>
      </c>
      <c r="D28" s="25">
        <f>'COGS &amp; GM'!$D$11</f>
        <v>0</v>
      </c>
      <c r="E28" s="25">
        <f>'COGS &amp; GM'!$E$11</f>
        <v>0</v>
      </c>
      <c r="F28" s="25">
        <f>'COGS &amp; GM'!$F$11</f>
        <v>0</v>
      </c>
      <c r="G28" s="25">
        <f>'COGS &amp; GM'!$G$11</f>
        <v>0</v>
      </c>
      <c r="H28" s="25">
        <f>'COGS &amp; GM'!$H$11</f>
        <v>0</v>
      </c>
      <c r="I28" s="25">
        <f>'COGS &amp; GM'!$I$11</f>
        <v>0</v>
      </c>
      <c r="J28" s="25">
        <f>'COGS &amp; GM'!$J$11</f>
        <v>0</v>
      </c>
      <c r="K28" s="25">
        <f>'COGS &amp; GM'!$K$11</f>
        <v>0</v>
      </c>
      <c r="L28" s="25">
        <f>'COGS &amp; GM'!$L$11</f>
        <v>0</v>
      </c>
      <c r="M28" s="25">
        <f>'COGS &amp; GM'!$M$11</f>
        <v>0</v>
      </c>
      <c r="N28" s="25">
        <f>'COGS &amp; GM'!$N$11</f>
        <v>0</v>
      </c>
      <c r="O28" s="25">
        <f>'COGS &amp; GM'!$O$11</f>
        <v>0</v>
      </c>
      <c r="P28" s="25">
        <f>'COGS &amp; GM'!$P$11</f>
        <v>0</v>
      </c>
      <c r="Q28" s="25">
        <f>'COGS &amp; GM'!$Q$11</f>
        <v>0</v>
      </c>
      <c r="R28" s="25">
        <f>'COGS &amp; GM'!$R$11</f>
        <v>0</v>
      </c>
      <c r="S28" s="25">
        <f>'COGS &amp; GM'!$S$11</f>
        <v>0</v>
      </c>
      <c r="T28" s="25">
        <f>'COGS &amp; GM'!$T$11</f>
        <v>0</v>
      </c>
      <c r="U28" s="25">
        <f>'COGS &amp; GM'!$U$11</f>
        <v>0</v>
      </c>
      <c r="V28" s="25">
        <f>'COGS &amp; GM'!$V$11</f>
        <v>0</v>
      </c>
      <c r="W28" s="25">
        <f>'COGS &amp; GM'!$W$11</f>
        <v>0</v>
      </c>
      <c r="X28" s="25">
        <f>'COGS &amp; GM'!$X$11</f>
        <v>0</v>
      </c>
      <c r="Y28" s="25">
        <f>'COGS &amp; GM'!$Y$11</f>
        <v>0</v>
      </c>
      <c r="Z28" s="25">
        <f>'COGS &amp; GM'!$Z$11</f>
        <v>0</v>
      </c>
      <c r="AA28" s="25">
        <f>'COGS &amp; GM'!$AA$11</f>
        <v>0</v>
      </c>
      <c r="AB28" s="25">
        <f>'COGS &amp; GM'!$AB$11</f>
        <v>0</v>
      </c>
      <c r="AC28" s="25">
        <f>'COGS &amp; GM'!$AC$11</f>
        <v>0</v>
      </c>
      <c r="AD28" s="25">
        <f>'COGS &amp; GM'!$AD$11</f>
        <v>0</v>
      </c>
      <c r="AE28" s="25">
        <f>'COGS &amp; GM'!$AE$11</f>
        <v>0</v>
      </c>
      <c r="AF28" s="25">
        <f>'COGS &amp; GM'!$AF$11</f>
        <v>0</v>
      </c>
      <c r="AG28" s="25">
        <f>'COGS &amp; GM'!$AG$11</f>
        <v>0</v>
      </c>
      <c r="AH28" s="25">
        <f>'COGS &amp; GM'!$AH$11</f>
        <v>0</v>
      </c>
      <c r="AI28" s="25">
        <f>'COGS &amp; GM'!$AI$11</f>
        <v>0</v>
      </c>
      <c r="AJ28" s="25">
        <f>'COGS &amp; GM'!$AJ$11</f>
        <v>0</v>
      </c>
      <c r="AK28" s="25">
        <f>'COGS &amp; GM'!$AK$11</f>
        <v>0</v>
      </c>
      <c r="AL28" s="25">
        <f>'COGS &amp; GM'!$AL$11</f>
        <v>0</v>
      </c>
      <c r="AN28" s="25">
        <f>AVERAGE(C28:E28)</f>
        <v>0</v>
      </c>
      <c r="AO28" s="25">
        <f>AVERAGE(F28:H28)</f>
        <v>0</v>
      </c>
      <c r="AP28" s="25">
        <f>AVERAGE(I28:K28)</f>
        <v>0</v>
      </c>
      <c r="AQ28" s="25">
        <f>AVERAGE(L28:N28)</f>
        <v>0</v>
      </c>
      <c r="AR28" s="25">
        <f>AVERAGE(O28:Q28)</f>
        <v>0</v>
      </c>
      <c r="AS28" s="25">
        <f>AVERAGE(R28:T28)</f>
        <v>0</v>
      </c>
      <c r="AT28" s="25">
        <f>AVERAGE(U28:W28)</f>
        <v>0</v>
      </c>
      <c r="AU28" s="25">
        <f>AVERAGE(X28:Z28)</f>
        <v>0</v>
      </c>
      <c r="AV28" s="25">
        <f>AVERAGE(AA28:AC28)</f>
        <v>0</v>
      </c>
      <c r="AW28" s="25">
        <f>AVERAGE(AD28:AF28)</f>
        <v>0</v>
      </c>
      <c r="AX28" s="25">
        <f>AVERAGE(AG28:AI28)</f>
        <v>0</v>
      </c>
      <c r="AY28" s="25">
        <f>AVERAGE(AJ28:AL28)</f>
        <v>0</v>
      </c>
      <c r="BA28" s="25">
        <f>AVERAGE(C28:N28)</f>
        <v>0</v>
      </c>
      <c r="BB28" s="25">
        <f>AVERAGE(O28:Z28)</f>
        <v>0</v>
      </c>
      <c r="BC28" s="25">
        <f>AVERAGE(AA28:AL28)</f>
        <v>0</v>
      </c>
    </row>
    <row r="29" spans="1:55">
      <c r="A29" s="18" t="s">
        <v>292</v>
      </c>
      <c r="B29" s="16"/>
      <c r="C29" s="25">
        <f>'Revenue'!C65</f>
        <v>0</v>
      </c>
      <c r="D29" s="25">
        <f>'Revenue'!D65</f>
        <v>0</v>
      </c>
      <c r="E29" s="25">
        <f>'Revenue'!E65</f>
        <v>0</v>
      </c>
      <c r="F29" s="25">
        <f>'Revenue'!F65</f>
        <v>0</v>
      </c>
      <c r="G29" s="25">
        <f>'Revenue'!G65</f>
        <v>0</v>
      </c>
      <c r="H29" s="25">
        <f>'Revenue'!H65</f>
        <v>0</v>
      </c>
      <c r="I29" s="25">
        <f>'Revenue'!I65</f>
        <v>0</v>
      </c>
      <c r="J29" s="25">
        <f>'Revenue'!J65</f>
        <v>0</v>
      </c>
      <c r="K29" s="25">
        <f>'Revenue'!K65</f>
        <v>0</v>
      </c>
      <c r="L29" s="25">
        <f>'Revenue'!L65</f>
        <v>0</v>
      </c>
      <c r="M29" s="25">
        <f>'Revenue'!M65</f>
        <v>0</v>
      </c>
      <c r="N29" s="25">
        <f>'Revenue'!N65</f>
        <v>0</v>
      </c>
      <c r="O29" s="25">
        <f>'Revenue'!O65</f>
        <v>0</v>
      </c>
      <c r="P29" s="25">
        <f>'Revenue'!P65</f>
        <v>0</v>
      </c>
      <c r="Q29" s="25">
        <f>'Revenue'!Q65</f>
        <v>0</v>
      </c>
      <c r="R29" s="25">
        <f>'Revenue'!R65</f>
        <v>0</v>
      </c>
      <c r="S29" s="25">
        <f>'Revenue'!S65</f>
        <v>0</v>
      </c>
      <c r="T29" s="25">
        <f>'Revenue'!T65</f>
        <v>0</v>
      </c>
      <c r="U29" s="25">
        <f>'Revenue'!U65</f>
        <v>0</v>
      </c>
      <c r="V29" s="25">
        <f>'Revenue'!V65</f>
        <v>0</v>
      </c>
      <c r="W29" s="25">
        <f>'Revenue'!W65</f>
        <v>0</v>
      </c>
      <c r="X29" s="25">
        <f>'Revenue'!X65</f>
        <v>0</v>
      </c>
      <c r="Y29" s="25">
        <f>'Revenue'!Y65</f>
        <v>0</v>
      </c>
      <c r="Z29" s="25">
        <f>'Revenue'!Z65</f>
        <v>0</v>
      </c>
      <c r="AA29" s="25">
        <f>'Revenue'!AA65</f>
        <v>0</v>
      </c>
      <c r="AB29" s="25">
        <f>'Revenue'!AB65</f>
        <v>0</v>
      </c>
      <c r="AC29" s="25">
        <f>'Revenue'!AC65</f>
        <v>0</v>
      </c>
      <c r="AD29" s="25">
        <f>'Revenue'!AD65</f>
        <v>0</v>
      </c>
      <c r="AE29" s="25">
        <f>'Revenue'!AE65</f>
        <v>0</v>
      </c>
      <c r="AF29" s="25">
        <f>'Revenue'!AF65</f>
        <v>0</v>
      </c>
      <c r="AG29" s="25">
        <f>'Revenue'!AG65</f>
        <v>0</v>
      </c>
      <c r="AH29" s="25">
        <f>'Revenue'!AH65</f>
        <v>0</v>
      </c>
      <c r="AI29" s="25">
        <f>'Revenue'!AI65</f>
        <v>0</v>
      </c>
      <c r="AJ29" s="25">
        <f>'Revenue'!AJ65</f>
        <v>0</v>
      </c>
      <c r="AK29" s="25">
        <f>'Revenue'!AK65</f>
        <v>0</v>
      </c>
      <c r="AL29" s="25">
        <f>'Revenue'!AL65</f>
        <v>0</v>
      </c>
      <c r="AN29" s="25">
        <f>AVERAGE(C29:E29)</f>
        <v>0</v>
      </c>
      <c r="AO29" s="25">
        <f>AVERAGE(F29:H29)</f>
        <v>0</v>
      </c>
      <c r="AP29" s="25">
        <f>AVERAGE(I29:K29)</f>
        <v>0</v>
      </c>
      <c r="AQ29" s="25">
        <f>AVERAGE(L29:N29)</f>
        <v>0</v>
      </c>
      <c r="AR29" s="25">
        <f>AVERAGE(O29:Q29)</f>
        <v>0</v>
      </c>
      <c r="AS29" s="25">
        <f>AVERAGE(R29:T29)</f>
        <v>0</v>
      </c>
      <c r="AT29" s="25">
        <f>AVERAGE(U29:W29)</f>
        <v>0</v>
      </c>
      <c r="AU29" s="25">
        <f>AVERAGE(X29:Z29)</f>
        <v>0</v>
      </c>
      <c r="AV29" s="25">
        <f>AVERAGE(AA29:AC29)</f>
        <v>0</v>
      </c>
      <c r="AW29" s="25">
        <f>AVERAGE(AD29:AF29)</f>
        <v>0</v>
      </c>
      <c r="AX29" s="25">
        <f>AVERAGE(AG29:AI29)</f>
        <v>0</v>
      </c>
      <c r="AY29" s="25">
        <f>AVERAGE(AJ29:AL29)</f>
        <v>0</v>
      </c>
      <c r="BA29" s="25">
        <f>AVERAGE(C29:N29)</f>
        <v>0</v>
      </c>
      <c r="BB29" s="25">
        <f>AVERAGE(O29:Z29)</f>
        <v>0</v>
      </c>
      <c r="BC29" s="25">
        <f>AVERAGE(AA29:AL29)</f>
        <v>0</v>
      </c>
    </row>
    <row r="30" spans="1:55">
      <c r="A30" s="18" t="s">
        <v>323</v>
      </c>
      <c r="B30" s="16" t="s">
        <v>324</v>
      </c>
      <c r="C30" s="27">
        <f>IFERROR(INDEX('Cash &amp; Runway'!$C:$AL,MATCH("Monthly Net Burn",'Cash &amp; Runway'!$A:$A,0),1)/MAX(1,'Revenue'!C59),999)</f>
        <v>0</v>
      </c>
      <c r="D30" s="27">
        <f>IFERROR(INDEX('Cash &amp; Runway'!$C:$AL,MATCH("Monthly Net Burn",'Cash &amp; Runway'!$A:$A,0),2)/MAX(1,'Revenue'!D59),999)</f>
        <v>0</v>
      </c>
      <c r="E30" s="27">
        <f>IFERROR(INDEX('Cash &amp; Runway'!$C:$AL,MATCH("Monthly Net Burn",'Cash &amp; Runway'!$A:$A,0),3)/MAX(1,'Revenue'!E59),999)</f>
        <v>0</v>
      </c>
      <c r="F30" s="27">
        <f>IFERROR(INDEX('Cash &amp; Runway'!$C:$AL,MATCH("Monthly Net Burn",'Cash &amp; Runway'!$A:$A,0),4)/MAX(1,'Revenue'!F59),999)</f>
        <v>0</v>
      </c>
      <c r="G30" s="27">
        <f>IFERROR(INDEX('Cash &amp; Runway'!$C:$AL,MATCH("Monthly Net Burn",'Cash &amp; Runway'!$A:$A,0),5)/MAX(1,'Revenue'!G59),999)</f>
        <v>0</v>
      </c>
      <c r="H30" s="27">
        <f>IFERROR(INDEX('Cash &amp; Runway'!$C:$AL,MATCH("Monthly Net Burn",'Cash &amp; Runway'!$A:$A,0),6)/MAX(1,'Revenue'!H59),999)</f>
        <v>0</v>
      </c>
      <c r="I30" s="27">
        <f>IFERROR(INDEX('Cash &amp; Runway'!$C:$AL,MATCH("Monthly Net Burn",'Cash &amp; Runway'!$A:$A,0),7)/MAX(1,'Revenue'!I59),999)</f>
        <v>0</v>
      </c>
      <c r="J30" s="27">
        <f>IFERROR(INDEX('Cash &amp; Runway'!$C:$AL,MATCH("Monthly Net Burn",'Cash &amp; Runway'!$A:$A,0),8)/MAX(1,'Revenue'!J59),999)</f>
        <v>0</v>
      </c>
      <c r="K30" s="27">
        <f>IFERROR(INDEX('Cash &amp; Runway'!$C:$AL,MATCH("Monthly Net Burn",'Cash &amp; Runway'!$A:$A,0),9)/MAX(1,'Revenue'!K59),999)</f>
        <v>0</v>
      </c>
      <c r="L30" s="27">
        <f>IFERROR(INDEX('Cash &amp; Runway'!$C:$AL,MATCH("Monthly Net Burn",'Cash &amp; Runway'!$A:$A,0),10)/MAX(1,'Revenue'!L59),999)</f>
        <v>0</v>
      </c>
      <c r="M30" s="27">
        <f>IFERROR(INDEX('Cash &amp; Runway'!$C:$AL,MATCH("Monthly Net Burn",'Cash &amp; Runway'!$A:$A,0),11)/MAX(1,'Revenue'!M59),999)</f>
        <v>0</v>
      </c>
      <c r="N30" s="27">
        <f>IFERROR(INDEX('Cash &amp; Runway'!$C:$AL,MATCH("Monthly Net Burn",'Cash &amp; Runway'!$A:$A,0),12)/MAX(1,'Revenue'!N59),999)</f>
        <v>0</v>
      </c>
      <c r="O30" s="27">
        <f>IFERROR(INDEX('Cash &amp; Runway'!$C:$AL,MATCH("Monthly Net Burn",'Cash &amp; Runway'!$A:$A,0),13)/MAX(1,'Revenue'!O59),999)</f>
        <v>0</v>
      </c>
      <c r="P30" s="27">
        <f>IFERROR(INDEX('Cash &amp; Runway'!$C:$AL,MATCH("Monthly Net Burn",'Cash &amp; Runway'!$A:$A,0),14)/MAX(1,'Revenue'!P59),999)</f>
        <v>0</v>
      </c>
      <c r="Q30" s="27">
        <f>IFERROR(INDEX('Cash &amp; Runway'!$C:$AL,MATCH("Monthly Net Burn",'Cash &amp; Runway'!$A:$A,0),15)/MAX(1,'Revenue'!Q59),999)</f>
        <v>0</v>
      </c>
      <c r="R30" s="27">
        <f>IFERROR(INDEX('Cash &amp; Runway'!$C:$AL,MATCH("Monthly Net Burn",'Cash &amp; Runway'!$A:$A,0),16)/MAX(1,'Revenue'!R59),999)</f>
        <v>0</v>
      </c>
      <c r="S30" s="27">
        <f>IFERROR(INDEX('Cash &amp; Runway'!$C:$AL,MATCH("Monthly Net Burn",'Cash &amp; Runway'!$A:$A,0),17)/MAX(1,'Revenue'!S59),999)</f>
        <v>0</v>
      </c>
      <c r="T30" s="27">
        <f>IFERROR(INDEX('Cash &amp; Runway'!$C:$AL,MATCH("Monthly Net Burn",'Cash &amp; Runway'!$A:$A,0),18)/MAX(1,'Revenue'!T59),999)</f>
        <v>0</v>
      </c>
      <c r="U30" s="27">
        <f>IFERROR(INDEX('Cash &amp; Runway'!$C:$AL,MATCH("Monthly Net Burn",'Cash &amp; Runway'!$A:$A,0),19)/MAX(1,'Revenue'!U59),999)</f>
        <v>0</v>
      </c>
      <c r="V30" s="27">
        <f>IFERROR(INDEX('Cash &amp; Runway'!$C:$AL,MATCH("Monthly Net Burn",'Cash &amp; Runway'!$A:$A,0),20)/MAX(1,'Revenue'!V59),999)</f>
        <v>0</v>
      </c>
      <c r="W30" s="27">
        <f>IFERROR(INDEX('Cash &amp; Runway'!$C:$AL,MATCH("Monthly Net Burn",'Cash &amp; Runway'!$A:$A,0),21)/MAX(1,'Revenue'!W59),999)</f>
        <v>0</v>
      </c>
      <c r="X30" s="27">
        <f>IFERROR(INDEX('Cash &amp; Runway'!$C:$AL,MATCH("Monthly Net Burn",'Cash &amp; Runway'!$A:$A,0),22)/MAX(1,'Revenue'!X59),999)</f>
        <v>0</v>
      </c>
      <c r="Y30" s="27">
        <f>IFERROR(INDEX('Cash &amp; Runway'!$C:$AL,MATCH("Monthly Net Burn",'Cash &amp; Runway'!$A:$A,0),23)/MAX(1,'Revenue'!Y59),999)</f>
        <v>0</v>
      </c>
      <c r="Z30" s="27">
        <f>IFERROR(INDEX('Cash &amp; Runway'!$C:$AL,MATCH("Monthly Net Burn",'Cash &amp; Runway'!$A:$A,0),24)/MAX(1,'Revenue'!Z59),999)</f>
        <v>0</v>
      </c>
      <c r="AA30" s="27">
        <f>IFERROR(INDEX('Cash &amp; Runway'!$C:$AL,MATCH("Monthly Net Burn",'Cash &amp; Runway'!$A:$A,0),25)/MAX(1,'Revenue'!AA59),999)</f>
        <v>0</v>
      </c>
      <c r="AB30" s="27">
        <f>IFERROR(INDEX('Cash &amp; Runway'!$C:$AL,MATCH("Monthly Net Burn",'Cash &amp; Runway'!$A:$A,0),26)/MAX(1,'Revenue'!AB59),999)</f>
        <v>0</v>
      </c>
      <c r="AC30" s="27">
        <f>IFERROR(INDEX('Cash &amp; Runway'!$C:$AL,MATCH("Monthly Net Burn",'Cash &amp; Runway'!$A:$A,0),27)/MAX(1,'Revenue'!AC59),999)</f>
        <v>0</v>
      </c>
      <c r="AD30" s="27">
        <f>IFERROR(INDEX('Cash &amp; Runway'!$C:$AL,MATCH("Monthly Net Burn",'Cash &amp; Runway'!$A:$A,0),28)/MAX(1,'Revenue'!AD59),999)</f>
        <v>0</v>
      </c>
      <c r="AE30" s="27">
        <f>IFERROR(INDEX('Cash &amp; Runway'!$C:$AL,MATCH("Monthly Net Burn",'Cash &amp; Runway'!$A:$A,0),29)/MAX(1,'Revenue'!AE59),999)</f>
        <v>0</v>
      </c>
      <c r="AF30" s="27">
        <f>IFERROR(INDEX('Cash &amp; Runway'!$C:$AL,MATCH("Monthly Net Burn",'Cash &amp; Runway'!$A:$A,0),30)/MAX(1,'Revenue'!AF59),999)</f>
        <v>0</v>
      </c>
      <c r="AG30" s="27">
        <f>IFERROR(INDEX('Cash &amp; Runway'!$C:$AL,MATCH("Monthly Net Burn",'Cash &amp; Runway'!$A:$A,0),31)/MAX(1,'Revenue'!AG59),999)</f>
        <v>0</v>
      </c>
      <c r="AH30" s="27">
        <f>IFERROR(INDEX('Cash &amp; Runway'!$C:$AL,MATCH("Monthly Net Burn",'Cash &amp; Runway'!$A:$A,0),32)/MAX(1,'Revenue'!AH59),999)</f>
        <v>0</v>
      </c>
      <c r="AI30" s="27">
        <f>IFERROR(INDEX('Cash &amp; Runway'!$C:$AL,MATCH("Monthly Net Burn",'Cash &amp; Runway'!$A:$A,0),33)/MAX(1,'Revenue'!AI59),999)</f>
        <v>0</v>
      </c>
      <c r="AJ30" s="27">
        <f>IFERROR(INDEX('Cash &amp; Runway'!$C:$AL,MATCH("Monthly Net Burn",'Cash &amp; Runway'!$A:$A,0),34)/MAX(1,'Revenue'!AJ59),999)</f>
        <v>0</v>
      </c>
      <c r="AK30" s="27">
        <f>IFERROR(INDEX('Cash &amp; Runway'!$C:$AL,MATCH("Monthly Net Burn",'Cash &amp; Runway'!$A:$A,0),35)/MAX(1,'Revenue'!AK59),999)</f>
        <v>0</v>
      </c>
      <c r="AL30" s="27">
        <f>IFERROR(INDEX('Cash &amp; Runway'!$C:$AL,MATCH("Monthly Net Burn",'Cash &amp; Runway'!$A:$A,0),36)/MAX(1,'Revenue'!AL59),999)</f>
        <v>0</v>
      </c>
      <c r="AN30" s="27">
        <f>AVERAGE(C30:E30)</f>
        <v>0</v>
      </c>
      <c r="AO30" s="27">
        <f>AVERAGE(F30:H30)</f>
        <v>0</v>
      </c>
      <c r="AP30" s="27">
        <f>AVERAGE(I30:K30)</f>
        <v>0</v>
      </c>
      <c r="AQ30" s="27">
        <f>AVERAGE(L30:N30)</f>
        <v>0</v>
      </c>
      <c r="AR30" s="27">
        <f>AVERAGE(O30:Q30)</f>
        <v>0</v>
      </c>
      <c r="AS30" s="27">
        <f>AVERAGE(R30:T30)</f>
        <v>0</v>
      </c>
      <c r="AT30" s="27">
        <f>AVERAGE(U30:W30)</f>
        <v>0</v>
      </c>
      <c r="AU30" s="27">
        <f>AVERAGE(X30:Z30)</f>
        <v>0</v>
      </c>
      <c r="AV30" s="27">
        <f>AVERAGE(AA30:AC30)</f>
        <v>0</v>
      </c>
      <c r="AW30" s="27">
        <f>AVERAGE(AD30:AF30)</f>
        <v>0</v>
      </c>
      <c r="AX30" s="27">
        <f>AVERAGE(AG30:AI30)</f>
        <v>0</v>
      </c>
      <c r="AY30" s="27">
        <f>AVERAGE(AJ30:AL30)</f>
        <v>0</v>
      </c>
      <c r="BA30" s="27">
        <f>AVERAGE(C30:N30)</f>
        <v>0</v>
      </c>
      <c r="BB30" s="27">
        <f>AVERAGE(O30:Z30)</f>
        <v>0</v>
      </c>
      <c r="BC30" s="27">
        <f>AVERAGE(AA30:AL30)</f>
        <v>0</v>
      </c>
    </row>
    <row r="31" spans="1:55">
      <c r="A31" s="18" t="s">
        <v>325</v>
      </c>
      <c r="B31" s="16"/>
      <c r="C31" s="35">
        <f>INDEX('Cash &amp; Runway'!$C:$AL,MATCH("Runway (months)",'Cash &amp; Runway'!$A:$A,0),1)</f>
        <v>0</v>
      </c>
      <c r="D31" s="35">
        <f>INDEX('Cash &amp; Runway'!$C:$AL,MATCH("Runway (months)",'Cash &amp; Runway'!$A:$A,0),2)</f>
        <v>0</v>
      </c>
      <c r="E31" s="35">
        <f>INDEX('Cash &amp; Runway'!$C:$AL,MATCH("Runway (months)",'Cash &amp; Runway'!$A:$A,0),3)</f>
        <v>0</v>
      </c>
      <c r="F31" s="35">
        <f>INDEX('Cash &amp; Runway'!$C:$AL,MATCH("Runway (months)",'Cash &amp; Runway'!$A:$A,0),4)</f>
        <v>0</v>
      </c>
      <c r="G31" s="35">
        <f>INDEX('Cash &amp; Runway'!$C:$AL,MATCH("Runway (months)",'Cash &amp; Runway'!$A:$A,0),5)</f>
        <v>0</v>
      </c>
      <c r="H31" s="35">
        <f>INDEX('Cash &amp; Runway'!$C:$AL,MATCH("Runway (months)",'Cash &amp; Runway'!$A:$A,0),6)</f>
        <v>0</v>
      </c>
      <c r="I31" s="35">
        <f>INDEX('Cash &amp; Runway'!$C:$AL,MATCH("Runway (months)",'Cash &amp; Runway'!$A:$A,0),7)</f>
        <v>0</v>
      </c>
      <c r="J31" s="35">
        <f>INDEX('Cash &amp; Runway'!$C:$AL,MATCH("Runway (months)",'Cash &amp; Runway'!$A:$A,0),8)</f>
        <v>0</v>
      </c>
      <c r="K31" s="35">
        <f>INDEX('Cash &amp; Runway'!$C:$AL,MATCH("Runway (months)",'Cash &amp; Runway'!$A:$A,0),9)</f>
        <v>0</v>
      </c>
      <c r="L31" s="35">
        <f>INDEX('Cash &amp; Runway'!$C:$AL,MATCH("Runway (months)",'Cash &amp; Runway'!$A:$A,0),10)</f>
        <v>0</v>
      </c>
      <c r="M31" s="35">
        <f>INDEX('Cash &amp; Runway'!$C:$AL,MATCH("Runway (months)",'Cash &amp; Runway'!$A:$A,0),11)</f>
        <v>0</v>
      </c>
      <c r="N31" s="35">
        <f>INDEX('Cash &amp; Runway'!$C:$AL,MATCH("Runway (months)",'Cash &amp; Runway'!$A:$A,0),12)</f>
        <v>0</v>
      </c>
      <c r="O31" s="35">
        <f>INDEX('Cash &amp; Runway'!$C:$AL,MATCH("Runway (months)",'Cash &amp; Runway'!$A:$A,0),13)</f>
        <v>0</v>
      </c>
      <c r="P31" s="35">
        <f>INDEX('Cash &amp; Runway'!$C:$AL,MATCH("Runway (months)",'Cash &amp; Runway'!$A:$A,0),14)</f>
        <v>0</v>
      </c>
      <c r="Q31" s="35">
        <f>INDEX('Cash &amp; Runway'!$C:$AL,MATCH("Runway (months)",'Cash &amp; Runway'!$A:$A,0),15)</f>
        <v>0</v>
      </c>
      <c r="R31" s="35">
        <f>INDEX('Cash &amp; Runway'!$C:$AL,MATCH("Runway (months)",'Cash &amp; Runway'!$A:$A,0),16)</f>
        <v>0</v>
      </c>
      <c r="S31" s="35">
        <f>INDEX('Cash &amp; Runway'!$C:$AL,MATCH("Runway (months)",'Cash &amp; Runway'!$A:$A,0),17)</f>
        <v>0</v>
      </c>
      <c r="T31" s="35">
        <f>INDEX('Cash &amp; Runway'!$C:$AL,MATCH("Runway (months)",'Cash &amp; Runway'!$A:$A,0),18)</f>
        <v>0</v>
      </c>
      <c r="U31" s="35">
        <f>INDEX('Cash &amp; Runway'!$C:$AL,MATCH("Runway (months)",'Cash &amp; Runway'!$A:$A,0),19)</f>
        <v>0</v>
      </c>
      <c r="V31" s="35">
        <f>INDEX('Cash &amp; Runway'!$C:$AL,MATCH("Runway (months)",'Cash &amp; Runway'!$A:$A,0),20)</f>
        <v>0</v>
      </c>
      <c r="W31" s="35">
        <f>INDEX('Cash &amp; Runway'!$C:$AL,MATCH("Runway (months)",'Cash &amp; Runway'!$A:$A,0),21)</f>
        <v>0</v>
      </c>
      <c r="X31" s="35">
        <f>INDEX('Cash &amp; Runway'!$C:$AL,MATCH("Runway (months)",'Cash &amp; Runway'!$A:$A,0),22)</f>
        <v>0</v>
      </c>
      <c r="Y31" s="35">
        <f>INDEX('Cash &amp; Runway'!$C:$AL,MATCH("Runway (months)",'Cash &amp; Runway'!$A:$A,0),23)</f>
        <v>0</v>
      </c>
      <c r="Z31" s="35">
        <f>INDEX('Cash &amp; Runway'!$C:$AL,MATCH("Runway (months)",'Cash &amp; Runway'!$A:$A,0),24)</f>
        <v>0</v>
      </c>
      <c r="AA31" s="35">
        <f>INDEX('Cash &amp; Runway'!$C:$AL,MATCH("Runway (months)",'Cash &amp; Runway'!$A:$A,0),25)</f>
        <v>0</v>
      </c>
      <c r="AB31" s="35">
        <f>INDEX('Cash &amp; Runway'!$C:$AL,MATCH("Runway (months)",'Cash &amp; Runway'!$A:$A,0),26)</f>
        <v>0</v>
      </c>
      <c r="AC31" s="35">
        <f>INDEX('Cash &amp; Runway'!$C:$AL,MATCH("Runway (months)",'Cash &amp; Runway'!$A:$A,0),27)</f>
        <v>0</v>
      </c>
      <c r="AD31" s="35">
        <f>INDEX('Cash &amp; Runway'!$C:$AL,MATCH("Runway (months)",'Cash &amp; Runway'!$A:$A,0),28)</f>
        <v>0</v>
      </c>
      <c r="AE31" s="35">
        <f>INDEX('Cash &amp; Runway'!$C:$AL,MATCH("Runway (months)",'Cash &amp; Runway'!$A:$A,0),29)</f>
        <v>0</v>
      </c>
      <c r="AF31" s="35">
        <f>INDEX('Cash &amp; Runway'!$C:$AL,MATCH("Runway (months)",'Cash &amp; Runway'!$A:$A,0),30)</f>
        <v>0</v>
      </c>
      <c r="AG31" s="35">
        <f>INDEX('Cash &amp; Runway'!$C:$AL,MATCH("Runway (months)",'Cash &amp; Runway'!$A:$A,0),31)</f>
        <v>0</v>
      </c>
      <c r="AH31" s="35">
        <f>INDEX('Cash &amp; Runway'!$C:$AL,MATCH("Runway (months)",'Cash &amp; Runway'!$A:$A,0),32)</f>
        <v>0</v>
      </c>
      <c r="AI31" s="35">
        <f>INDEX('Cash &amp; Runway'!$C:$AL,MATCH("Runway (months)",'Cash &amp; Runway'!$A:$A,0),33)</f>
        <v>0</v>
      </c>
      <c r="AJ31" s="35">
        <f>INDEX('Cash &amp; Runway'!$C:$AL,MATCH("Runway (months)",'Cash &amp; Runway'!$A:$A,0),34)</f>
        <v>0</v>
      </c>
      <c r="AK31" s="35">
        <f>INDEX('Cash &amp; Runway'!$C:$AL,MATCH("Runway (months)",'Cash &amp; Runway'!$A:$A,0),35)</f>
        <v>0</v>
      </c>
      <c r="AL31" s="35">
        <f>INDEX('Cash &amp; Runway'!$C:$AL,MATCH("Runway (months)",'Cash &amp; Runway'!$A:$A,0),36)</f>
        <v>0</v>
      </c>
      <c r="AN31" s="35">
        <f>E31</f>
        <v>0</v>
      </c>
      <c r="AO31" s="35">
        <f>H31</f>
        <v>0</v>
      </c>
      <c r="AP31" s="35">
        <f>K31</f>
        <v>0</v>
      </c>
      <c r="AQ31" s="35">
        <f>N31</f>
        <v>0</v>
      </c>
      <c r="AR31" s="35">
        <f>Q31</f>
        <v>0</v>
      </c>
      <c r="AS31" s="35">
        <f>T31</f>
        <v>0</v>
      </c>
      <c r="AT31" s="35">
        <f>W31</f>
        <v>0</v>
      </c>
      <c r="AU31" s="35">
        <f>Z31</f>
        <v>0</v>
      </c>
      <c r="AV31" s="35">
        <f>AC31</f>
        <v>0</v>
      </c>
      <c r="AW31" s="35">
        <f>AF31</f>
        <v>0</v>
      </c>
      <c r="AX31" s="35">
        <f>AI31</f>
        <v>0</v>
      </c>
      <c r="AY31" s="35">
        <f>AL31</f>
        <v>0</v>
      </c>
      <c r="BA31" s="35">
        <f>N31</f>
        <v>0</v>
      </c>
      <c r="BB31" s="35">
        <f>Z31</f>
        <v>0</v>
      </c>
      <c r="BC31" s="35">
        <f>AL31</f>
        <v>0</v>
      </c>
    </row>
  </sheetData>
  <mergeCells count="8">
    <mergeCell ref="A1:BC1"/>
    <mergeCell ref="A2:BC2"/>
    <mergeCell ref="C5:AL5"/>
    <mergeCell ref="AN5:AY5"/>
    <mergeCell ref="BA5:BC5"/>
    <mergeCell ref="A7:BC7"/>
    <mergeCell ref="A15:BC15"/>
    <mergeCell ref="A23:BC23"/>
  </mergeCells>
  <pageMargins left="0.7" right="0.7" top="0.75" bottom="0.75" header="0.3" footer="0.3"/>
  <pageSetup paperSize="9" scale="55"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dimension ref="A1:BC25"/>
  <sheetViews>
    <sheetView showGridLines="0" zoomScale="110" zoomScaleNormal="11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40.7109375" customWidth="1"/>
    <col min="2" max="2" width="30.7109375" customWidth="1"/>
    <col min="3" max="38" width="11.7109375" customWidth="1"/>
    <col min="39" max="39" width="2.7109375" customWidth="1"/>
    <col min="40" max="51" width="12.7109375" customWidth="1"/>
    <col min="52" max="52" width="2.7109375" customWidth="1"/>
    <col min="53" max="55" width="12.7109375" customWidth="1"/>
  </cols>
  <sheetData>
    <row r="1" spans="1:55" ht="22" customHeight="1">
      <c r="A1" s="1" t="s">
        <v>326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ht="16" customHeight="1">
      <c r="A2" s="2" t="s">
        <v>327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</row>
    <row r="5" spans="1:55">
      <c r="A5" s="14" t="s">
        <v>191</v>
      </c>
      <c r="B5" s="14" t="s">
        <v>192</v>
      </c>
      <c r="C5" s="14" t="s">
        <v>188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N5" s="14" t="s">
        <v>189</v>
      </c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BA5" s="14" t="s">
        <v>190</v>
      </c>
      <c r="BB5" s="14"/>
      <c r="BC5" s="14"/>
    </row>
    <row r="6" spans="1:55">
      <c r="A6" s="17"/>
      <c r="B6" s="17"/>
      <c r="C6" s="28">
        <v>46023</v>
      </c>
      <c r="D6" s="28">
        <v>46054</v>
      </c>
      <c r="E6" s="28">
        <v>46082</v>
      </c>
      <c r="F6" s="28">
        <v>46113</v>
      </c>
      <c r="G6" s="28">
        <v>46143</v>
      </c>
      <c r="H6" s="28">
        <v>46174</v>
      </c>
      <c r="I6" s="28">
        <v>46204</v>
      </c>
      <c r="J6" s="28">
        <v>46235</v>
      </c>
      <c r="K6" s="28">
        <v>46266</v>
      </c>
      <c r="L6" s="28">
        <v>46296</v>
      </c>
      <c r="M6" s="28">
        <v>46327</v>
      </c>
      <c r="N6" s="28">
        <v>46357</v>
      </c>
      <c r="O6" s="28">
        <v>46388</v>
      </c>
      <c r="P6" s="28">
        <v>46419</v>
      </c>
      <c r="Q6" s="28">
        <v>46447</v>
      </c>
      <c r="R6" s="28">
        <v>46478</v>
      </c>
      <c r="S6" s="28">
        <v>46508</v>
      </c>
      <c r="T6" s="28">
        <v>46539</v>
      </c>
      <c r="U6" s="28">
        <v>46569</v>
      </c>
      <c r="V6" s="28">
        <v>46600</v>
      </c>
      <c r="W6" s="28">
        <v>46631</v>
      </c>
      <c r="X6" s="28">
        <v>46661</v>
      </c>
      <c r="Y6" s="28">
        <v>46692</v>
      </c>
      <c r="Z6" s="28">
        <v>46722</v>
      </c>
      <c r="AA6" s="28">
        <v>46753</v>
      </c>
      <c r="AB6" s="28">
        <v>46784</v>
      </c>
      <c r="AC6" s="28">
        <v>46813</v>
      </c>
      <c r="AD6" s="28">
        <v>46844</v>
      </c>
      <c r="AE6" s="28">
        <v>46874</v>
      </c>
      <c r="AF6" s="28">
        <v>46905</v>
      </c>
      <c r="AG6" s="28">
        <v>46935</v>
      </c>
      <c r="AH6" s="28">
        <v>46966</v>
      </c>
      <c r="AI6" s="28">
        <v>46997</v>
      </c>
      <c r="AJ6" s="28">
        <v>47027</v>
      </c>
      <c r="AK6" s="28">
        <v>47058</v>
      </c>
      <c r="AL6" s="28">
        <v>47088</v>
      </c>
      <c r="AN6" s="17" t="s">
        <v>193</v>
      </c>
      <c r="AO6" s="17" t="s">
        <v>194</v>
      </c>
      <c r="AP6" s="17" t="s">
        <v>195</v>
      </c>
      <c r="AQ6" s="17" t="s">
        <v>196</v>
      </c>
      <c r="AR6" s="17" t="s">
        <v>197</v>
      </c>
      <c r="AS6" s="17" t="s">
        <v>198</v>
      </c>
      <c r="AT6" s="17" t="s">
        <v>199</v>
      </c>
      <c r="AU6" s="17" t="s">
        <v>200</v>
      </c>
      <c r="AV6" s="17" t="s">
        <v>201</v>
      </c>
      <c r="AW6" s="17" t="s">
        <v>202</v>
      </c>
      <c r="AX6" s="17" t="s">
        <v>203</v>
      </c>
      <c r="AY6" s="17" t="s">
        <v>204</v>
      </c>
      <c r="BA6" s="17" t="s">
        <v>205</v>
      </c>
      <c r="BB6" s="17" t="s">
        <v>206</v>
      </c>
      <c r="BC6" s="17" t="s">
        <v>207</v>
      </c>
    </row>
    <row r="7" spans="1:55" ht="16" customHeight="1">
      <c r="A7" s="14" t="s">
        <v>328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</row>
    <row r="8" spans="1:55">
      <c r="A8" s="18" t="s">
        <v>329</v>
      </c>
      <c r="B8" s="16" t="s">
        <v>330</v>
      </c>
      <c r="C8" s="20">
        <f>'Headcount'!$C$25</f>
        <v>0</v>
      </c>
      <c r="D8" s="20">
        <f>'Headcount'!$D$25</f>
        <v>0</v>
      </c>
      <c r="E8" s="20">
        <f>'Headcount'!$E$25</f>
        <v>0</v>
      </c>
      <c r="F8" s="20">
        <f>'Headcount'!$F$25</f>
        <v>0</v>
      </c>
      <c r="G8" s="20">
        <f>'Headcount'!$G$25</f>
        <v>0</v>
      </c>
      <c r="H8" s="20">
        <f>'Headcount'!$H$25</f>
        <v>0</v>
      </c>
      <c r="I8" s="20">
        <f>'Headcount'!$I$25</f>
        <v>0</v>
      </c>
      <c r="J8" s="20">
        <f>'Headcount'!$J$25</f>
        <v>0</v>
      </c>
      <c r="K8" s="20">
        <f>'Headcount'!$K$25</f>
        <v>0</v>
      </c>
      <c r="L8" s="20">
        <f>'Headcount'!$L$25</f>
        <v>0</v>
      </c>
      <c r="M8" s="20">
        <f>'Headcount'!$M$25</f>
        <v>0</v>
      </c>
      <c r="N8" s="20">
        <f>'Headcount'!$N$25</f>
        <v>0</v>
      </c>
      <c r="O8" s="20">
        <f>'Headcount'!$O$25</f>
        <v>0</v>
      </c>
      <c r="P8" s="20">
        <f>'Headcount'!$P$25</f>
        <v>0</v>
      </c>
      <c r="Q8" s="20">
        <f>'Headcount'!$Q$25</f>
        <v>0</v>
      </c>
      <c r="R8" s="20">
        <f>'Headcount'!$R$25</f>
        <v>0</v>
      </c>
      <c r="S8" s="20">
        <f>'Headcount'!$S$25</f>
        <v>0</v>
      </c>
      <c r="T8" s="20">
        <f>'Headcount'!$T$25</f>
        <v>0</v>
      </c>
      <c r="U8" s="20">
        <f>'Headcount'!$U$25</f>
        <v>0</v>
      </c>
      <c r="V8" s="20">
        <f>'Headcount'!$V$25</f>
        <v>0</v>
      </c>
      <c r="W8" s="20">
        <f>'Headcount'!$W$25</f>
        <v>0</v>
      </c>
      <c r="X8" s="20">
        <f>'Headcount'!$X$25</f>
        <v>0</v>
      </c>
      <c r="Y8" s="20">
        <f>'Headcount'!$Y$25</f>
        <v>0</v>
      </c>
      <c r="Z8" s="20">
        <f>'Headcount'!$Z$25</f>
        <v>0</v>
      </c>
      <c r="AA8" s="20">
        <f>'Headcount'!$AA$25</f>
        <v>0</v>
      </c>
      <c r="AB8" s="20">
        <f>'Headcount'!$AB$25</f>
        <v>0</v>
      </c>
      <c r="AC8" s="20">
        <f>'Headcount'!$AC$25</f>
        <v>0</v>
      </c>
      <c r="AD8" s="20">
        <f>'Headcount'!$AD$25</f>
        <v>0</v>
      </c>
      <c r="AE8" s="20">
        <f>'Headcount'!$AE$25</f>
        <v>0</v>
      </c>
      <c r="AF8" s="20">
        <f>'Headcount'!$AF$25</f>
        <v>0</v>
      </c>
      <c r="AG8" s="20">
        <f>'Headcount'!$AG$25</f>
        <v>0</v>
      </c>
      <c r="AH8" s="20">
        <f>'Headcount'!$AH$25</f>
        <v>0</v>
      </c>
      <c r="AI8" s="20">
        <f>'Headcount'!$AI$25</f>
        <v>0</v>
      </c>
      <c r="AJ8" s="20">
        <f>'Headcount'!$AJ$25</f>
        <v>0</v>
      </c>
      <c r="AK8" s="20">
        <f>'Headcount'!$AK$25</f>
        <v>0</v>
      </c>
      <c r="AL8" s="20">
        <f>'Headcount'!$AL$25</f>
        <v>0</v>
      </c>
      <c r="AN8" s="20">
        <f>SUM(C8:E8)</f>
        <v>0</v>
      </c>
      <c r="AO8" s="20">
        <f>SUM(F8:H8)</f>
        <v>0</v>
      </c>
      <c r="AP8" s="20">
        <f>SUM(I8:K8)</f>
        <v>0</v>
      </c>
      <c r="AQ8" s="20">
        <f>SUM(L8:N8)</f>
        <v>0</v>
      </c>
      <c r="AR8" s="20">
        <f>SUM(O8:Q8)</f>
        <v>0</v>
      </c>
      <c r="AS8" s="20">
        <f>SUM(R8:T8)</f>
        <v>0</v>
      </c>
      <c r="AT8" s="20">
        <f>SUM(U8:W8)</f>
        <v>0</v>
      </c>
      <c r="AU8" s="20">
        <f>SUM(X8:Z8)</f>
        <v>0</v>
      </c>
      <c r="AV8" s="20">
        <f>SUM(AA8:AC8)</f>
        <v>0</v>
      </c>
      <c r="AW8" s="20">
        <f>SUM(AD8:AF8)</f>
        <v>0</v>
      </c>
      <c r="AX8" s="20">
        <f>SUM(AG8:AI8)</f>
        <v>0</v>
      </c>
      <c r="AY8" s="20">
        <f>SUM(AJ8:AL8)</f>
        <v>0</v>
      </c>
      <c r="BA8" s="20">
        <f>SUM(C8:N8)</f>
        <v>0</v>
      </c>
      <c r="BB8" s="20">
        <f>SUM(O8:Z8)</f>
        <v>0</v>
      </c>
      <c r="BC8" s="20">
        <f>SUM(AA8:AL8)</f>
        <v>0</v>
      </c>
    </row>
    <row r="9" spans="1:55">
      <c r="A9" s="18" t="s">
        <v>331</v>
      </c>
      <c r="B9" s="16" t="s">
        <v>332</v>
      </c>
      <c r="C9" s="20">
        <f>'Revenue'!C59*'Assumptions'!$F$80</f>
        <v>0</v>
      </c>
      <c r="D9" s="20">
        <f>'Revenue'!D59*'Assumptions'!$F$80</f>
        <v>0</v>
      </c>
      <c r="E9" s="20">
        <f>'Revenue'!E59*'Assumptions'!$F$80</f>
        <v>0</v>
      </c>
      <c r="F9" s="20">
        <f>'Revenue'!F59*'Assumptions'!$F$80</f>
        <v>0</v>
      </c>
      <c r="G9" s="20">
        <f>'Revenue'!G59*'Assumptions'!$F$80</f>
        <v>0</v>
      </c>
      <c r="H9" s="20">
        <f>'Revenue'!H59*'Assumptions'!$F$80</f>
        <v>0</v>
      </c>
      <c r="I9" s="20">
        <f>'Revenue'!I59*'Assumptions'!$F$80</f>
        <v>0</v>
      </c>
      <c r="J9" s="20">
        <f>'Revenue'!J59*'Assumptions'!$F$80</f>
        <v>0</v>
      </c>
      <c r="K9" s="20">
        <f>'Revenue'!K59*'Assumptions'!$F$80</f>
        <v>0</v>
      </c>
      <c r="L9" s="20">
        <f>'Revenue'!L59*'Assumptions'!$F$80</f>
        <v>0</v>
      </c>
      <c r="M9" s="20">
        <f>'Revenue'!M59*'Assumptions'!$F$80</f>
        <v>0</v>
      </c>
      <c r="N9" s="20">
        <f>'Revenue'!N59*'Assumptions'!$F$80</f>
        <v>0</v>
      </c>
      <c r="O9" s="20">
        <f>'Revenue'!O59*'Assumptions'!$F$80</f>
        <v>0</v>
      </c>
      <c r="P9" s="20">
        <f>'Revenue'!P59*'Assumptions'!$F$80</f>
        <v>0</v>
      </c>
      <c r="Q9" s="20">
        <f>'Revenue'!Q59*'Assumptions'!$F$80</f>
        <v>0</v>
      </c>
      <c r="R9" s="20">
        <f>'Revenue'!R59*'Assumptions'!$F$80</f>
        <v>0</v>
      </c>
      <c r="S9" s="20">
        <f>'Revenue'!S59*'Assumptions'!$F$80</f>
        <v>0</v>
      </c>
      <c r="T9" s="20">
        <f>'Revenue'!T59*'Assumptions'!$F$80</f>
        <v>0</v>
      </c>
      <c r="U9" s="20">
        <f>'Revenue'!U59*'Assumptions'!$F$80</f>
        <v>0</v>
      </c>
      <c r="V9" s="20">
        <f>'Revenue'!V59*'Assumptions'!$F$80</f>
        <v>0</v>
      </c>
      <c r="W9" s="20">
        <f>'Revenue'!W59*'Assumptions'!$F$80</f>
        <v>0</v>
      </c>
      <c r="X9" s="20">
        <f>'Revenue'!X59*'Assumptions'!$F$80</f>
        <v>0</v>
      </c>
      <c r="Y9" s="20">
        <f>'Revenue'!Y59*'Assumptions'!$F$80</f>
        <v>0</v>
      </c>
      <c r="Z9" s="20">
        <f>'Revenue'!Z59*'Assumptions'!$F$80</f>
        <v>0</v>
      </c>
      <c r="AA9" s="20">
        <f>'Revenue'!AA59*'Assumptions'!$F$80</f>
        <v>0</v>
      </c>
      <c r="AB9" s="20">
        <f>'Revenue'!AB59*'Assumptions'!$F$80</f>
        <v>0</v>
      </c>
      <c r="AC9" s="20">
        <f>'Revenue'!AC59*'Assumptions'!$F$80</f>
        <v>0</v>
      </c>
      <c r="AD9" s="20">
        <f>'Revenue'!AD59*'Assumptions'!$F$80</f>
        <v>0</v>
      </c>
      <c r="AE9" s="20">
        <f>'Revenue'!AE59*'Assumptions'!$F$80</f>
        <v>0</v>
      </c>
      <c r="AF9" s="20">
        <f>'Revenue'!AF59*'Assumptions'!$F$80</f>
        <v>0</v>
      </c>
      <c r="AG9" s="20">
        <f>'Revenue'!AG59*'Assumptions'!$F$80</f>
        <v>0</v>
      </c>
      <c r="AH9" s="20">
        <f>'Revenue'!AH59*'Assumptions'!$F$80</f>
        <v>0</v>
      </c>
      <c r="AI9" s="20">
        <f>'Revenue'!AI59*'Assumptions'!$F$80</f>
        <v>0</v>
      </c>
      <c r="AJ9" s="20">
        <f>'Revenue'!AJ59*'Assumptions'!$F$80</f>
        <v>0</v>
      </c>
      <c r="AK9" s="20">
        <f>'Revenue'!AK59*'Assumptions'!$F$80</f>
        <v>0</v>
      </c>
      <c r="AL9" s="20">
        <f>'Revenue'!AL59*'Assumptions'!$F$80</f>
        <v>0</v>
      </c>
      <c r="AN9" s="20">
        <f>SUM(C9:E9)</f>
        <v>0</v>
      </c>
      <c r="AO9" s="20">
        <f>SUM(F9:H9)</f>
        <v>0</v>
      </c>
      <c r="AP9" s="20">
        <f>SUM(I9:K9)</f>
        <v>0</v>
      </c>
      <c r="AQ9" s="20">
        <f>SUM(L9:N9)</f>
        <v>0</v>
      </c>
      <c r="AR9" s="20">
        <f>SUM(O9:Q9)</f>
        <v>0</v>
      </c>
      <c r="AS9" s="20">
        <f>SUM(R9:T9)</f>
        <v>0</v>
      </c>
      <c r="AT9" s="20">
        <f>SUM(U9:W9)</f>
        <v>0</v>
      </c>
      <c r="AU9" s="20">
        <f>SUM(X9:Z9)</f>
        <v>0</v>
      </c>
      <c r="AV9" s="20">
        <f>SUM(AA9:AC9)</f>
        <v>0</v>
      </c>
      <c r="AW9" s="20">
        <f>SUM(AD9:AF9)</f>
        <v>0</v>
      </c>
      <c r="AX9" s="20">
        <f>SUM(AG9:AI9)</f>
        <v>0</v>
      </c>
      <c r="AY9" s="20">
        <f>SUM(AJ9:AL9)</f>
        <v>0</v>
      </c>
      <c r="BA9" s="20">
        <f>SUM(C9:N9)</f>
        <v>0</v>
      </c>
      <c r="BB9" s="20">
        <f>SUM(O9:Z9)</f>
        <v>0</v>
      </c>
      <c r="BC9" s="20">
        <f>SUM(AA9:AL9)</f>
        <v>0</v>
      </c>
    </row>
    <row r="10" spans="1:55">
      <c r="A10" s="18" t="s">
        <v>333</v>
      </c>
      <c r="B10" s="16" t="s">
        <v>334</v>
      </c>
      <c r="C10" s="20">
        <f>'Revenue'!C57*'Assumptions'!$F$81</f>
        <v>0</v>
      </c>
      <c r="D10" s="20">
        <f>'Revenue'!D57*'Assumptions'!$F$81</f>
        <v>0</v>
      </c>
      <c r="E10" s="20">
        <f>'Revenue'!E57*'Assumptions'!$F$81</f>
        <v>0</v>
      </c>
      <c r="F10" s="20">
        <f>'Revenue'!F57*'Assumptions'!$F$81</f>
        <v>0</v>
      </c>
      <c r="G10" s="20">
        <f>'Revenue'!G57*'Assumptions'!$F$81</f>
        <v>0</v>
      </c>
      <c r="H10" s="20">
        <f>'Revenue'!H57*'Assumptions'!$F$81</f>
        <v>0</v>
      </c>
      <c r="I10" s="20">
        <f>'Revenue'!I57*'Assumptions'!$F$81</f>
        <v>0</v>
      </c>
      <c r="J10" s="20">
        <f>'Revenue'!J57*'Assumptions'!$F$81</f>
        <v>0</v>
      </c>
      <c r="K10" s="20">
        <f>'Revenue'!K57*'Assumptions'!$F$81</f>
        <v>0</v>
      </c>
      <c r="L10" s="20">
        <f>'Revenue'!L57*'Assumptions'!$F$81</f>
        <v>0</v>
      </c>
      <c r="M10" s="20">
        <f>'Revenue'!M57*'Assumptions'!$F$81</f>
        <v>0</v>
      </c>
      <c r="N10" s="20">
        <f>'Revenue'!N57*'Assumptions'!$F$81</f>
        <v>0</v>
      </c>
      <c r="O10" s="20">
        <f>'Revenue'!O57*'Assumptions'!$F$81</f>
        <v>0</v>
      </c>
      <c r="P10" s="20">
        <f>'Revenue'!P57*'Assumptions'!$F$81</f>
        <v>0</v>
      </c>
      <c r="Q10" s="20">
        <f>'Revenue'!Q57*'Assumptions'!$F$81</f>
        <v>0</v>
      </c>
      <c r="R10" s="20">
        <f>'Revenue'!R57*'Assumptions'!$F$81</f>
        <v>0</v>
      </c>
      <c r="S10" s="20">
        <f>'Revenue'!S57*'Assumptions'!$F$81</f>
        <v>0</v>
      </c>
      <c r="T10" s="20">
        <f>'Revenue'!T57*'Assumptions'!$F$81</f>
        <v>0</v>
      </c>
      <c r="U10" s="20">
        <f>'Revenue'!U57*'Assumptions'!$F$81</f>
        <v>0</v>
      </c>
      <c r="V10" s="20">
        <f>'Revenue'!V57*'Assumptions'!$F$81</f>
        <v>0</v>
      </c>
      <c r="W10" s="20">
        <f>'Revenue'!W57*'Assumptions'!$F$81</f>
        <v>0</v>
      </c>
      <c r="X10" s="20">
        <f>'Revenue'!X57*'Assumptions'!$F$81</f>
        <v>0</v>
      </c>
      <c r="Y10" s="20">
        <f>'Revenue'!Y57*'Assumptions'!$F$81</f>
        <v>0</v>
      </c>
      <c r="Z10" s="20">
        <f>'Revenue'!Z57*'Assumptions'!$F$81</f>
        <v>0</v>
      </c>
      <c r="AA10" s="20">
        <f>'Revenue'!AA57*'Assumptions'!$F$81</f>
        <v>0</v>
      </c>
      <c r="AB10" s="20">
        <f>'Revenue'!AB57*'Assumptions'!$F$81</f>
        <v>0</v>
      </c>
      <c r="AC10" s="20">
        <f>'Revenue'!AC57*'Assumptions'!$F$81</f>
        <v>0</v>
      </c>
      <c r="AD10" s="20">
        <f>'Revenue'!AD57*'Assumptions'!$F$81</f>
        <v>0</v>
      </c>
      <c r="AE10" s="20">
        <f>'Revenue'!AE57*'Assumptions'!$F$81</f>
        <v>0</v>
      </c>
      <c r="AF10" s="20">
        <f>'Revenue'!AF57*'Assumptions'!$F$81</f>
        <v>0</v>
      </c>
      <c r="AG10" s="20">
        <f>'Revenue'!AG57*'Assumptions'!$F$81</f>
        <v>0</v>
      </c>
      <c r="AH10" s="20">
        <f>'Revenue'!AH57*'Assumptions'!$F$81</f>
        <v>0</v>
      </c>
      <c r="AI10" s="20">
        <f>'Revenue'!AI57*'Assumptions'!$F$81</f>
        <v>0</v>
      </c>
      <c r="AJ10" s="20">
        <f>'Revenue'!AJ57*'Assumptions'!$F$81</f>
        <v>0</v>
      </c>
      <c r="AK10" s="20">
        <f>'Revenue'!AK57*'Assumptions'!$F$81</f>
        <v>0</v>
      </c>
      <c r="AL10" s="20">
        <f>'Revenue'!AL57*'Assumptions'!$F$81</f>
        <v>0</v>
      </c>
      <c r="AN10" s="20">
        <f>SUM(C10:E10)</f>
        <v>0</v>
      </c>
      <c r="AO10" s="20">
        <f>SUM(F10:H10)</f>
        <v>0</v>
      </c>
      <c r="AP10" s="20">
        <f>SUM(I10:K10)</f>
        <v>0</v>
      </c>
      <c r="AQ10" s="20">
        <f>SUM(L10:N10)</f>
        <v>0</v>
      </c>
      <c r="AR10" s="20">
        <f>SUM(O10:Q10)</f>
        <v>0</v>
      </c>
      <c r="AS10" s="20">
        <f>SUM(R10:T10)</f>
        <v>0</v>
      </c>
      <c r="AT10" s="20">
        <f>SUM(U10:W10)</f>
        <v>0</v>
      </c>
      <c r="AU10" s="20">
        <f>SUM(X10:Z10)</f>
        <v>0</v>
      </c>
      <c r="AV10" s="20">
        <f>SUM(AA10:AC10)</f>
        <v>0</v>
      </c>
      <c r="AW10" s="20">
        <f>SUM(AD10:AF10)</f>
        <v>0</v>
      </c>
      <c r="AX10" s="20">
        <f>SUM(AG10:AI10)</f>
        <v>0</v>
      </c>
      <c r="AY10" s="20">
        <f>SUM(AJ10:AL10)</f>
        <v>0</v>
      </c>
      <c r="BA10" s="20">
        <f>SUM(C10:N10)</f>
        <v>0</v>
      </c>
      <c r="BB10" s="20">
        <f>SUM(O10:Z10)</f>
        <v>0</v>
      </c>
      <c r="BC10" s="20">
        <f>SUM(AA10:AL10)</f>
        <v>0</v>
      </c>
    </row>
    <row r="11" spans="1:55">
      <c r="A11" s="18" t="s">
        <v>335</v>
      </c>
      <c r="B11" s="16" t="s">
        <v>336</v>
      </c>
      <c r="C11" s="20">
        <f>'Revenue'!C60*'Assumptions'!$F$82</f>
        <v>0</v>
      </c>
      <c r="D11" s="20">
        <f>'Revenue'!D60*'Assumptions'!$F$82</f>
        <v>0</v>
      </c>
      <c r="E11" s="20">
        <f>'Revenue'!E60*'Assumptions'!$F$82</f>
        <v>0</v>
      </c>
      <c r="F11" s="20">
        <f>'Revenue'!F60*'Assumptions'!$F$82</f>
        <v>0</v>
      </c>
      <c r="G11" s="20">
        <f>'Revenue'!G60*'Assumptions'!$F$82</f>
        <v>0</v>
      </c>
      <c r="H11" s="20">
        <f>'Revenue'!H60*'Assumptions'!$F$82</f>
        <v>0</v>
      </c>
      <c r="I11" s="20">
        <f>'Revenue'!I60*'Assumptions'!$F$82</f>
        <v>0</v>
      </c>
      <c r="J11" s="20">
        <f>'Revenue'!J60*'Assumptions'!$F$82</f>
        <v>0</v>
      </c>
      <c r="K11" s="20">
        <f>'Revenue'!K60*'Assumptions'!$F$82</f>
        <v>0</v>
      </c>
      <c r="L11" s="20">
        <f>'Revenue'!L60*'Assumptions'!$F$82</f>
        <v>0</v>
      </c>
      <c r="M11" s="20">
        <f>'Revenue'!M60*'Assumptions'!$F$82</f>
        <v>0</v>
      </c>
      <c r="N11" s="20">
        <f>'Revenue'!N60*'Assumptions'!$F$82</f>
        <v>0</v>
      </c>
      <c r="O11" s="20">
        <f>'Revenue'!O60*'Assumptions'!$F$82</f>
        <v>0</v>
      </c>
      <c r="P11" s="20">
        <f>'Revenue'!P60*'Assumptions'!$F$82</f>
        <v>0</v>
      </c>
      <c r="Q11" s="20">
        <f>'Revenue'!Q60*'Assumptions'!$F$82</f>
        <v>0</v>
      </c>
      <c r="R11" s="20">
        <f>'Revenue'!R60*'Assumptions'!$F$82</f>
        <v>0</v>
      </c>
      <c r="S11" s="20">
        <f>'Revenue'!S60*'Assumptions'!$F$82</f>
        <v>0</v>
      </c>
      <c r="T11" s="20">
        <f>'Revenue'!T60*'Assumptions'!$F$82</f>
        <v>0</v>
      </c>
      <c r="U11" s="20">
        <f>'Revenue'!U60*'Assumptions'!$F$82</f>
        <v>0</v>
      </c>
      <c r="V11" s="20">
        <f>'Revenue'!V60*'Assumptions'!$F$82</f>
        <v>0</v>
      </c>
      <c r="W11" s="20">
        <f>'Revenue'!W60*'Assumptions'!$F$82</f>
        <v>0</v>
      </c>
      <c r="X11" s="20">
        <f>'Revenue'!X60*'Assumptions'!$F$82</f>
        <v>0</v>
      </c>
      <c r="Y11" s="20">
        <f>'Revenue'!Y60*'Assumptions'!$F$82</f>
        <v>0</v>
      </c>
      <c r="Z11" s="20">
        <f>'Revenue'!Z60*'Assumptions'!$F$82</f>
        <v>0</v>
      </c>
      <c r="AA11" s="20">
        <f>'Revenue'!AA60*'Assumptions'!$F$82</f>
        <v>0</v>
      </c>
      <c r="AB11" s="20">
        <f>'Revenue'!AB60*'Assumptions'!$F$82</f>
        <v>0</v>
      </c>
      <c r="AC11" s="20">
        <f>'Revenue'!AC60*'Assumptions'!$F$82</f>
        <v>0</v>
      </c>
      <c r="AD11" s="20">
        <f>'Revenue'!AD60*'Assumptions'!$F$82</f>
        <v>0</v>
      </c>
      <c r="AE11" s="20">
        <f>'Revenue'!AE60*'Assumptions'!$F$82</f>
        <v>0</v>
      </c>
      <c r="AF11" s="20">
        <f>'Revenue'!AF60*'Assumptions'!$F$82</f>
        <v>0</v>
      </c>
      <c r="AG11" s="20">
        <f>'Revenue'!AG60*'Assumptions'!$F$82</f>
        <v>0</v>
      </c>
      <c r="AH11" s="20">
        <f>'Revenue'!AH60*'Assumptions'!$F$82</f>
        <v>0</v>
      </c>
      <c r="AI11" s="20">
        <f>'Revenue'!AI60*'Assumptions'!$F$82</f>
        <v>0</v>
      </c>
      <c r="AJ11" s="20">
        <f>'Revenue'!AJ60*'Assumptions'!$F$82</f>
        <v>0</v>
      </c>
      <c r="AK11" s="20">
        <f>'Revenue'!AK60*'Assumptions'!$F$82</f>
        <v>0</v>
      </c>
      <c r="AL11" s="20">
        <f>'Revenue'!AL60*'Assumptions'!$F$82</f>
        <v>0</v>
      </c>
      <c r="AN11" s="20">
        <f>SUM(C11:E11)</f>
        <v>0</v>
      </c>
      <c r="AO11" s="20">
        <f>SUM(F11:H11)</f>
        <v>0</v>
      </c>
      <c r="AP11" s="20">
        <f>SUM(I11:K11)</f>
        <v>0</v>
      </c>
      <c r="AQ11" s="20">
        <f>SUM(L11:N11)</f>
        <v>0</v>
      </c>
      <c r="AR11" s="20">
        <f>SUM(O11:Q11)</f>
        <v>0</v>
      </c>
      <c r="AS11" s="20">
        <f>SUM(R11:T11)</f>
        <v>0</v>
      </c>
      <c r="AT11" s="20">
        <f>SUM(U11:W11)</f>
        <v>0</v>
      </c>
      <c r="AU11" s="20">
        <f>SUM(X11:Z11)</f>
        <v>0</v>
      </c>
      <c r="AV11" s="20">
        <f>SUM(AA11:AC11)</f>
        <v>0</v>
      </c>
      <c r="AW11" s="20">
        <f>SUM(AD11:AF11)</f>
        <v>0</v>
      </c>
      <c r="AX11" s="20">
        <f>SUM(AG11:AI11)</f>
        <v>0</v>
      </c>
      <c r="AY11" s="20">
        <f>SUM(AJ11:AL11)</f>
        <v>0</v>
      </c>
      <c r="BA11" s="20">
        <f>SUM(C11:N11)</f>
        <v>0</v>
      </c>
      <c r="BB11" s="20">
        <f>SUM(O11:Z11)</f>
        <v>0</v>
      </c>
      <c r="BC11" s="20">
        <f>SUM(AA11:AL11)</f>
        <v>0</v>
      </c>
    </row>
    <row r="12" spans="1:55">
      <c r="A12" s="30" t="s">
        <v>337</v>
      </c>
      <c r="B12" s="16"/>
      <c r="C12" s="31">
        <f>C8+C9+C10+C11</f>
        <v>0</v>
      </c>
      <c r="D12" s="31">
        <f>D8+D9+D10+D11</f>
        <v>0</v>
      </c>
      <c r="E12" s="31">
        <f>E8+E9+E10+E11</f>
        <v>0</v>
      </c>
      <c r="F12" s="31">
        <f>F8+F9+F10+F11</f>
        <v>0</v>
      </c>
      <c r="G12" s="31">
        <f>G8+G9+G10+G11</f>
        <v>0</v>
      </c>
      <c r="H12" s="31">
        <f>H8+H9+H10+H11</f>
        <v>0</v>
      </c>
      <c r="I12" s="31">
        <f>I8+I9+I10+I11</f>
        <v>0</v>
      </c>
      <c r="J12" s="31">
        <f>J8+J9+J10+J11</f>
        <v>0</v>
      </c>
      <c r="K12" s="31">
        <f>K8+K9+K10+K11</f>
        <v>0</v>
      </c>
      <c r="L12" s="31">
        <f>L8+L9+L10+L11</f>
        <v>0</v>
      </c>
      <c r="M12" s="31">
        <f>M8+M9+M10+M11</f>
        <v>0</v>
      </c>
      <c r="N12" s="31">
        <f>N8+N9+N10+N11</f>
        <v>0</v>
      </c>
      <c r="O12" s="31">
        <f>O8+O9+O10+O11</f>
        <v>0</v>
      </c>
      <c r="P12" s="31">
        <f>P8+P9+P10+P11</f>
        <v>0</v>
      </c>
      <c r="Q12" s="31">
        <f>Q8+Q9+Q10+Q11</f>
        <v>0</v>
      </c>
      <c r="R12" s="31">
        <f>R8+R9+R10+R11</f>
        <v>0</v>
      </c>
      <c r="S12" s="31">
        <f>S8+S9+S10+S11</f>
        <v>0</v>
      </c>
      <c r="T12" s="31">
        <f>T8+T9+T10+T11</f>
        <v>0</v>
      </c>
      <c r="U12" s="31">
        <f>U8+U9+U10+U11</f>
        <v>0</v>
      </c>
      <c r="V12" s="31">
        <f>V8+V9+V10+V11</f>
        <v>0</v>
      </c>
      <c r="W12" s="31">
        <f>W8+W9+W10+W11</f>
        <v>0</v>
      </c>
      <c r="X12" s="31">
        <f>X8+X9+X10+X11</f>
        <v>0</v>
      </c>
      <c r="Y12" s="31">
        <f>Y8+Y9+Y10+Y11</f>
        <v>0</v>
      </c>
      <c r="Z12" s="31">
        <f>Z8+Z9+Z10+Z11</f>
        <v>0</v>
      </c>
      <c r="AA12" s="31">
        <f>AA8+AA9+AA10+AA11</f>
        <v>0</v>
      </c>
      <c r="AB12" s="31">
        <f>AB8+AB9+AB10+AB11</f>
        <v>0</v>
      </c>
      <c r="AC12" s="31">
        <f>AC8+AC9+AC10+AC11</f>
        <v>0</v>
      </c>
      <c r="AD12" s="31">
        <f>AD8+AD9+AD10+AD11</f>
        <v>0</v>
      </c>
      <c r="AE12" s="31">
        <f>AE8+AE9+AE10+AE11</f>
        <v>0</v>
      </c>
      <c r="AF12" s="31">
        <f>AF8+AF9+AF10+AF11</f>
        <v>0</v>
      </c>
      <c r="AG12" s="31">
        <f>AG8+AG9+AG10+AG11</f>
        <v>0</v>
      </c>
      <c r="AH12" s="31">
        <f>AH8+AH9+AH10+AH11</f>
        <v>0</v>
      </c>
      <c r="AI12" s="31">
        <f>AI8+AI9+AI10+AI11</f>
        <v>0</v>
      </c>
      <c r="AJ12" s="31">
        <f>AJ8+AJ9+AJ10+AJ11</f>
        <v>0</v>
      </c>
      <c r="AK12" s="31">
        <f>AK8+AK9+AK10+AK11</f>
        <v>0</v>
      </c>
      <c r="AL12" s="31">
        <f>AL8+AL9+AL10+AL11</f>
        <v>0</v>
      </c>
      <c r="AN12" s="31">
        <f>SUM(C12:E12)</f>
        <v>0</v>
      </c>
      <c r="AO12" s="31">
        <f>SUM(F12:H12)</f>
        <v>0</v>
      </c>
      <c r="AP12" s="31">
        <f>SUM(I12:K12)</f>
        <v>0</v>
      </c>
      <c r="AQ12" s="31">
        <f>SUM(L12:N12)</f>
        <v>0</v>
      </c>
      <c r="AR12" s="31">
        <f>SUM(O12:Q12)</f>
        <v>0</v>
      </c>
      <c r="AS12" s="31">
        <f>SUM(R12:T12)</f>
        <v>0</v>
      </c>
      <c r="AT12" s="31">
        <f>SUM(U12:W12)</f>
        <v>0</v>
      </c>
      <c r="AU12" s="31">
        <f>SUM(X12:Z12)</f>
        <v>0</v>
      </c>
      <c r="AV12" s="31">
        <f>SUM(AA12:AC12)</f>
        <v>0</v>
      </c>
      <c r="AW12" s="31">
        <f>SUM(AD12:AF12)</f>
        <v>0</v>
      </c>
      <c r="AX12" s="31">
        <f>SUM(AG12:AI12)</f>
        <v>0</v>
      </c>
      <c r="AY12" s="31">
        <f>SUM(AJ12:AL12)</f>
        <v>0</v>
      </c>
      <c r="BA12" s="31">
        <f>SUM(C12:N12)</f>
        <v>0</v>
      </c>
      <c r="BB12" s="31">
        <f>SUM(O12:Z12)</f>
        <v>0</v>
      </c>
      <c r="BC12" s="31">
        <f>SUM(AA12:AL12)</f>
        <v>0</v>
      </c>
    </row>
    <row r="13" spans="1:55" ht="5" customHeight="1"/>
    <row r="14" spans="1:55" ht="16" customHeight="1">
      <c r="A14" s="14" t="s">
        <v>338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</row>
    <row r="15" spans="1:55">
      <c r="A15" s="18" t="s">
        <v>339</v>
      </c>
      <c r="B15" s="16" t="s">
        <v>330</v>
      </c>
      <c r="C15" s="20">
        <f>'Headcount'!$C$24</f>
        <v>0</v>
      </c>
      <c r="D15" s="20">
        <f>'Headcount'!$D$24</f>
        <v>0</v>
      </c>
      <c r="E15" s="20">
        <f>'Headcount'!$E$24</f>
        <v>0</v>
      </c>
      <c r="F15" s="20">
        <f>'Headcount'!$F$24</f>
        <v>0</v>
      </c>
      <c r="G15" s="20">
        <f>'Headcount'!$G$24</f>
        <v>0</v>
      </c>
      <c r="H15" s="20">
        <f>'Headcount'!$H$24</f>
        <v>0</v>
      </c>
      <c r="I15" s="20">
        <f>'Headcount'!$I$24</f>
        <v>0</v>
      </c>
      <c r="J15" s="20">
        <f>'Headcount'!$J$24</f>
        <v>0</v>
      </c>
      <c r="K15" s="20">
        <f>'Headcount'!$K$24</f>
        <v>0</v>
      </c>
      <c r="L15" s="20">
        <f>'Headcount'!$L$24</f>
        <v>0</v>
      </c>
      <c r="M15" s="20">
        <f>'Headcount'!$M$24</f>
        <v>0</v>
      </c>
      <c r="N15" s="20">
        <f>'Headcount'!$N$24</f>
        <v>0</v>
      </c>
      <c r="O15" s="20">
        <f>'Headcount'!$O$24</f>
        <v>0</v>
      </c>
      <c r="P15" s="20">
        <f>'Headcount'!$P$24</f>
        <v>0</v>
      </c>
      <c r="Q15" s="20">
        <f>'Headcount'!$Q$24</f>
        <v>0</v>
      </c>
      <c r="R15" s="20">
        <f>'Headcount'!$R$24</f>
        <v>0</v>
      </c>
      <c r="S15" s="20">
        <f>'Headcount'!$S$24</f>
        <v>0</v>
      </c>
      <c r="T15" s="20">
        <f>'Headcount'!$T$24</f>
        <v>0</v>
      </c>
      <c r="U15" s="20">
        <f>'Headcount'!$U$24</f>
        <v>0</v>
      </c>
      <c r="V15" s="20">
        <f>'Headcount'!$V$24</f>
        <v>0</v>
      </c>
      <c r="W15" s="20">
        <f>'Headcount'!$W$24</f>
        <v>0</v>
      </c>
      <c r="X15" s="20">
        <f>'Headcount'!$X$24</f>
        <v>0</v>
      </c>
      <c r="Y15" s="20">
        <f>'Headcount'!$Y$24</f>
        <v>0</v>
      </c>
      <c r="Z15" s="20">
        <f>'Headcount'!$Z$24</f>
        <v>0</v>
      </c>
      <c r="AA15" s="20">
        <f>'Headcount'!$AA$24</f>
        <v>0</v>
      </c>
      <c r="AB15" s="20">
        <f>'Headcount'!$AB$24</f>
        <v>0</v>
      </c>
      <c r="AC15" s="20">
        <f>'Headcount'!$AC$24</f>
        <v>0</v>
      </c>
      <c r="AD15" s="20">
        <f>'Headcount'!$AD$24</f>
        <v>0</v>
      </c>
      <c r="AE15" s="20">
        <f>'Headcount'!$AE$24</f>
        <v>0</v>
      </c>
      <c r="AF15" s="20">
        <f>'Headcount'!$AF$24</f>
        <v>0</v>
      </c>
      <c r="AG15" s="20">
        <f>'Headcount'!$AG$24</f>
        <v>0</v>
      </c>
      <c r="AH15" s="20">
        <f>'Headcount'!$AH$24</f>
        <v>0</v>
      </c>
      <c r="AI15" s="20">
        <f>'Headcount'!$AI$24</f>
        <v>0</v>
      </c>
      <c r="AJ15" s="20">
        <f>'Headcount'!$AJ$24</f>
        <v>0</v>
      </c>
      <c r="AK15" s="20">
        <f>'Headcount'!$AK$24</f>
        <v>0</v>
      </c>
      <c r="AL15" s="20">
        <f>'Headcount'!$AL$24</f>
        <v>0</v>
      </c>
      <c r="AN15" s="20">
        <f>SUM(C15:E15)</f>
        <v>0</v>
      </c>
      <c r="AO15" s="20">
        <f>SUM(F15:H15)</f>
        <v>0</v>
      </c>
      <c r="AP15" s="20">
        <f>SUM(I15:K15)</f>
        <v>0</v>
      </c>
      <c r="AQ15" s="20">
        <f>SUM(L15:N15)</f>
        <v>0</v>
      </c>
      <c r="AR15" s="20">
        <f>SUM(O15:Q15)</f>
        <v>0</v>
      </c>
      <c r="AS15" s="20">
        <f>SUM(R15:T15)</f>
        <v>0</v>
      </c>
      <c r="AT15" s="20">
        <f>SUM(U15:W15)</f>
        <v>0</v>
      </c>
      <c r="AU15" s="20">
        <f>SUM(X15:Z15)</f>
        <v>0</v>
      </c>
      <c r="AV15" s="20">
        <f>SUM(AA15:AC15)</f>
        <v>0</v>
      </c>
      <c r="AW15" s="20">
        <f>SUM(AD15:AF15)</f>
        <v>0</v>
      </c>
      <c r="AX15" s="20">
        <f>SUM(AG15:AI15)</f>
        <v>0</v>
      </c>
      <c r="AY15" s="20">
        <f>SUM(AJ15:AL15)</f>
        <v>0</v>
      </c>
      <c r="BA15" s="20">
        <f>SUM(C15:N15)</f>
        <v>0</v>
      </c>
      <c r="BB15" s="20">
        <f>SUM(O15:Z15)</f>
        <v>0</v>
      </c>
      <c r="BC15" s="20">
        <f>SUM(AA15:AL15)</f>
        <v>0</v>
      </c>
    </row>
    <row r="16" spans="1:55">
      <c r="A16" s="30" t="s">
        <v>340</v>
      </c>
      <c r="B16" s="16"/>
      <c r="C16" s="31">
        <f>C15</f>
        <v>0</v>
      </c>
      <c r="D16" s="31">
        <f>D15</f>
        <v>0</v>
      </c>
      <c r="E16" s="31">
        <f>E15</f>
        <v>0</v>
      </c>
      <c r="F16" s="31">
        <f>F15</f>
        <v>0</v>
      </c>
      <c r="G16" s="31">
        <f>G15</f>
        <v>0</v>
      </c>
      <c r="H16" s="31">
        <f>H15</f>
        <v>0</v>
      </c>
      <c r="I16" s="31">
        <f>I15</f>
        <v>0</v>
      </c>
      <c r="J16" s="31">
        <f>J15</f>
        <v>0</v>
      </c>
      <c r="K16" s="31">
        <f>K15</f>
        <v>0</v>
      </c>
      <c r="L16" s="31">
        <f>L15</f>
        <v>0</v>
      </c>
      <c r="M16" s="31">
        <f>M15</f>
        <v>0</v>
      </c>
      <c r="N16" s="31">
        <f>N15</f>
        <v>0</v>
      </c>
      <c r="O16" s="31">
        <f>O15</f>
        <v>0</v>
      </c>
      <c r="P16" s="31">
        <f>P15</f>
        <v>0</v>
      </c>
      <c r="Q16" s="31">
        <f>Q15</f>
        <v>0</v>
      </c>
      <c r="R16" s="31">
        <f>R15</f>
        <v>0</v>
      </c>
      <c r="S16" s="31">
        <f>S15</f>
        <v>0</v>
      </c>
      <c r="T16" s="31">
        <f>T15</f>
        <v>0</v>
      </c>
      <c r="U16" s="31">
        <f>U15</f>
        <v>0</v>
      </c>
      <c r="V16" s="31">
        <f>V15</f>
        <v>0</v>
      </c>
      <c r="W16" s="31">
        <f>W15</f>
        <v>0</v>
      </c>
      <c r="X16" s="31">
        <f>X15</f>
        <v>0</v>
      </c>
      <c r="Y16" s="31">
        <f>Y15</f>
        <v>0</v>
      </c>
      <c r="Z16" s="31">
        <f>Z15</f>
        <v>0</v>
      </c>
      <c r="AA16" s="31">
        <f>AA15</f>
        <v>0</v>
      </c>
      <c r="AB16" s="31">
        <f>AB15</f>
        <v>0</v>
      </c>
      <c r="AC16" s="31">
        <f>AC15</f>
        <v>0</v>
      </c>
      <c r="AD16" s="31">
        <f>AD15</f>
        <v>0</v>
      </c>
      <c r="AE16" s="31">
        <f>AE15</f>
        <v>0</v>
      </c>
      <c r="AF16" s="31">
        <f>AF15</f>
        <v>0</v>
      </c>
      <c r="AG16" s="31">
        <f>AG15</f>
        <v>0</v>
      </c>
      <c r="AH16" s="31">
        <f>AH15</f>
        <v>0</v>
      </c>
      <c r="AI16" s="31">
        <f>AI15</f>
        <v>0</v>
      </c>
      <c r="AJ16" s="31">
        <f>AJ15</f>
        <v>0</v>
      </c>
      <c r="AK16" s="31">
        <f>AK15</f>
        <v>0</v>
      </c>
      <c r="AL16" s="31">
        <f>AL15</f>
        <v>0</v>
      </c>
      <c r="AN16" s="31">
        <f>SUM(C16:E16)</f>
        <v>0</v>
      </c>
      <c r="AO16" s="31">
        <f>SUM(F16:H16)</f>
        <v>0</v>
      </c>
      <c r="AP16" s="31">
        <f>SUM(I16:K16)</f>
        <v>0</v>
      </c>
      <c r="AQ16" s="31">
        <f>SUM(L16:N16)</f>
        <v>0</v>
      </c>
      <c r="AR16" s="31">
        <f>SUM(O16:Q16)</f>
        <v>0</v>
      </c>
      <c r="AS16" s="31">
        <f>SUM(R16:T16)</f>
        <v>0</v>
      </c>
      <c r="AT16" s="31">
        <f>SUM(U16:W16)</f>
        <v>0</v>
      </c>
      <c r="AU16" s="31">
        <f>SUM(X16:Z16)</f>
        <v>0</v>
      </c>
      <c r="AV16" s="31">
        <f>SUM(AA16:AC16)</f>
        <v>0</v>
      </c>
      <c r="AW16" s="31">
        <f>SUM(AD16:AF16)</f>
        <v>0</v>
      </c>
      <c r="AX16" s="31">
        <f>SUM(AG16:AI16)</f>
        <v>0</v>
      </c>
      <c r="AY16" s="31">
        <f>SUM(AJ16:AL16)</f>
        <v>0</v>
      </c>
      <c r="BA16" s="31">
        <f>SUM(C16:N16)</f>
        <v>0</v>
      </c>
      <c r="BB16" s="31">
        <f>SUM(O16:Z16)</f>
        <v>0</v>
      </c>
      <c r="BC16" s="31">
        <f>SUM(AA16:AL16)</f>
        <v>0</v>
      </c>
    </row>
    <row r="17" spans="1:55" ht="5" customHeight="1"/>
    <row r="18" spans="1:55" ht="16" customHeight="1">
      <c r="A18" s="14" t="s">
        <v>341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</row>
    <row r="19" spans="1:55">
      <c r="A19" s="18" t="s">
        <v>342</v>
      </c>
      <c r="B19" s="16" t="s">
        <v>330</v>
      </c>
      <c r="C19" s="20">
        <f>'Headcount'!$C$23</f>
        <v>0</v>
      </c>
      <c r="D19" s="20">
        <f>'Headcount'!$D$23</f>
        <v>0</v>
      </c>
      <c r="E19" s="20">
        <f>'Headcount'!$E$23</f>
        <v>0</v>
      </c>
      <c r="F19" s="20">
        <f>'Headcount'!$F$23</f>
        <v>0</v>
      </c>
      <c r="G19" s="20">
        <f>'Headcount'!$G$23</f>
        <v>0</v>
      </c>
      <c r="H19" s="20">
        <f>'Headcount'!$H$23</f>
        <v>0</v>
      </c>
      <c r="I19" s="20">
        <f>'Headcount'!$I$23</f>
        <v>0</v>
      </c>
      <c r="J19" s="20">
        <f>'Headcount'!$J$23</f>
        <v>0</v>
      </c>
      <c r="K19" s="20">
        <f>'Headcount'!$K$23</f>
        <v>0</v>
      </c>
      <c r="L19" s="20">
        <f>'Headcount'!$L$23</f>
        <v>0</v>
      </c>
      <c r="M19" s="20">
        <f>'Headcount'!$M$23</f>
        <v>0</v>
      </c>
      <c r="N19" s="20">
        <f>'Headcount'!$N$23</f>
        <v>0</v>
      </c>
      <c r="O19" s="20">
        <f>'Headcount'!$O$23</f>
        <v>0</v>
      </c>
      <c r="P19" s="20">
        <f>'Headcount'!$P$23</f>
        <v>0</v>
      </c>
      <c r="Q19" s="20">
        <f>'Headcount'!$Q$23</f>
        <v>0</v>
      </c>
      <c r="R19" s="20">
        <f>'Headcount'!$R$23</f>
        <v>0</v>
      </c>
      <c r="S19" s="20">
        <f>'Headcount'!$S$23</f>
        <v>0</v>
      </c>
      <c r="T19" s="20">
        <f>'Headcount'!$T$23</f>
        <v>0</v>
      </c>
      <c r="U19" s="20">
        <f>'Headcount'!$U$23</f>
        <v>0</v>
      </c>
      <c r="V19" s="20">
        <f>'Headcount'!$V$23</f>
        <v>0</v>
      </c>
      <c r="W19" s="20">
        <f>'Headcount'!$W$23</f>
        <v>0</v>
      </c>
      <c r="X19" s="20">
        <f>'Headcount'!$X$23</f>
        <v>0</v>
      </c>
      <c r="Y19" s="20">
        <f>'Headcount'!$Y$23</f>
        <v>0</v>
      </c>
      <c r="Z19" s="20">
        <f>'Headcount'!$Z$23</f>
        <v>0</v>
      </c>
      <c r="AA19" s="20">
        <f>'Headcount'!$AA$23</f>
        <v>0</v>
      </c>
      <c r="AB19" s="20">
        <f>'Headcount'!$AB$23</f>
        <v>0</v>
      </c>
      <c r="AC19" s="20">
        <f>'Headcount'!$AC$23</f>
        <v>0</v>
      </c>
      <c r="AD19" s="20">
        <f>'Headcount'!$AD$23</f>
        <v>0</v>
      </c>
      <c r="AE19" s="20">
        <f>'Headcount'!$AE$23</f>
        <v>0</v>
      </c>
      <c r="AF19" s="20">
        <f>'Headcount'!$AF$23</f>
        <v>0</v>
      </c>
      <c r="AG19" s="20">
        <f>'Headcount'!$AG$23</f>
        <v>0</v>
      </c>
      <c r="AH19" s="20">
        <f>'Headcount'!$AH$23</f>
        <v>0</v>
      </c>
      <c r="AI19" s="20">
        <f>'Headcount'!$AI$23</f>
        <v>0</v>
      </c>
      <c r="AJ19" s="20">
        <f>'Headcount'!$AJ$23</f>
        <v>0</v>
      </c>
      <c r="AK19" s="20">
        <f>'Headcount'!$AK$23</f>
        <v>0</v>
      </c>
      <c r="AL19" s="20">
        <f>'Headcount'!$AL$23</f>
        <v>0</v>
      </c>
      <c r="AN19" s="20">
        <f>SUM(C19:E19)</f>
        <v>0</v>
      </c>
      <c r="AO19" s="20">
        <f>SUM(F19:H19)</f>
        <v>0</v>
      </c>
      <c r="AP19" s="20">
        <f>SUM(I19:K19)</f>
        <v>0</v>
      </c>
      <c r="AQ19" s="20">
        <f>SUM(L19:N19)</f>
        <v>0</v>
      </c>
      <c r="AR19" s="20">
        <f>SUM(O19:Q19)</f>
        <v>0</v>
      </c>
      <c r="AS19" s="20">
        <f>SUM(R19:T19)</f>
        <v>0</v>
      </c>
      <c r="AT19" s="20">
        <f>SUM(U19:W19)</f>
        <v>0</v>
      </c>
      <c r="AU19" s="20">
        <f>SUM(X19:Z19)</f>
        <v>0</v>
      </c>
      <c r="AV19" s="20">
        <f>SUM(AA19:AC19)</f>
        <v>0</v>
      </c>
      <c r="AW19" s="20">
        <f>SUM(AD19:AF19)</f>
        <v>0</v>
      </c>
      <c r="AX19" s="20">
        <f>SUM(AG19:AI19)</f>
        <v>0</v>
      </c>
      <c r="AY19" s="20">
        <f>SUM(AJ19:AL19)</f>
        <v>0</v>
      </c>
      <c r="BA19" s="20">
        <f>SUM(C19:N19)</f>
        <v>0</v>
      </c>
      <c r="BB19" s="20">
        <f>SUM(O19:Z19)</f>
        <v>0</v>
      </c>
      <c r="BC19" s="20">
        <f>SUM(AA19:AL19)</f>
        <v>0</v>
      </c>
    </row>
    <row r="20" spans="1:55">
      <c r="A20" s="18" t="s">
        <v>343</v>
      </c>
      <c r="B20" s="16" t="s">
        <v>344</v>
      </c>
      <c r="C20" s="20">
        <f>'Assumptions'!$F$83</f>
        <v>0</v>
      </c>
      <c r="D20" s="20">
        <f>'Assumptions'!$F$83</f>
        <v>0</v>
      </c>
      <c r="E20" s="20">
        <f>'Assumptions'!$F$83</f>
        <v>0</v>
      </c>
      <c r="F20" s="20">
        <f>'Assumptions'!$F$83</f>
        <v>0</v>
      </c>
      <c r="G20" s="20">
        <f>'Assumptions'!$F$83</f>
        <v>0</v>
      </c>
      <c r="H20" s="20">
        <f>'Assumptions'!$F$83</f>
        <v>0</v>
      </c>
      <c r="I20" s="20">
        <f>'Assumptions'!$F$83</f>
        <v>0</v>
      </c>
      <c r="J20" s="20">
        <f>'Assumptions'!$F$83</f>
        <v>0</v>
      </c>
      <c r="K20" s="20">
        <f>'Assumptions'!$F$83</f>
        <v>0</v>
      </c>
      <c r="L20" s="20">
        <f>'Assumptions'!$F$83</f>
        <v>0</v>
      </c>
      <c r="M20" s="20">
        <f>'Assumptions'!$F$83</f>
        <v>0</v>
      </c>
      <c r="N20" s="20">
        <f>'Assumptions'!$F$83</f>
        <v>0</v>
      </c>
      <c r="O20" s="20">
        <f>'Assumptions'!$F$83</f>
        <v>0</v>
      </c>
      <c r="P20" s="20">
        <f>'Assumptions'!$F$83</f>
        <v>0</v>
      </c>
      <c r="Q20" s="20">
        <f>'Assumptions'!$F$83</f>
        <v>0</v>
      </c>
      <c r="R20" s="20">
        <f>'Assumptions'!$F$83</f>
        <v>0</v>
      </c>
      <c r="S20" s="20">
        <f>'Assumptions'!$F$83</f>
        <v>0</v>
      </c>
      <c r="T20" s="20">
        <f>'Assumptions'!$F$83</f>
        <v>0</v>
      </c>
      <c r="U20" s="20">
        <f>'Assumptions'!$F$83</f>
        <v>0</v>
      </c>
      <c r="V20" s="20">
        <f>'Assumptions'!$F$83</f>
        <v>0</v>
      </c>
      <c r="W20" s="20">
        <f>'Assumptions'!$F$83</f>
        <v>0</v>
      </c>
      <c r="X20" s="20">
        <f>'Assumptions'!$F$83</f>
        <v>0</v>
      </c>
      <c r="Y20" s="20">
        <f>'Assumptions'!$F$83</f>
        <v>0</v>
      </c>
      <c r="Z20" s="20">
        <f>'Assumptions'!$F$83</f>
        <v>0</v>
      </c>
      <c r="AA20" s="20">
        <f>'Assumptions'!$F$83</f>
        <v>0</v>
      </c>
      <c r="AB20" s="20">
        <f>'Assumptions'!$F$83</f>
        <v>0</v>
      </c>
      <c r="AC20" s="20">
        <f>'Assumptions'!$F$83</f>
        <v>0</v>
      </c>
      <c r="AD20" s="20">
        <f>'Assumptions'!$F$83</f>
        <v>0</v>
      </c>
      <c r="AE20" s="20">
        <f>'Assumptions'!$F$83</f>
        <v>0</v>
      </c>
      <c r="AF20" s="20">
        <f>'Assumptions'!$F$83</f>
        <v>0</v>
      </c>
      <c r="AG20" s="20">
        <f>'Assumptions'!$F$83</f>
        <v>0</v>
      </c>
      <c r="AH20" s="20">
        <f>'Assumptions'!$F$83</f>
        <v>0</v>
      </c>
      <c r="AI20" s="20">
        <f>'Assumptions'!$F$83</f>
        <v>0</v>
      </c>
      <c r="AJ20" s="20">
        <f>'Assumptions'!$F$83</f>
        <v>0</v>
      </c>
      <c r="AK20" s="20">
        <f>'Assumptions'!$F$83</f>
        <v>0</v>
      </c>
      <c r="AL20" s="20">
        <f>'Assumptions'!$F$83</f>
        <v>0</v>
      </c>
      <c r="AN20" s="20">
        <f>SUM(C20:E20)</f>
        <v>0</v>
      </c>
      <c r="AO20" s="20">
        <f>SUM(F20:H20)</f>
        <v>0</v>
      </c>
      <c r="AP20" s="20">
        <f>SUM(I20:K20)</f>
        <v>0</v>
      </c>
      <c r="AQ20" s="20">
        <f>SUM(L20:N20)</f>
        <v>0</v>
      </c>
      <c r="AR20" s="20">
        <f>SUM(O20:Q20)</f>
        <v>0</v>
      </c>
      <c r="AS20" s="20">
        <f>SUM(R20:T20)</f>
        <v>0</v>
      </c>
      <c r="AT20" s="20">
        <f>SUM(U20:W20)</f>
        <v>0</v>
      </c>
      <c r="AU20" s="20">
        <f>SUM(X20:Z20)</f>
        <v>0</v>
      </c>
      <c r="AV20" s="20">
        <f>SUM(AA20:AC20)</f>
        <v>0</v>
      </c>
      <c r="AW20" s="20">
        <f>SUM(AD20:AF20)</f>
        <v>0</v>
      </c>
      <c r="AX20" s="20">
        <f>SUM(AG20:AI20)</f>
        <v>0</v>
      </c>
      <c r="AY20" s="20">
        <f>SUM(AJ20:AL20)</f>
        <v>0</v>
      </c>
      <c r="BA20" s="20">
        <f>SUM(C20:N20)</f>
        <v>0</v>
      </c>
      <c r="BB20" s="20">
        <f>SUM(O20:Z20)</f>
        <v>0</v>
      </c>
      <c r="BC20" s="20">
        <f>SUM(AA20:AL20)</f>
        <v>0</v>
      </c>
    </row>
    <row r="21" spans="1:55">
      <c r="A21" s="18" t="s">
        <v>345</v>
      </c>
      <c r="B21" s="16" t="s">
        <v>344</v>
      </c>
      <c r="C21" s="20">
        <f>'Assumptions'!$F$84</f>
        <v>0</v>
      </c>
      <c r="D21" s="20">
        <f>'Assumptions'!$F$84</f>
        <v>0</v>
      </c>
      <c r="E21" s="20">
        <f>'Assumptions'!$F$84</f>
        <v>0</v>
      </c>
      <c r="F21" s="20">
        <f>'Assumptions'!$F$84</f>
        <v>0</v>
      </c>
      <c r="G21" s="20">
        <f>'Assumptions'!$F$84</f>
        <v>0</v>
      </c>
      <c r="H21" s="20">
        <f>'Assumptions'!$F$84</f>
        <v>0</v>
      </c>
      <c r="I21" s="20">
        <f>'Assumptions'!$F$84</f>
        <v>0</v>
      </c>
      <c r="J21" s="20">
        <f>'Assumptions'!$F$84</f>
        <v>0</v>
      </c>
      <c r="K21" s="20">
        <f>'Assumptions'!$F$84</f>
        <v>0</v>
      </c>
      <c r="L21" s="20">
        <f>'Assumptions'!$F$84</f>
        <v>0</v>
      </c>
      <c r="M21" s="20">
        <f>'Assumptions'!$F$84</f>
        <v>0</v>
      </c>
      <c r="N21" s="20">
        <f>'Assumptions'!$F$84</f>
        <v>0</v>
      </c>
      <c r="O21" s="20">
        <f>'Assumptions'!$F$84</f>
        <v>0</v>
      </c>
      <c r="P21" s="20">
        <f>'Assumptions'!$F$84</f>
        <v>0</v>
      </c>
      <c r="Q21" s="20">
        <f>'Assumptions'!$F$84</f>
        <v>0</v>
      </c>
      <c r="R21" s="20">
        <f>'Assumptions'!$F$84</f>
        <v>0</v>
      </c>
      <c r="S21" s="20">
        <f>'Assumptions'!$F$84</f>
        <v>0</v>
      </c>
      <c r="T21" s="20">
        <f>'Assumptions'!$F$84</f>
        <v>0</v>
      </c>
      <c r="U21" s="20">
        <f>'Assumptions'!$F$84</f>
        <v>0</v>
      </c>
      <c r="V21" s="20">
        <f>'Assumptions'!$F$84</f>
        <v>0</v>
      </c>
      <c r="W21" s="20">
        <f>'Assumptions'!$F$84</f>
        <v>0</v>
      </c>
      <c r="X21" s="20">
        <f>'Assumptions'!$F$84</f>
        <v>0</v>
      </c>
      <c r="Y21" s="20">
        <f>'Assumptions'!$F$84</f>
        <v>0</v>
      </c>
      <c r="Z21" s="20">
        <f>'Assumptions'!$F$84</f>
        <v>0</v>
      </c>
      <c r="AA21" s="20">
        <f>'Assumptions'!$F$84</f>
        <v>0</v>
      </c>
      <c r="AB21" s="20">
        <f>'Assumptions'!$F$84</f>
        <v>0</v>
      </c>
      <c r="AC21" s="20">
        <f>'Assumptions'!$F$84</f>
        <v>0</v>
      </c>
      <c r="AD21" s="20">
        <f>'Assumptions'!$F$84</f>
        <v>0</v>
      </c>
      <c r="AE21" s="20">
        <f>'Assumptions'!$F$84</f>
        <v>0</v>
      </c>
      <c r="AF21" s="20">
        <f>'Assumptions'!$F$84</f>
        <v>0</v>
      </c>
      <c r="AG21" s="20">
        <f>'Assumptions'!$F$84</f>
        <v>0</v>
      </c>
      <c r="AH21" s="20">
        <f>'Assumptions'!$F$84</f>
        <v>0</v>
      </c>
      <c r="AI21" s="20">
        <f>'Assumptions'!$F$84</f>
        <v>0</v>
      </c>
      <c r="AJ21" s="20">
        <f>'Assumptions'!$F$84</f>
        <v>0</v>
      </c>
      <c r="AK21" s="20">
        <f>'Assumptions'!$F$84</f>
        <v>0</v>
      </c>
      <c r="AL21" s="20">
        <f>'Assumptions'!$F$84</f>
        <v>0</v>
      </c>
      <c r="AN21" s="20">
        <f>SUM(C21:E21)</f>
        <v>0</v>
      </c>
      <c r="AO21" s="20">
        <f>SUM(F21:H21)</f>
        <v>0</v>
      </c>
      <c r="AP21" s="20">
        <f>SUM(I21:K21)</f>
        <v>0</v>
      </c>
      <c r="AQ21" s="20">
        <f>SUM(L21:N21)</f>
        <v>0</v>
      </c>
      <c r="AR21" s="20">
        <f>SUM(O21:Q21)</f>
        <v>0</v>
      </c>
      <c r="AS21" s="20">
        <f>SUM(R21:T21)</f>
        <v>0</v>
      </c>
      <c r="AT21" s="20">
        <f>SUM(U21:W21)</f>
        <v>0</v>
      </c>
      <c r="AU21" s="20">
        <f>SUM(X21:Z21)</f>
        <v>0</v>
      </c>
      <c r="AV21" s="20">
        <f>SUM(AA21:AC21)</f>
        <v>0</v>
      </c>
      <c r="AW21" s="20">
        <f>SUM(AD21:AF21)</f>
        <v>0</v>
      </c>
      <c r="AX21" s="20">
        <f>SUM(AG21:AI21)</f>
        <v>0</v>
      </c>
      <c r="AY21" s="20">
        <f>SUM(AJ21:AL21)</f>
        <v>0</v>
      </c>
      <c r="BA21" s="20">
        <f>SUM(C21:N21)</f>
        <v>0</v>
      </c>
      <c r="BB21" s="20">
        <f>SUM(O21:Z21)</f>
        <v>0</v>
      </c>
      <c r="BC21" s="20">
        <f>SUM(AA21:AL21)</f>
        <v>0</v>
      </c>
    </row>
    <row r="22" spans="1:55">
      <c r="A22" s="30" t="s">
        <v>346</v>
      </c>
      <c r="B22" s="16"/>
      <c r="C22" s="31">
        <f>C19+C20+C21</f>
        <v>0</v>
      </c>
      <c r="D22" s="31">
        <f>D19+D20+D21</f>
        <v>0</v>
      </c>
      <c r="E22" s="31">
        <f>E19+E20+E21</f>
        <v>0</v>
      </c>
      <c r="F22" s="31">
        <f>F19+F20+F21</f>
        <v>0</v>
      </c>
      <c r="G22" s="31">
        <f>G19+G20+G21</f>
        <v>0</v>
      </c>
      <c r="H22" s="31">
        <f>H19+H20+H21</f>
        <v>0</v>
      </c>
      <c r="I22" s="31">
        <f>I19+I20+I21</f>
        <v>0</v>
      </c>
      <c r="J22" s="31">
        <f>J19+J20+J21</f>
        <v>0</v>
      </c>
      <c r="K22" s="31">
        <f>K19+K20+K21</f>
        <v>0</v>
      </c>
      <c r="L22" s="31">
        <f>L19+L20+L21</f>
        <v>0</v>
      </c>
      <c r="M22" s="31">
        <f>M19+M20+M21</f>
        <v>0</v>
      </c>
      <c r="N22" s="31">
        <f>N19+N20+N21</f>
        <v>0</v>
      </c>
      <c r="O22" s="31">
        <f>O19+O20+O21</f>
        <v>0</v>
      </c>
      <c r="P22" s="31">
        <f>P19+P20+P21</f>
        <v>0</v>
      </c>
      <c r="Q22" s="31">
        <f>Q19+Q20+Q21</f>
        <v>0</v>
      </c>
      <c r="R22" s="31">
        <f>R19+R20+R21</f>
        <v>0</v>
      </c>
      <c r="S22" s="31">
        <f>S19+S20+S21</f>
        <v>0</v>
      </c>
      <c r="T22" s="31">
        <f>T19+T20+T21</f>
        <v>0</v>
      </c>
      <c r="U22" s="31">
        <f>U19+U20+U21</f>
        <v>0</v>
      </c>
      <c r="V22" s="31">
        <f>V19+V20+V21</f>
        <v>0</v>
      </c>
      <c r="W22" s="31">
        <f>W19+W20+W21</f>
        <v>0</v>
      </c>
      <c r="X22" s="31">
        <f>X19+X20+X21</f>
        <v>0</v>
      </c>
      <c r="Y22" s="31">
        <f>Y19+Y20+Y21</f>
        <v>0</v>
      </c>
      <c r="Z22" s="31">
        <f>Z19+Z20+Z21</f>
        <v>0</v>
      </c>
      <c r="AA22" s="31">
        <f>AA19+AA20+AA21</f>
        <v>0</v>
      </c>
      <c r="AB22" s="31">
        <f>AB19+AB20+AB21</f>
        <v>0</v>
      </c>
      <c r="AC22" s="31">
        <f>AC19+AC20+AC21</f>
        <v>0</v>
      </c>
      <c r="AD22" s="31">
        <f>AD19+AD20+AD21</f>
        <v>0</v>
      </c>
      <c r="AE22" s="31">
        <f>AE19+AE20+AE21</f>
        <v>0</v>
      </c>
      <c r="AF22" s="31">
        <f>AF19+AF20+AF21</f>
        <v>0</v>
      </c>
      <c r="AG22" s="31">
        <f>AG19+AG20+AG21</f>
        <v>0</v>
      </c>
      <c r="AH22" s="31">
        <f>AH19+AH20+AH21</f>
        <v>0</v>
      </c>
      <c r="AI22" s="31">
        <f>AI19+AI20+AI21</f>
        <v>0</v>
      </c>
      <c r="AJ22" s="31">
        <f>AJ19+AJ20+AJ21</f>
        <v>0</v>
      </c>
      <c r="AK22" s="31">
        <f>AK19+AK20+AK21</f>
        <v>0</v>
      </c>
      <c r="AL22" s="31">
        <f>AL19+AL20+AL21</f>
        <v>0</v>
      </c>
      <c r="AN22" s="31">
        <f>SUM(C22:E22)</f>
        <v>0</v>
      </c>
      <c r="AO22" s="31">
        <f>SUM(F22:H22)</f>
        <v>0</v>
      </c>
      <c r="AP22" s="31">
        <f>SUM(I22:K22)</f>
        <v>0</v>
      </c>
      <c r="AQ22" s="31">
        <f>SUM(L22:N22)</f>
        <v>0</v>
      </c>
      <c r="AR22" s="31">
        <f>SUM(O22:Q22)</f>
        <v>0</v>
      </c>
      <c r="AS22" s="31">
        <f>SUM(R22:T22)</f>
        <v>0</v>
      </c>
      <c r="AT22" s="31">
        <f>SUM(U22:W22)</f>
        <v>0</v>
      </c>
      <c r="AU22" s="31">
        <f>SUM(X22:Z22)</f>
        <v>0</v>
      </c>
      <c r="AV22" s="31">
        <f>SUM(AA22:AC22)</f>
        <v>0</v>
      </c>
      <c r="AW22" s="31">
        <f>SUM(AD22:AF22)</f>
        <v>0</v>
      </c>
      <c r="AX22" s="31">
        <f>SUM(AG22:AI22)</f>
        <v>0</v>
      </c>
      <c r="AY22" s="31">
        <f>SUM(AJ22:AL22)</f>
        <v>0</v>
      </c>
      <c r="BA22" s="31">
        <f>SUM(C22:N22)</f>
        <v>0</v>
      </c>
      <c r="BB22" s="31">
        <f>SUM(O22:Z22)</f>
        <v>0</v>
      </c>
      <c r="BC22" s="31">
        <f>SUM(AA22:AL22)</f>
        <v>0</v>
      </c>
    </row>
    <row r="23" spans="1:55" ht="5" customHeight="1"/>
    <row r="24" spans="1:55" ht="16" customHeight="1">
      <c r="A24" s="14" t="s">
        <v>347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</row>
    <row r="25" spans="1:55">
      <c r="A25" s="33" t="s">
        <v>348</v>
      </c>
      <c r="B25" s="16"/>
      <c r="C25" s="34">
        <f>C12+C16+C22</f>
        <v>0</v>
      </c>
      <c r="D25" s="34">
        <f>D12+D16+D22</f>
        <v>0</v>
      </c>
      <c r="E25" s="34">
        <f>E12+E16+E22</f>
        <v>0</v>
      </c>
      <c r="F25" s="34">
        <f>F12+F16+F22</f>
        <v>0</v>
      </c>
      <c r="G25" s="34">
        <f>G12+G16+G22</f>
        <v>0</v>
      </c>
      <c r="H25" s="34">
        <f>H12+H16+H22</f>
        <v>0</v>
      </c>
      <c r="I25" s="34">
        <f>I12+I16+I22</f>
        <v>0</v>
      </c>
      <c r="J25" s="34">
        <f>J12+J16+J22</f>
        <v>0</v>
      </c>
      <c r="K25" s="34">
        <f>K12+K16+K22</f>
        <v>0</v>
      </c>
      <c r="L25" s="34">
        <f>L12+L16+L22</f>
        <v>0</v>
      </c>
      <c r="M25" s="34">
        <f>M12+M16+M22</f>
        <v>0</v>
      </c>
      <c r="N25" s="34">
        <f>N12+N16+N22</f>
        <v>0</v>
      </c>
      <c r="O25" s="34">
        <f>O12+O16+O22</f>
        <v>0</v>
      </c>
      <c r="P25" s="34">
        <f>P12+P16+P22</f>
        <v>0</v>
      </c>
      <c r="Q25" s="34">
        <f>Q12+Q16+Q22</f>
        <v>0</v>
      </c>
      <c r="R25" s="34">
        <f>R12+R16+R22</f>
        <v>0</v>
      </c>
      <c r="S25" s="34">
        <f>S12+S16+S22</f>
        <v>0</v>
      </c>
      <c r="T25" s="34">
        <f>T12+T16+T22</f>
        <v>0</v>
      </c>
      <c r="U25" s="34">
        <f>U12+U16+U22</f>
        <v>0</v>
      </c>
      <c r="V25" s="34">
        <f>V12+V16+V22</f>
        <v>0</v>
      </c>
      <c r="W25" s="34">
        <f>W12+W16+W22</f>
        <v>0</v>
      </c>
      <c r="X25" s="34">
        <f>X12+X16+X22</f>
        <v>0</v>
      </c>
      <c r="Y25" s="34">
        <f>Y12+Y16+Y22</f>
        <v>0</v>
      </c>
      <c r="Z25" s="34">
        <f>Z12+Z16+Z22</f>
        <v>0</v>
      </c>
      <c r="AA25" s="34">
        <f>AA12+AA16+AA22</f>
        <v>0</v>
      </c>
      <c r="AB25" s="34">
        <f>AB12+AB16+AB22</f>
        <v>0</v>
      </c>
      <c r="AC25" s="34">
        <f>AC12+AC16+AC22</f>
        <v>0</v>
      </c>
      <c r="AD25" s="34">
        <f>AD12+AD16+AD22</f>
        <v>0</v>
      </c>
      <c r="AE25" s="34">
        <f>AE12+AE16+AE22</f>
        <v>0</v>
      </c>
      <c r="AF25" s="34">
        <f>AF12+AF16+AF22</f>
        <v>0</v>
      </c>
      <c r="AG25" s="34">
        <f>AG12+AG16+AG22</f>
        <v>0</v>
      </c>
      <c r="AH25" s="34">
        <f>AH12+AH16+AH22</f>
        <v>0</v>
      </c>
      <c r="AI25" s="34">
        <f>AI12+AI16+AI22</f>
        <v>0</v>
      </c>
      <c r="AJ25" s="34">
        <f>AJ12+AJ16+AJ22</f>
        <v>0</v>
      </c>
      <c r="AK25" s="34">
        <f>AK12+AK16+AK22</f>
        <v>0</v>
      </c>
      <c r="AL25" s="34">
        <f>AL12+AL16+AL22</f>
        <v>0</v>
      </c>
      <c r="AN25" s="34">
        <f>SUM(C25:E25)</f>
        <v>0</v>
      </c>
      <c r="AO25" s="34">
        <f>SUM(F25:H25)</f>
        <v>0</v>
      </c>
      <c r="AP25" s="34">
        <f>SUM(I25:K25)</f>
        <v>0</v>
      </c>
      <c r="AQ25" s="34">
        <f>SUM(L25:N25)</f>
        <v>0</v>
      </c>
      <c r="AR25" s="34">
        <f>SUM(O25:Q25)</f>
        <v>0</v>
      </c>
      <c r="AS25" s="34">
        <f>SUM(R25:T25)</f>
        <v>0</v>
      </c>
      <c r="AT25" s="34">
        <f>SUM(U25:W25)</f>
        <v>0</v>
      </c>
      <c r="AU25" s="34">
        <f>SUM(X25:Z25)</f>
        <v>0</v>
      </c>
      <c r="AV25" s="34">
        <f>SUM(AA25:AC25)</f>
        <v>0</v>
      </c>
      <c r="AW25" s="34">
        <f>SUM(AD25:AF25)</f>
        <v>0</v>
      </c>
      <c r="AX25" s="34">
        <f>SUM(AG25:AI25)</f>
        <v>0</v>
      </c>
      <c r="AY25" s="34">
        <f>SUM(AJ25:AL25)</f>
        <v>0</v>
      </c>
      <c r="BA25" s="34">
        <f>SUM(C25:N25)</f>
        <v>0</v>
      </c>
      <c r="BB25" s="34">
        <f>SUM(O25:Z25)</f>
        <v>0</v>
      </c>
      <c r="BC25" s="34">
        <f>SUM(AA25:AL25)</f>
        <v>0</v>
      </c>
    </row>
  </sheetData>
  <mergeCells count="9">
    <mergeCell ref="A1:BC1"/>
    <mergeCell ref="A2:BC2"/>
    <mergeCell ref="C5:AL5"/>
    <mergeCell ref="AN5:AY5"/>
    <mergeCell ref="BA5:BC5"/>
    <mergeCell ref="A7:BC7"/>
    <mergeCell ref="A14:BC14"/>
    <mergeCell ref="A18:BC18"/>
    <mergeCell ref="A24:BC24"/>
  </mergeCells>
  <pageMargins left="0.7" right="0.7" top="0.75" bottom="0.75" header="0.3" footer="0.3"/>
  <pageSetup paperSize="9" scale="55"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dimension ref="A1:BC30"/>
  <sheetViews>
    <sheetView showGridLines="0" zoomScale="110" zoomScaleNormal="11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40.7109375" customWidth="1"/>
    <col min="2" max="2" width="30.7109375" customWidth="1"/>
    <col min="3" max="38" width="11.7109375" customWidth="1"/>
    <col min="39" max="39" width="2.7109375" customWidth="1"/>
    <col min="40" max="51" width="12.7109375" customWidth="1"/>
    <col min="52" max="52" width="2.7109375" customWidth="1"/>
    <col min="53" max="55" width="12.7109375" customWidth="1"/>
  </cols>
  <sheetData>
    <row r="1" spans="1:55" ht="22" customHeight="1">
      <c r="A1" s="1" t="s">
        <v>349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ht="16" customHeight="1">
      <c r="A2" s="2" t="s">
        <v>350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</row>
    <row r="5" spans="1:55">
      <c r="A5" s="14" t="s">
        <v>191</v>
      </c>
      <c r="B5" s="14" t="s">
        <v>192</v>
      </c>
      <c r="C5" s="14" t="s">
        <v>188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N5" s="14" t="s">
        <v>189</v>
      </c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BA5" s="14" t="s">
        <v>190</v>
      </c>
      <c r="BB5" s="14"/>
      <c r="BC5" s="14"/>
    </row>
    <row r="6" spans="1:55">
      <c r="A6" s="17"/>
      <c r="B6" s="17"/>
      <c r="C6" s="28">
        <v>46023</v>
      </c>
      <c r="D6" s="28">
        <v>46054</v>
      </c>
      <c r="E6" s="28">
        <v>46082</v>
      </c>
      <c r="F6" s="28">
        <v>46113</v>
      </c>
      <c r="G6" s="28">
        <v>46143</v>
      </c>
      <c r="H6" s="28">
        <v>46174</v>
      </c>
      <c r="I6" s="28">
        <v>46204</v>
      </c>
      <c r="J6" s="28">
        <v>46235</v>
      </c>
      <c r="K6" s="28">
        <v>46266</v>
      </c>
      <c r="L6" s="28">
        <v>46296</v>
      </c>
      <c r="M6" s="28">
        <v>46327</v>
      </c>
      <c r="N6" s="28">
        <v>46357</v>
      </c>
      <c r="O6" s="28">
        <v>46388</v>
      </c>
      <c r="P6" s="28">
        <v>46419</v>
      </c>
      <c r="Q6" s="28">
        <v>46447</v>
      </c>
      <c r="R6" s="28">
        <v>46478</v>
      </c>
      <c r="S6" s="28">
        <v>46508</v>
      </c>
      <c r="T6" s="28">
        <v>46539</v>
      </c>
      <c r="U6" s="28">
        <v>46569</v>
      </c>
      <c r="V6" s="28">
        <v>46600</v>
      </c>
      <c r="W6" s="28">
        <v>46631</v>
      </c>
      <c r="X6" s="28">
        <v>46661</v>
      </c>
      <c r="Y6" s="28">
        <v>46692</v>
      </c>
      <c r="Z6" s="28">
        <v>46722</v>
      </c>
      <c r="AA6" s="28">
        <v>46753</v>
      </c>
      <c r="AB6" s="28">
        <v>46784</v>
      </c>
      <c r="AC6" s="28">
        <v>46813</v>
      </c>
      <c r="AD6" s="28">
        <v>46844</v>
      </c>
      <c r="AE6" s="28">
        <v>46874</v>
      </c>
      <c r="AF6" s="28">
        <v>46905</v>
      </c>
      <c r="AG6" s="28">
        <v>46935</v>
      </c>
      <c r="AH6" s="28">
        <v>46966</v>
      </c>
      <c r="AI6" s="28">
        <v>46997</v>
      </c>
      <c r="AJ6" s="28">
        <v>47027</v>
      </c>
      <c r="AK6" s="28">
        <v>47058</v>
      </c>
      <c r="AL6" s="28">
        <v>47088</v>
      </c>
      <c r="AN6" s="17" t="s">
        <v>193</v>
      </c>
      <c r="AO6" s="17" t="s">
        <v>194</v>
      </c>
      <c r="AP6" s="17" t="s">
        <v>195</v>
      </c>
      <c r="AQ6" s="17" t="s">
        <v>196</v>
      </c>
      <c r="AR6" s="17" t="s">
        <v>197</v>
      </c>
      <c r="AS6" s="17" t="s">
        <v>198</v>
      </c>
      <c r="AT6" s="17" t="s">
        <v>199</v>
      </c>
      <c r="AU6" s="17" t="s">
        <v>200</v>
      </c>
      <c r="AV6" s="17" t="s">
        <v>201</v>
      </c>
      <c r="AW6" s="17" t="s">
        <v>202</v>
      </c>
      <c r="AX6" s="17" t="s">
        <v>203</v>
      </c>
      <c r="AY6" s="17" t="s">
        <v>204</v>
      </c>
      <c r="BA6" s="17" t="s">
        <v>205</v>
      </c>
      <c r="BB6" s="17" t="s">
        <v>206</v>
      </c>
      <c r="BC6" s="17" t="s">
        <v>207</v>
      </c>
    </row>
    <row r="7" spans="1:55" ht="16" customHeight="1">
      <c r="A7" s="14" t="s">
        <v>351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</row>
    <row r="8" spans="1:55">
      <c r="A8" s="18" t="s">
        <v>352</v>
      </c>
      <c r="B8" s="16" t="s">
        <v>353</v>
      </c>
      <c r="C8" s="20">
        <f>'Revenue'!C60*'Assumptions'!$F$87/30</f>
        <v>0</v>
      </c>
      <c r="D8" s="20">
        <f>'Revenue'!D60*'Assumptions'!$F$87/30</f>
        <v>0</v>
      </c>
      <c r="E8" s="20">
        <f>'Revenue'!E60*'Assumptions'!$F$87/30</f>
        <v>0</v>
      </c>
      <c r="F8" s="20">
        <f>'Revenue'!F60*'Assumptions'!$F$87/30</f>
        <v>0</v>
      </c>
      <c r="G8" s="20">
        <f>'Revenue'!G60*'Assumptions'!$F$87/30</f>
        <v>0</v>
      </c>
      <c r="H8" s="20">
        <f>'Revenue'!H60*'Assumptions'!$F$87/30</f>
        <v>0</v>
      </c>
      <c r="I8" s="20">
        <f>'Revenue'!I60*'Assumptions'!$F$87/30</f>
        <v>0</v>
      </c>
      <c r="J8" s="20">
        <f>'Revenue'!J60*'Assumptions'!$F$87/30</f>
        <v>0</v>
      </c>
      <c r="K8" s="20">
        <f>'Revenue'!K60*'Assumptions'!$F$87/30</f>
        <v>0</v>
      </c>
      <c r="L8" s="20">
        <f>'Revenue'!L60*'Assumptions'!$F$87/30</f>
        <v>0</v>
      </c>
      <c r="M8" s="20">
        <f>'Revenue'!M60*'Assumptions'!$F$87/30</f>
        <v>0</v>
      </c>
      <c r="N8" s="20">
        <f>'Revenue'!N60*'Assumptions'!$F$87/30</f>
        <v>0</v>
      </c>
      <c r="O8" s="20">
        <f>'Revenue'!O60*'Assumptions'!$F$87/30</f>
        <v>0</v>
      </c>
      <c r="P8" s="20">
        <f>'Revenue'!P60*'Assumptions'!$F$87/30</f>
        <v>0</v>
      </c>
      <c r="Q8" s="20">
        <f>'Revenue'!Q60*'Assumptions'!$F$87/30</f>
        <v>0</v>
      </c>
      <c r="R8" s="20">
        <f>'Revenue'!R60*'Assumptions'!$F$87/30</f>
        <v>0</v>
      </c>
      <c r="S8" s="20">
        <f>'Revenue'!S60*'Assumptions'!$F$87/30</f>
        <v>0</v>
      </c>
      <c r="T8" s="20">
        <f>'Revenue'!T60*'Assumptions'!$F$87/30</f>
        <v>0</v>
      </c>
      <c r="U8" s="20">
        <f>'Revenue'!U60*'Assumptions'!$F$87/30</f>
        <v>0</v>
      </c>
      <c r="V8" s="20">
        <f>'Revenue'!V60*'Assumptions'!$F$87/30</f>
        <v>0</v>
      </c>
      <c r="W8" s="20">
        <f>'Revenue'!W60*'Assumptions'!$F$87/30</f>
        <v>0</v>
      </c>
      <c r="X8" s="20">
        <f>'Revenue'!X60*'Assumptions'!$F$87/30</f>
        <v>0</v>
      </c>
      <c r="Y8" s="20">
        <f>'Revenue'!Y60*'Assumptions'!$F$87/30</f>
        <v>0</v>
      </c>
      <c r="Z8" s="20">
        <f>'Revenue'!Z60*'Assumptions'!$F$87/30</f>
        <v>0</v>
      </c>
      <c r="AA8" s="20">
        <f>'Revenue'!AA60*'Assumptions'!$F$87/30</f>
        <v>0</v>
      </c>
      <c r="AB8" s="20">
        <f>'Revenue'!AB60*'Assumptions'!$F$87/30</f>
        <v>0</v>
      </c>
      <c r="AC8" s="20">
        <f>'Revenue'!AC60*'Assumptions'!$F$87/30</f>
        <v>0</v>
      </c>
      <c r="AD8" s="20">
        <f>'Revenue'!AD60*'Assumptions'!$F$87/30</f>
        <v>0</v>
      </c>
      <c r="AE8" s="20">
        <f>'Revenue'!AE60*'Assumptions'!$F$87/30</f>
        <v>0</v>
      </c>
      <c r="AF8" s="20">
        <f>'Revenue'!AF60*'Assumptions'!$F$87/30</f>
        <v>0</v>
      </c>
      <c r="AG8" s="20">
        <f>'Revenue'!AG60*'Assumptions'!$F$87/30</f>
        <v>0</v>
      </c>
      <c r="AH8" s="20">
        <f>'Revenue'!AH60*'Assumptions'!$F$87/30</f>
        <v>0</v>
      </c>
      <c r="AI8" s="20">
        <f>'Revenue'!AI60*'Assumptions'!$F$87/30</f>
        <v>0</v>
      </c>
      <c r="AJ8" s="20">
        <f>'Revenue'!AJ60*'Assumptions'!$F$87/30</f>
        <v>0</v>
      </c>
      <c r="AK8" s="20">
        <f>'Revenue'!AK60*'Assumptions'!$F$87/30</f>
        <v>0</v>
      </c>
      <c r="AL8" s="20">
        <f>'Revenue'!AL60*'Assumptions'!$F$87/30</f>
        <v>0</v>
      </c>
      <c r="AN8" s="20">
        <f>E8</f>
        <v>0</v>
      </c>
      <c r="AO8" s="20">
        <f>H8</f>
        <v>0</v>
      </c>
      <c r="AP8" s="20">
        <f>K8</f>
        <v>0</v>
      </c>
      <c r="AQ8" s="20">
        <f>N8</f>
        <v>0</v>
      </c>
      <c r="AR8" s="20">
        <f>Q8</f>
        <v>0</v>
      </c>
      <c r="AS8" s="20">
        <f>T8</f>
        <v>0</v>
      </c>
      <c r="AT8" s="20">
        <f>W8</f>
        <v>0</v>
      </c>
      <c r="AU8" s="20">
        <f>Z8</f>
        <v>0</v>
      </c>
      <c r="AV8" s="20">
        <f>AC8</f>
        <v>0</v>
      </c>
      <c r="AW8" s="20">
        <f>AF8</f>
        <v>0</v>
      </c>
      <c r="AX8" s="20">
        <f>AI8</f>
        <v>0</v>
      </c>
      <c r="AY8" s="20">
        <f>AL8</f>
        <v>0</v>
      </c>
      <c r="BA8" s="20">
        <f>N8</f>
        <v>0</v>
      </c>
      <c r="BB8" s="20">
        <f>Z8</f>
        <v>0</v>
      </c>
      <c r="BC8" s="20">
        <f>AL8</f>
        <v>0</v>
      </c>
    </row>
    <row r="9" spans="1:55">
      <c r="A9" s="18" t="s">
        <v>354</v>
      </c>
      <c r="B9" s="16" t="s">
        <v>355</v>
      </c>
      <c r="C9" s="20">
        <f>('COGS &amp; GM'!C21+'Opex'!C25)*'Assumptions'!$F$88/30</f>
        <v>0</v>
      </c>
      <c r="D9" s="20">
        <f>('COGS &amp; GM'!D21+'Opex'!D25)*'Assumptions'!$F$88/30</f>
        <v>0</v>
      </c>
      <c r="E9" s="20">
        <f>('COGS &amp; GM'!E21+'Opex'!E25)*'Assumptions'!$F$88/30</f>
        <v>0</v>
      </c>
      <c r="F9" s="20">
        <f>('COGS &amp; GM'!F21+'Opex'!F25)*'Assumptions'!$F$88/30</f>
        <v>0</v>
      </c>
      <c r="G9" s="20">
        <f>('COGS &amp; GM'!G21+'Opex'!G25)*'Assumptions'!$F$88/30</f>
        <v>0</v>
      </c>
      <c r="H9" s="20">
        <f>('COGS &amp; GM'!H21+'Opex'!H25)*'Assumptions'!$F$88/30</f>
        <v>0</v>
      </c>
      <c r="I9" s="20">
        <f>('COGS &amp; GM'!I21+'Opex'!I25)*'Assumptions'!$F$88/30</f>
        <v>0</v>
      </c>
      <c r="J9" s="20">
        <f>('COGS &amp; GM'!J21+'Opex'!J25)*'Assumptions'!$F$88/30</f>
        <v>0</v>
      </c>
      <c r="K9" s="20">
        <f>('COGS &amp; GM'!K21+'Opex'!K25)*'Assumptions'!$F$88/30</f>
        <v>0</v>
      </c>
      <c r="L9" s="20">
        <f>('COGS &amp; GM'!L21+'Opex'!L25)*'Assumptions'!$F$88/30</f>
        <v>0</v>
      </c>
      <c r="M9" s="20">
        <f>('COGS &amp; GM'!M21+'Opex'!M25)*'Assumptions'!$F$88/30</f>
        <v>0</v>
      </c>
      <c r="N9" s="20">
        <f>('COGS &amp; GM'!N21+'Opex'!N25)*'Assumptions'!$F$88/30</f>
        <v>0</v>
      </c>
      <c r="O9" s="20">
        <f>('COGS &amp; GM'!O21+'Opex'!O25)*'Assumptions'!$F$88/30</f>
        <v>0</v>
      </c>
      <c r="P9" s="20">
        <f>('COGS &amp; GM'!P21+'Opex'!P25)*'Assumptions'!$F$88/30</f>
        <v>0</v>
      </c>
      <c r="Q9" s="20">
        <f>('COGS &amp; GM'!Q21+'Opex'!Q25)*'Assumptions'!$F$88/30</f>
        <v>0</v>
      </c>
      <c r="R9" s="20">
        <f>('COGS &amp; GM'!R21+'Opex'!R25)*'Assumptions'!$F$88/30</f>
        <v>0</v>
      </c>
      <c r="S9" s="20">
        <f>('COGS &amp; GM'!S21+'Opex'!S25)*'Assumptions'!$F$88/30</f>
        <v>0</v>
      </c>
      <c r="T9" s="20">
        <f>('COGS &amp; GM'!T21+'Opex'!T25)*'Assumptions'!$F$88/30</f>
        <v>0</v>
      </c>
      <c r="U9" s="20">
        <f>('COGS &amp; GM'!U21+'Opex'!U25)*'Assumptions'!$F$88/30</f>
        <v>0</v>
      </c>
      <c r="V9" s="20">
        <f>('COGS &amp; GM'!V21+'Opex'!V25)*'Assumptions'!$F$88/30</f>
        <v>0</v>
      </c>
      <c r="W9" s="20">
        <f>('COGS &amp; GM'!W21+'Opex'!W25)*'Assumptions'!$F$88/30</f>
        <v>0</v>
      </c>
      <c r="X9" s="20">
        <f>('COGS &amp; GM'!X21+'Opex'!X25)*'Assumptions'!$F$88/30</f>
        <v>0</v>
      </c>
      <c r="Y9" s="20">
        <f>('COGS &amp; GM'!Y21+'Opex'!Y25)*'Assumptions'!$F$88/30</f>
        <v>0</v>
      </c>
      <c r="Z9" s="20">
        <f>('COGS &amp; GM'!Z21+'Opex'!Z25)*'Assumptions'!$F$88/30</f>
        <v>0</v>
      </c>
      <c r="AA9" s="20">
        <f>('COGS &amp; GM'!AA21+'Opex'!AA25)*'Assumptions'!$F$88/30</f>
        <v>0</v>
      </c>
      <c r="AB9" s="20">
        <f>('COGS &amp; GM'!AB21+'Opex'!AB25)*'Assumptions'!$F$88/30</f>
        <v>0</v>
      </c>
      <c r="AC9" s="20">
        <f>('COGS &amp; GM'!AC21+'Opex'!AC25)*'Assumptions'!$F$88/30</f>
        <v>0</v>
      </c>
      <c r="AD9" s="20">
        <f>('COGS &amp; GM'!AD21+'Opex'!AD25)*'Assumptions'!$F$88/30</f>
        <v>0</v>
      </c>
      <c r="AE9" s="20">
        <f>('COGS &amp; GM'!AE21+'Opex'!AE25)*'Assumptions'!$F$88/30</f>
        <v>0</v>
      </c>
      <c r="AF9" s="20">
        <f>('COGS &amp; GM'!AF21+'Opex'!AF25)*'Assumptions'!$F$88/30</f>
        <v>0</v>
      </c>
      <c r="AG9" s="20">
        <f>('COGS &amp; GM'!AG21+'Opex'!AG25)*'Assumptions'!$F$88/30</f>
        <v>0</v>
      </c>
      <c r="AH9" s="20">
        <f>('COGS &amp; GM'!AH21+'Opex'!AH25)*'Assumptions'!$F$88/30</f>
        <v>0</v>
      </c>
      <c r="AI9" s="20">
        <f>('COGS &amp; GM'!AI21+'Opex'!AI25)*'Assumptions'!$F$88/30</f>
        <v>0</v>
      </c>
      <c r="AJ9" s="20">
        <f>('COGS &amp; GM'!AJ21+'Opex'!AJ25)*'Assumptions'!$F$88/30</f>
        <v>0</v>
      </c>
      <c r="AK9" s="20">
        <f>('COGS &amp; GM'!AK21+'Opex'!AK25)*'Assumptions'!$F$88/30</f>
        <v>0</v>
      </c>
      <c r="AL9" s="20">
        <f>('COGS &amp; GM'!AL21+'Opex'!AL25)*'Assumptions'!$F$88/30</f>
        <v>0</v>
      </c>
      <c r="AN9" s="20">
        <f>E9</f>
        <v>0</v>
      </c>
      <c r="AO9" s="20">
        <f>H9</f>
        <v>0</v>
      </c>
      <c r="AP9" s="20">
        <f>K9</f>
        <v>0</v>
      </c>
      <c r="AQ9" s="20">
        <f>N9</f>
        <v>0</v>
      </c>
      <c r="AR9" s="20">
        <f>Q9</f>
        <v>0</v>
      </c>
      <c r="AS9" s="20">
        <f>T9</f>
        <v>0</v>
      </c>
      <c r="AT9" s="20">
        <f>W9</f>
        <v>0</v>
      </c>
      <c r="AU9" s="20">
        <f>Z9</f>
        <v>0</v>
      </c>
      <c r="AV9" s="20">
        <f>AC9</f>
        <v>0</v>
      </c>
      <c r="AW9" s="20">
        <f>AF9</f>
        <v>0</v>
      </c>
      <c r="AX9" s="20">
        <f>AI9</f>
        <v>0</v>
      </c>
      <c r="AY9" s="20">
        <f>AL9</f>
        <v>0</v>
      </c>
      <c r="BA9" s="20">
        <f>N9</f>
        <v>0</v>
      </c>
      <c r="BB9" s="20">
        <f>Z9</f>
        <v>0</v>
      </c>
      <c r="BC9" s="20">
        <f>AL9</f>
        <v>0</v>
      </c>
    </row>
    <row r="10" spans="1:55">
      <c r="A10" s="18" t="s">
        <v>356</v>
      </c>
      <c r="B10" s="16" t="s">
        <v>357</v>
      </c>
      <c r="C10" s="20">
        <f>'Revenue'!C60*'Assumptions'!$F$89</f>
        <v>0</v>
      </c>
      <c r="D10" s="20">
        <f>'Revenue'!D60*'Assumptions'!$F$89</f>
        <v>0</v>
      </c>
      <c r="E10" s="20">
        <f>'Revenue'!E60*'Assumptions'!$F$89</f>
        <v>0</v>
      </c>
      <c r="F10" s="20">
        <f>'Revenue'!F60*'Assumptions'!$F$89</f>
        <v>0</v>
      </c>
      <c r="G10" s="20">
        <f>'Revenue'!G60*'Assumptions'!$F$89</f>
        <v>0</v>
      </c>
      <c r="H10" s="20">
        <f>'Revenue'!H60*'Assumptions'!$F$89</f>
        <v>0</v>
      </c>
      <c r="I10" s="20">
        <f>'Revenue'!I60*'Assumptions'!$F$89</f>
        <v>0</v>
      </c>
      <c r="J10" s="20">
        <f>'Revenue'!J60*'Assumptions'!$F$89</f>
        <v>0</v>
      </c>
      <c r="K10" s="20">
        <f>'Revenue'!K60*'Assumptions'!$F$89</f>
        <v>0</v>
      </c>
      <c r="L10" s="20">
        <f>'Revenue'!L60*'Assumptions'!$F$89</f>
        <v>0</v>
      </c>
      <c r="M10" s="20">
        <f>'Revenue'!M60*'Assumptions'!$F$89</f>
        <v>0</v>
      </c>
      <c r="N10" s="20">
        <f>'Revenue'!N60*'Assumptions'!$F$89</f>
        <v>0</v>
      </c>
      <c r="O10" s="20">
        <f>'Revenue'!O60*'Assumptions'!$F$89</f>
        <v>0</v>
      </c>
      <c r="P10" s="20">
        <f>'Revenue'!P60*'Assumptions'!$F$89</f>
        <v>0</v>
      </c>
      <c r="Q10" s="20">
        <f>'Revenue'!Q60*'Assumptions'!$F$89</f>
        <v>0</v>
      </c>
      <c r="R10" s="20">
        <f>'Revenue'!R60*'Assumptions'!$F$89</f>
        <v>0</v>
      </c>
      <c r="S10" s="20">
        <f>'Revenue'!S60*'Assumptions'!$F$89</f>
        <v>0</v>
      </c>
      <c r="T10" s="20">
        <f>'Revenue'!T60*'Assumptions'!$F$89</f>
        <v>0</v>
      </c>
      <c r="U10" s="20">
        <f>'Revenue'!U60*'Assumptions'!$F$89</f>
        <v>0</v>
      </c>
      <c r="V10" s="20">
        <f>'Revenue'!V60*'Assumptions'!$F$89</f>
        <v>0</v>
      </c>
      <c r="W10" s="20">
        <f>'Revenue'!W60*'Assumptions'!$F$89</f>
        <v>0</v>
      </c>
      <c r="X10" s="20">
        <f>'Revenue'!X60*'Assumptions'!$F$89</f>
        <v>0</v>
      </c>
      <c r="Y10" s="20">
        <f>'Revenue'!Y60*'Assumptions'!$F$89</f>
        <v>0</v>
      </c>
      <c r="Z10" s="20">
        <f>'Revenue'!Z60*'Assumptions'!$F$89</f>
        <v>0</v>
      </c>
      <c r="AA10" s="20">
        <f>'Revenue'!AA60*'Assumptions'!$F$89</f>
        <v>0</v>
      </c>
      <c r="AB10" s="20">
        <f>'Revenue'!AB60*'Assumptions'!$F$89</f>
        <v>0</v>
      </c>
      <c r="AC10" s="20">
        <f>'Revenue'!AC60*'Assumptions'!$F$89</f>
        <v>0</v>
      </c>
      <c r="AD10" s="20">
        <f>'Revenue'!AD60*'Assumptions'!$F$89</f>
        <v>0</v>
      </c>
      <c r="AE10" s="20">
        <f>'Revenue'!AE60*'Assumptions'!$F$89</f>
        <v>0</v>
      </c>
      <c r="AF10" s="20">
        <f>'Revenue'!AF60*'Assumptions'!$F$89</f>
        <v>0</v>
      </c>
      <c r="AG10" s="20">
        <f>'Revenue'!AG60*'Assumptions'!$F$89</f>
        <v>0</v>
      </c>
      <c r="AH10" s="20">
        <f>'Revenue'!AH60*'Assumptions'!$F$89</f>
        <v>0</v>
      </c>
      <c r="AI10" s="20">
        <f>'Revenue'!AI60*'Assumptions'!$F$89</f>
        <v>0</v>
      </c>
      <c r="AJ10" s="20">
        <f>'Revenue'!AJ60*'Assumptions'!$F$89</f>
        <v>0</v>
      </c>
      <c r="AK10" s="20">
        <f>'Revenue'!AK60*'Assumptions'!$F$89</f>
        <v>0</v>
      </c>
      <c r="AL10" s="20">
        <f>'Revenue'!AL60*'Assumptions'!$F$89</f>
        <v>0</v>
      </c>
      <c r="AN10" s="20">
        <f>E10</f>
        <v>0</v>
      </c>
      <c r="AO10" s="20">
        <f>H10</f>
        <v>0</v>
      </c>
      <c r="AP10" s="20">
        <f>K10</f>
        <v>0</v>
      </c>
      <c r="AQ10" s="20">
        <f>N10</f>
        <v>0</v>
      </c>
      <c r="AR10" s="20">
        <f>Q10</f>
        <v>0</v>
      </c>
      <c r="AS10" s="20">
        <f>T10</f>
        <v>0</v>
      </c>
      <c r="AT10" s="20">
        <f>W10</f>
        <v>0</v>
      </c>
      <c r="AU10" s="20">
        <f>Z10</f>
        <v>0</v>
      </c>
      <c r="AV10" s="20">
        <f>AC10</f>
        <v>0</v>
      </c>
      <c r="AW10" s="20">
        <f>AF10</f>
        <v>0</v>
      </c>
      <c r="AX10" s="20">
        <f>AI10</f>
        <v>0</v>
      </c>
      <c r="AY10" s="20">
        <f>AL10</f>
        <v>0</v>
      </c>
      <c r="BA10" s="20">
        <f>N10</f>
        <v>0</v>
      </c>
      <c r="BB10" s="20">
        <f>Z10</f>
        <v>0</v>
      </c>
      <c r="BC10" s="20">
        <f>AL10</f>
        <v>0</v>
      </c>
    </row>
    <row r="11" spans="1:55">
      <c r="A11" s="18" t="s">
        <v>358</v>
      </c>
      <c r="B11" s="16" t="s">
        <v>359</v>
      </c>
      <c r="C11" s="20">
        <f>'Revenue'!C60*'Assumptions'!$F$92</f>
        <v>0</v>
      </c>
      <c r="D11" s="20">
        <f>'Revenue'!D60*'Assumptions'!$F$92</f>
        <v>0</v>
      </c>
      <c r="E11" s="20">
        <f>'Revenue'!E60*'Assumptions'!$F$92</f>
        <v>0</v>
      </c>
      <c r="F11" s="20">
        <f>'Revenue'!F60*'Assumptions'!$F$92</f>
        <v>0</v>
      </c>
      <c r="G11" s="20">
        <f>'Revenue'!G60*'Assumptions'!$F$92</f>
        <v>0</v>
      </c>
      <c r="H11" s="20">
        <f>'Revenue'!H60*'Assumptions'!$F$92</f>
        <v>0</v>
      </c>
      <c r="I11" s="20">
        <f>'Revenue'!I60*'Assumptions'!$F$92</f>
        <v>0</v>
      </c>
      <c r="J11" s="20">
        <f>'Revenue'!J60*'Assumptions'!$F$92</f>
        <v>0</v>
      </c>
      <c r="K11" s="20">
        <f>'Revenue'!K60*'Assumptions'!$F$92</f>
        <v>0</v>
      </c>
      <c r="L11" s="20">
        <f>'Revenue'!L60*'Assumptions'!$F$92</f>
        <v>0</v>
      </c>
      <c r="M11" s="20">
        <f>'Revenue'!M60*'Assumptions'!$F$92</f>
        <v>0</v>
      </c>
      <c r="N11" s="20">
        <f>'Revenue'!N60*'Assumptions'!$F$92</f>
        <v>0</v>
      </c>
      <c r="O11" s="20">
        <f>'Revenue'!O60*'Assumptions'!$F$92</f>
        <v>0</v>
      </c>
      <c r="P11" s="20">
        <f>'Revenue'!P60*'Assumptions'!$F$92</f>
        <v>0</v>
      </c>
      <c r="Q11" s="20">
        <f>'Revenue'!Q60*'Assumptions'!$F$92</f>
        <v>0</v>
      </c>
      <c r="R11" s="20">
        <f>'Revenue'!R60*'Assumptions'!$F$92</f>
        <v>0</v>
      </c>
      <c r="S11" s="20">
        <f>'Revenue'!S60*'Assumptions'!$F$92</f>
        <v>0</v>
      </c>
      <c r="T11" s="20">
        <f>'Revenue'!T60*'Assumptions'!$F$92</f>
        <v>0</v>
      </c>
      <c r="U11" s="20">
        <f>'Revenue'!U60*'Assumptions'!$F$92</f>
        <v>0</v>
      </c>
      <c r="V11" s="20">
        <f>'Revenue'!V60*'Assumptions'!$F$92</f>
        <v>0</v>
      </c>
      <c r="W11" s="20">
        <f>'Revenue'!W60*'Assumptions'!$F$92</f>
        <v>0</v>
      </c>
      <c r="X11" s="20">
        <f>'Revenue'!X60*'Assumptions'!$F$92</f>
        <v>0</v>
      </c>
      <c r="Y11" s="20">
        <f>'Revenue'!Y60*'Assumptions'!$F$92</f>
        <v>0</v>
      </c>
      <c r="Z11" s="20">
        <f>'Revenue'!Z60*'Assumptions'!$F$92</f>
        <v>0</v>
      </c>
      <c r="AA11" s="20">
        <f>'Revenue'!AA60*'Assumptions'!$F$92</f>
        <v>0</v>
      </c>
      <c r="AB11" s="20">
        <f>'Revenue'!AB60*'Assumptions'!$F$92</f>
        <v>0</v>
      </c>
      <c r="AC11" s="20">
        <f>'Revenue'!AC60*'Assumptions'!$F$92</f>
        <v>0</v>
      </c>
      <c r="AD11" s="20">
        <f>'Revenue'!AD60*'Assumptions'!$F$92</f>
        <v>0</v>
      </c>
      <c r="AE11" s="20">
        <f>'Revenue'!AE60*'Assumptions'!$F$92</f>
        <v>0</v>
      </c>
      <c r="AF11" s="20">
        <f>'Revenue'!AF60*'Assumptions'!$F$92</f>
        <v>0</v>
      </c>
      <c r="AG11" s="20">
        <f>'Revenue'!AG60*'Assumptions'!$F$92</f>
        <v>0</v>
      </c>
      <c r="AH11" s="20">
        <f>'Revenue'!AH60*'Assumptions'!$F$92</f>
        <v>0</v>
      </c>
      <c r="AI11" s="20">
        <f>'Revenue'!AI60*'Assumptions'!$F$92</f>
        <v>0</v>
      </c>
      <c r="AJ11" s="20">
        <f>'Revenue'!AJ60*'Assumptions'!$F$92</f>
        <v>0</v>
      </c>
      <c r="AK11" s="20">
        <f>'Revenue'!AK60*'Assumptions'!$F$92</f>
        <v>0</v>
      </c>
      <c r="AL11" s="20">
        <f>'Revenue'!AL60*'Assumptions'!$F$92</f>
        <v>0</v>
      </c>
      <c r="AN11" s="20">
        <f>E11</f>
        <v>0</v>
      </c>
      <c r="AO11" s="20">
        <f>H11</f>
        <v>0</v>
      </c>
      <c r="AP11" s="20">
        <f>K11</f>
        <v>0</v>
      </c>
      <c r="AQ11" s="20">
        <f>N11</f>
        <v>0</v>
      </c>
      <c r="AR11" s="20">
        <f>Q11</f>
        <v>0</v>
      </c>
      <c r="AS11" s="20">
        <f>T11</f>
        <v>0</v>
      </c>
      <c r="AT11" s="20">
        <f>W11</f>
        <v>0</v>
      </c>
      <c r="AU11" s="20">
        <f>Z11</f>
        <v>0</v>
      </c>
      <c r="AV11" s="20">
        <f>AC11</f>
        <v>0</v>
      </c>
      <c r="AW11" s="20">
        <f>AF11</f>
        <v>0</v>
      </c>
      <c r="AX11" s="20">
        <f>AI11</f>
        <v>0</v>
      </c>
      <c r="AY11" s="20">
        <f>AL11</f>
        <v>0</v>
      </c>
      <c r="BA11" s="20">
        <f>N11</f>
        <v>0</v>
      </c>
      <c r="BB11" s="20">
        <f>Z11</f>
        <v>0</v>
      </c>
      <c r="BC11" s="20">
        <f>AL11</f>
        <v>0</v>
      </c>
    </row>
    <row r="12" spans="1:55">
      <c r="A12" s="18" t="s">
        <v>360</v>
      </c>
      <c r="B12" s="16"/>
      <c r="C12" s="20">
        <f>C8</f>
        <v>0</v>
      </c>
      <c r="D12" s="20">
        <f>D8-C8</f>
        <v>0</v>
      </c>
      <c r="E12" s="20">
        <f>E8-D8</f>
        <v>0</v>
      </c>
      <c r="F12" s="20">
        <f>F8-E8</f>
        <v>0</v>
      </c>
      <c r="G12" s="20">
        <f>G8-F8</f>
        <v>0</v>
      </c>
      <c r="H12" s="20">
        <f>H8-G8</f>
        <v>0</v>
      </c>
      <c r="I12" s="20">
        <f>I8-H8</f>
        <v>0</v>
      </c>
      <c r="J12" s="20">
        <f>J8-I8</f>
        <v>0</v>
      </c>
      <c r="K12" s="20">
        <f>K8-J8</f>
        <v>0</v>
      </c>
      <c r="L12" s="20">
        <f>L8-K8</f>
        <v>0</v>
      </c>
      <c r="M12" s="20">
        <f>M8-L8</f>
        <v>0</v>
      </c>
      <c r="N12" s="20">
        <f>N8-M8</f>
        <v>0</v>
      </c>
      <c r="O12" s="20">
        <f>O8-N8</f>
        <v>0</v>
      </c>
      <c r="P12" s="20">
        <f>P8-O8</f>
        <v>0</v>
      </c>
      <c r="Q12" s="20">
        <f>Q8-P8</f>
        <v>0</v>
      </c>
      <c r="R12" s="20">
        <f>R8-Q8</f>
        <v>0</v>
      </c>
      <c r="S12" s="20">
        <f>S8-R8</f>
        <v>0</v>
      </c>
      <c r="T12" s="20">
        <f>T8-S8</f>
        <v>0</v>
      </c>
      <c r="U12" s="20">
        <f>U8-T8</f>
        <v>0</v>
      </c>
      <c r="V12" s="20">
        <f>V8-U8</f>
        <v>0</v>
      </c>
      <c r="W12" s="20">
        <f>W8-V8</f>
        <v>0</v>
      </c>
      <c r="X12" s="20">
        <f>X8-W8</f>
        <v>0</v>
      </c>
      <c r="Y12" s="20">
        <f>Y8-X8</f>
        <v>0</v>
      </c>
      <c r="Z12" s="20">
        <f>Z8-Y8</f>
        <v>0</v>
      </c>
      <c r="AA12" s="20">
        <f>AA8-Z8</f>
        <v>0</v>
      </c>
      <c r="AB12" s="20">
        <f>AB8-AA8</f>
        <v>0</v>
      </c>
      <c r="AC12" s="20">
        <f>AC8-AB8</f>
        <v>0</v>
      </c>
      <c r="AD12" s="20">
        <f>AD8-AC8</f>
        <v>0</v>
      </c>
      <c r="AE12" s="20">
        <f>AE8-AD8</f>
        <v>0</v>
      </c>
      <c r="AF12" s="20">
        <f>AF8-AE8</f>
        <v>0</v>
      </c>
      <c r="AG12" s="20">
        <f>AG8-AF8</f>
        <v>0</v>
      </c>
      <c r="AH12" s="20">
        <f>AH8-AG8</f>
        <v>0</v>
      </c>
      <c r="AI12" s="20">
        <f>AI8-AH8</f>
        <v>0</v>
      </c>
      <c r="AJ12" s="20">
        <f>AJ8-AI8</f>
        <v>0</v>
      </c>
      <c r="AK12" s="20">
        <f>AK8-AJ8</f>
        <v>0</v>
      </c>
      <c r="AL12" s="20">
        <f>AL8-AK8</f>
        <v>0</v>
      </c>
      <c r="AN12" s="20">
        <f>SUM(C12:E12)</f>
        <v>0</v>
      </c>
      <c r="AO12" s="20">
        <f>SUM(F12:H12)</f>
        <v>0</v>
      </c>
      <c r="AP12" s="20">
        <f>SUM(I12:K12)</f>
        <v>0</v>
      </c>
      <c r="AQ12" s="20">
        <f>SUM(L12:N12)</f>
        <v>0</v>
      </c>
      <c r="AR12" s="20">
        <f>SUM(O12:Q12)</f>
        <v>0</v>
      </c>
      <c r="AS12" s="20">
        <f>SUM(R12:T12)</f>
        <v>0</v>
      </c>
      <c r="AT12" s="20">
        <f>SUM(U12:W12)</f>
        <v>0</v>
      </c>
      <c r="AU12" s="20">
        <f>SUM(X12:Z12)</f>
        <v>0</v>
      </c>
      <c r="AV12" s="20">
        <f>SUM(AA12:AC12)</f>
        <v>0</v>
      </c>
      <c r="AW12" s="20">
        <f>SUM(AD12:AF12)</f>
        <v>0</v>
      </c>
      <c r="AX12" s="20">
        <f>SUM(AG12:AI12)</f>
        <v>0</v>
      </c>
      <c r="AY12" s="20">
        <f>SUM(AJ12:AL12)</f>
        <v>0</v>
      </c>
      <c r="BA12" s="20">
        <f>SUM(C12:N12)</f>
        <v>0</v>
      </c>
      <c r="BB12" s="20">
        <f>SUM(O12:Z12)</f>
        <v>0</v>
      </c>
      <c r="BC12" s="20">
        <f>SUM(AA12:AL12)</f>
        <v>0</v>
      </c>
    </row>
    <row r="13" spans="1:55">
      <c r="A13" s="18" t="s">
        <v>361</v>
      </c>
      <c r="B13" s="16"/>
      <c r="C13" s="20">
        <f>C9</f>
        <v>0</v>
      </c>
      <c r="D13" s="20">
        <f>D9-C9</f>
        <v>0</v>
      </c>
      <c r="E13" s="20">
        <f>E9-D9</f>
        <v>0</v>
      </c>
      <c r="F13" s="20">
        <f>F9-E9</f>
        <v>0</v>
      </c>
      <c r="G13" s="20">
        <f>G9-F9</f>
        <v>0</v>
      </c>
      <c r="H13" s="20">
        <f>H9-G9</f>
        <v>0</v>
      </c>
      <c r="I13" s="20">
        <f>I9-H9</f>
        <v>0</v>
      </c>
      <c r="J13" s="20">
        <f>J9-I9</f>
        <v>0</v>
      </c>
      <c r="K13" s="20">
        <f>K9-J9</f>
        <v>0</v>
      </c>
      <c r="L13" s="20">
        <f>L9-K9</f>
        <v>0</v>
      </c>
      <c r="M13" s="20">
        <f>M9-L9</f>
        <v>0</v>
      </c>
      <c r="N13" s="20">
        <f>N9-M9</f>
        <v>0</v>
      </c>
      <c r="O13" s="20">
        <f>O9-N9</f>
        <v>0</v>
      </c>
      <c r="P13" s="20">
        <f>P9-O9</f>
        <v>0</v>
      </c>
      <c r="Q13" s="20">
        <f>Q9-P9</f>
        <v>0</v>
      </c>
      <c r="R13" s="20">
        <f>R9-Q9</f>
        <v>0</v>
      </c>
      <c r="S13" s="20">
        <f>S9-R9</f>
        <v>0</v>
      </c>
      <c r="T13" s="20">
        <f>T9-S9</f>
        <v>0</v>
      </c>
      <c r="U13" s="20">
        <f>U9-T9</f>
        <v>0</v>
      </c>
      <c r="V13" s="20">
        <f>V9-U9</f>
        <v>0</v>
      </c>
      <c r="W13" s="20">
        <f>W9-V9</f>
        <v>0</v>
      </c>
      <c r="X13" s="20">
        <f>X9-W9</f>
        <v>0</v>
      </c>
      <c r="Y13" s="20">
        <f>Y9-X9</f>
        <v>0</v>
      </c>
      <c r="Z13" s="20">
        <f>Z9-Y9</f>
        <v>0</v>
      </c>
      <c r="AA13" s="20">
        <f>AA9-Z9</f>
        <v>0</v>
      </c>
      <c r="AB13" s="20">
        <f>AB9-AA9</f>
        <v>0</v>
      </c>
      <c r="AC13" s="20">
        <f>AC9-AB9</f>
        <v>0</v>
      </c>
      <c r="AD13" s="20">
        <f>AD9-AC9</f>
        <v>0</v>
      </c>
      <c r="AE13" s="20">
        <f>AE9-AD9</f>
        <v>0</v>
      </c>
      <c r="AF13" s="20">
        <f>AF9-AE9</f>
        <v>0</v>
      </c>
      <c r="AG13" s="20">
        <f>AG9-AF9</f>
        <v>0</v>
      </c>
      <c r="AH13" s="20">
        <f>AH9-AG9</f>
        <v>0</v>
      </c>
      <c r="AI13" s="20">
        <f>AI9-AH9</f>
        <v>0</v>
      </c>
      <c r="AJ13" s="20">
        <f>AJ9-AI9</f>
        <v>0</v>
      </c>
      <c r="AK13" s="20">
        <f>AK9-AJ9</f>
        <v>0</v>
      </c>
      <c r="AL13" s="20">
        <f>AL9-AK9</f>
        <v>0</v>
      </c>
      <c r="AN13" s="20">
        <f>SUM(C13:E13)</f>
        <v>0</v>
      </c>
      <c r="AO13" s="20">
        <f>SUM(F13:H13)</f>
        <v>0</v>
      </c>
      <c r="AP13" s="20">
        <f>SUM(I13:K13)</f>
        <v>0</v>
      </c>
      <c r="AQ13" s="20">
        <f>SUM(L13:N13)</f>
        <v>0</v>
      </c>
      <c r="AR13" s="20">
        <f>SUM(O13:Q13)</f>
        <v>0</v>
      </c>
      <c r="AS13" s="20">
        <f>SUM(R13:T13)</f>
        <v>0</v>
      </c>
      <c r="AT13" s="20">
        <f>SUM(U13:W13)</f>
        <v>0</v>
      </c>
      <c r="AU13" s="20">
        <f>SUM(X13:Z13)</f>
        <v>0</v>
      </c>
      <c r="AV13" s="20">
        <f>SUM(AA13:AC13)</f>
        <v>0</v>
      </c>
      <c r="AW13" s="20">
        <f>SUM(AD13:AF13)</f>
        <v>0</v>
      </c>
      <c r="AX13" s="20">
        <f>SUM(AG13:AI13)</f>
        <v>0</v>
      </c>
      <c r="AY13" s="20">
        <f>SUM(AJ13:AL13)</f>
        <v>0</v>
      </c>
      <c r="BA13" s="20">
        <f>SUM(C13:N13)</f>
        <v>0</v>
      </c>
      <c r="BB13" s="20">
        <f>SUM(O13:Z13)</f>
        <v>0</v>
      </c>
      <c r="BC13" s="20">
        <f>SUM(AA13:AL13)</f>
        <v>0</v>
      </c>
    </row>
    <row r="14" spans="1:55">
      <c r="A14" s="18" t="s">
        <v>362</v>
      </c>
      <c r="B14" s="16"/>
      <c r="C14" s="20">
        <f>C10</f>
        <v>0</v>
      </c>
      <c r="D14" s="20">
        <f>D10-C10</f>
        <v>0</v>
      </c>
      <c r="E14" s="20">
        <f>E10-D10</f>
        <v>0</v>
      </c>
      <c r="F14" s="20">
        <f>F10-E10</f>
        <v>0</v>
      </c>
      <c r="G14" s="20">
        <f>G10-F10</f>
        <v>0</v>
      </c>
      <c r="H14" s="20">
        <f>H10-G10</f>
        <v>0</v>
      </c>
      <c r="I14" s="20">
        <f>I10-H10</f>
        <v>0</v>
      </c>
      <c r="J14" s="20">
        <f>J10-I10</f>
        <v>0</v>
      </c>
      <c r="K14" s="20">
        <f>K10-J10</f>
        <v>0</v>
      </c>
      <c r="L14" s="20">
        <f>L10-K10</f>
        <v>0</v>
      </c>
      <c r="M14" s="20">
        <f>M10-L10</f>
        <v>0</v>
      </c>
      <c r="N14" s="20">
        <f>N10-M10</f>
        <v>0</v>
      </c>
      <c r="O14" s="20">
        <f>O10-N10</f>
        <v>0</v>
      </c>
      <c r="P14" s="20">
        <f>P10-O10</f>
        <v>0</v>
      </c>
      <c r="Q14" s="20">
        <f>Q10-P10</f>
        <v>0</v>
      </c>
      <c r="R14" s="20">
        <f>R10-Q10</f>
        <v>0</v>
      </c>
      <c r="S14" s="20">
        <f>S10-R10</f>
        <v>0</v>
      </c>
      <c r="T14" s="20">
        <f>T10-S10</f>
        <v>0</v>
      </c>
      <c r="U14" s="20">
        <f>U10-T10</f>
        <v>0</v>
      </c>
      <c r="V14" s="20">
        <f>V10-U10</f>
        <v>0</v>
      </c>
      <c r="W14" s="20">
        <f>W10-V10</f>
        <v>0</v>
      </c>
      <c r="X14" s="20">
        <f>X10-W10</f>
        <v>0</v>
      </c>
      <c r="Y14" s="20">
        <f>Y10-X10</f>
        <v>0</v>
      </c>
      <c r="Z14" s="20">
        <f>Z10-Y10</f>
        <v>0</v>
      </c>
      <c r="AA14" s="20">
        <f>AA10-Z10</f>
        <v>0</v>
      </c>
      <c r="AB14" s="20">
        <f>AB10-AA10</f>
        <v>0</v>
      </c>
      <c r="AC14" s="20">
        <f>AC10-AB10</f>
        <v>0</v>
      </c>
      <c r="AD14" s="20">
        <f>AD10-AC10</f>
        <v>0</v>
      </c>
      <c r="AE14" s="20">
        <f>AE10-AD10</f>
        <v>0</v>
      </c>
      <c r="AF14" s="20">
        <f>AF10-AE10</f>
        <v>0</v>
      </c>
      <c r="AG14" s="20">
        <f>AG10-AF10</f>
        <v>0</v>
      </c>
      <c r="AH14" s="20">
        <f>AH10-AG10</f>
        <v>0</v>
      </c>
      <c r="AI14" s="20">
        <f>AI10-AH10</f>
        <v>0</v>
      </c>
      <c r="AJ14" s="20">
        <f>AJ10-AI10</f>
        <v>0</v>
      </c>
      <c r="AK14" s="20">
        <f>AK10-AJ10</f>
        <v>0</v>
      </c>
      <c r="AL14" s="20">
        <f>AL10-AK10</f>
        <v>0</v>
      </c>
      <c r="AN14" s="20">
        <f>SUM(C14:E14)</f>
        <v>0</v>
      </c>
      <c r="AO14" s="20">
        <f>SUM(F14:H14)</f>
        <v>0</v>
      </c>
      <c r="AP14" s="20">
        <f>SUM(I14:K14)</f>
        <v>0</v>
      </c>
      <c r="AQ14" s="20">
        <f>SUM(L14:N14)</f>
        <v>0</v>
      </c>
      <c r="AR14" s="20">
        <f>SUM(O14:Q14)</f>
        <v>0</v>
      </c>
      <c r="AS14" s="20">
        <f>SUM(R14:T14)</f>
        <v>0</v>
      </c>
      <c r="AT14" s="20">
        <f>SUM(U14:W14)</f>
        <v>0</v>
      </c>
      <c r="AU14" s="20">
        <f>SUM(X14:Z14)</f>
        <v>0</v>
      </c>
      <c r="AV14" s="20">
        <f>SUM(AA14:AC14)</f>
        <v>0</v>
      </c>
      <c r="AW14" s="20">
        <f>SUM(AD14:AF14)</f>
        <v>0</v>
      </c>
      <c r="AX14" s="20">
        <f>SUM(AG14:AI14)</f>
        <v>0</v>
      </c>
      <c r="AY14" s="20">
        <f>SUM(AJ14:AL14)</f>
        <v>0</v>
      </c>
      <c r="BA14" s="20">
        <f>SUM(C14:N14)</f>
        <v>0</v>
      </c>
      <c r="BB14" s="20">
        <f>SUM(O14:Z14)</f>
        <v>0</v>
      </c>
      <c r="BC14" s="20">
        <f>SUM(AA14:AL14)</f>
        <v>0</v>
      </c>
    </row>
    <row r="15" spans="1:55">
      <c r="A15" s="18" t="s">
        <v>363</v>
      </c>
      <c r="B15" s="16"/>
      <c r="C15" s="20">
        <f>C11</f>
        <v>0</v>
      </c>
      <c r="D15" s="20">
        <f>D11-C11</f>
        <v>0</v>
      </c>
      <c r="E15" s="20">
        <f>E11-D11</f>
        <v>0</v>
      </c>
      <c r="F15" s="20">
        <f>F11-E11</f>
        <v>0</v>
      </c>
      <c r="G15" s="20">
        <f>G11-F11</f>
        <v>0</v>
      </c>
      <c r="H15" s="20">
        <f>H11-G11</f>
        <v>0</v>
      </c>
      <c r="I15" s="20">
        <f>I11-H11</f>
        <v>0</v>
      </c>
      <c r="J15" s="20">
        <f>J11-I11</f>
        <v>0</v>
      </c>
      <c r="K15" s="20">
        <f>K11-J11</f>
        <v>0</v>
      </c>
      <c r="L15" s="20">
        <f>L11-K11</f>
        <v>0</v>
      </c>
      <c r="M15" s="20">
        <f>M11-L11</f>
        <v>0</v>
      </c>
      <c r="N15" s="20">
        <f>N11-M11</f>
        <v>0</v>
      </c>
      <c r="O15" s="20">
        <f>O11-N11</f>
        <v>0</v>
      </c>
      <c r="P15" s="20">
        <f>P11-O11</f>
        <v>0</v>
      </c>
      <c r="Q15" s="20">
        <f>Q11-P11</f>
        <v>0</v>
      </c>
      <c r="R15" s="20">
        <f>R11-Q11</f>
        <v>0</v>
      </c>
      <c r="S15" s="20">
        <f>S11-R11</f>
        <v>0</v>
      </c>
      <c r="T15" s="20">
        <f>T11-S11</f>
        <v>0</v>
      </c>
      <c r="U15" s="20">
        <f>U11-T11</f>
        <v>0</v>
      </c>
      <c r="V15" s="20">
        <f>V11-U11</f>
        <v>0</v>
      </c>
      <c r="W15" s="20">
        <f>W11-V11</f>
        <v>0</v>
      </c>
      <c r="X15" s="20">
        <f>X11-W11</f>
        <v>0</v>
      </c>
      <c r="Y15" s="20">
        <f>Y11-X11</f>
        <v>0</v>
      </c>
      <c r="Z15" s="20">
        <f>Z11-Y11</f>
        <v>0</v>
      </c>
      <c r="AA15" s="20">
        <f>AA11-Z11</f>
        <v>0</v>
      </c>
      <c r="AB15" s="20">
        <f>AB11-AA11</f>
        <v>0</v>
      </c>
      <c r="AC15" s="20">
        <f>AC11-AB11</f>
        <v>0</v>
      </c>
      <c r="AD15" s="20">
        <f>AD11-AC11</f>
        <v>0</v>
      </c>
      <c r="AE15" s="20">
        <f>AE11-AD11</f>
        <v>0</v>
      </c>
      <c r="AF15" s="20">
        <f>AF11-AE11</f>
        <v>0</v>
      </c>
      <c r="AG15" s="20">
        <f>AG11-AF11</f>
        <v>0</v>
      </c>
      <c r="AH15" s="20">
        <f>AH11-AG11</f>
        <v>0</v>
      </c>
      <c r="AI15" s="20">
        <f>AI11-AH11</f>
        <v>0</v>
      </c>
      <c r="AJ15" s="20">
        <f>AJ11-AI11</f>
        <v>0</v>
      </c>
      <c r="AK15" s="20">
        <f>AK11-AJ11</f>
        <v>0</v>
      </c>
      <c r="AL15" s="20">
        <f>AL11-AK11</f>
        <v>0</v>
      </c>
      <c r="AN15" s="20">
        <f>SUM(C15:E15)</f>
        <v>0</v>
      </c>
      <c r="AO15" s="20">
        <f>SUM(F15:H15)</f>
        <v>0</v>
      </c>
      <c r="AP15" s="20">
        <f>SUM(I15:K15)</f>
        <v>0</v>
      </c>
      <c r="AQ15" s="20">
        <f>SUM(L15:N15)</f>
        <v>0</v>
      </c>
      <c r="AR15" s="20">
        <f>SUM(O15:Q15)</f>
        <v>0</v>
      </c>
      <c r="AS15" s="20">
        <f>SUM(R15:T15)</f>
        <v>0</v>
      </c>
      <c r="AT15" s="20">
        <f>SUM(U15:W15)</f>
        <v>0</v>
      </c>
      <c r="AU15" s="20">
        <f>SUM(X15:Z15)</f>
        <v>0</v>
      </c>
      <c r="AV15" s="20">
        <f>SUM(AA15:AC15)</f>
        <v>0</v>
      </c>
      <c r="AW15" s="20">
        <f>SUM(AD15:AF15)</f>
        <v>0</v>
      </c>
      <c r="AX15" s="20">
        <f>SUM(AG15:AI15)</f>
        <v>0</v>
      </c>
      <c r="AY15" s="20">
        <f>SUM(AJ15:AL15)</f>
        <v>0</v>
      </c>
      <c r="BA15" s="20">
        <f>SUM(C15:N15)</f>
        <v>0</v>
      </c>
      <c r="BB15" s="20">
        <f>SUM(O15:Z15)</f>
        <v>0</v>
      </c>
      <c r="BC15" s="20">
        <f>SUM(AA15:AL15)</f>
        <v>0</v>
      </c>
    </row>
    <row r="16" spans="1:55" ht="5" customHeight="1"/>
    <row r="17" spans="1:55" ht="16" customHeight="1">
      <c r="A17" s="14" t="s">
        <v>364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</row>
    <row r="18" spans="1:55">
      <c r="A18" s="18" t="s">
        <v>365</v>
      </c>
      <c r="B18" s="16" t="s">
        <v>366</v>
      </c>
      <c r="C18" s="20">
        <f>'Revenue'!C60*'Assumptions'!$F$90</f>
        <v>0</v>
      </c>
      <c r="D18" s="20">
        <f>'Revenue'!D60*'Assumptions'!$F$90</f>
        <v>0</v>
      </c>
      <c r="E18" s="20">
        <f>'Revenue'!E60*'Assumptions'!$F$90</f>
        <v>0</v>
      </c>
      <c r="F18" s="20">
        <f>'Revenue'!F60*'Assumptions'!$F$90</f>
        <v>0</v>
      </c>
      <c r="G18" s="20">
        <f>'Revenue'!G60*'Assumptions'!$F$90</f>
        <v>0</v>
      </c>
      <c r="H18" s="20">
        <f>'Revenue'!H60*'Assumptions'!$F$90</f>
        <v>0</v>
      </c>
      <c r="I18" s="20">
        <f>'Revenue'!I60*'Assumptions'!$F$90</f>
        <v>0</v>
      </c>
      <c r="J18" s="20">
        <f>'Revenue'!J60*'Assumptions'!$F$90</f>
        <v>0</v>
      </c>
      <c r="K18" s="20">
        <f>'Revenue'!K60*'Assumptions'!$F$90</f>
        <v>0</v>
      </c>
      <c r="L18" s="20">
        <f>'Revenue'!L60*'Assumptions'!$F$90</f>
        <v>0</v>
      </c>
      <c r="M18" s="20">
        <f>'Revenue'!M60*'Assumptions'!$F$90</f>
        <v>0</v>
      </c>
      <c r="N18" s="20">
        <f>'Revenue'!N60*'Assumptions'!$F$90</f>
        <v>0</v>
      </c>
      <c r="O18" s="20">
        <f>'Revenue'!O60*'Assumptions'!$F$90</f>
        <v>0</v>
      </c>
      <c r="P18" s="20">
        <f>'Revenue'!P60*'Assumptions'!$F$90</f>
        <v>0</v>
      </c>
      <c r="Q18" s="20">
        <f>'Revenue'!Q60*'Assumptions'!$F$90</f>
        <v>0</v>
      </c>
      <c r="R18" s="20">
        <f>'Revenue'!R60*'Assumptions'!$F$90</f>
        <v>0</v>
      </c>
      <c r="S18" s="20">
        <f>'Revenue'!S60*'Assumptions'!$F$90</f>
        <v>0</v>
      </c>
      <c r="T18" s="20">
        <f>'Revenue'!T60*'Assumptions'!$F$90</f>
        <v>0</v>
      </c>
      <c r="U18" s="20">
        <f>'Revenue'!U60*'Assumptions'!$F$90</f>
        <v>0</v>
      </c>
      <c r="V18" s="20">
        <f>'Revenue'!V60*'Assumptions'!$F$90</f>
        <v>0</v>
      </c>
      <c r="W18" s="20">
        <f>'Revenue'!W60*'Assumptions'!$F$90</f>
        <v>0</v>
      </c>
      <c r="X18" s="20">
        <f>'Revenue'!X60*'Assumptions'!$F$90</f>
        <v>0</v>
      </c>
      <c r="Y18" s="20">
        <f>'Revenue'!Y60*'Assumptions'!$F$90</f>
        <v>0</v>
      </c>
      <c r="Z18" s="20">
        <f>'Revenue'!Z60*'Assumptions'!$F$90</f>
        <v>0</v>
      </c>
      <c r="AA18" s="20">
        <f>'Revenue'!AA60*'Assumptions'!$F$90</f>
        <v>0</v>
      </c>
      <c r="AB18" s="20">
        <f>'Revenue'!AB60*'Assumptions'!$F$90</f>
        <v>0</v>
      </c>
      <c r="AC18" s="20">
        <f>'Revenue'!AC60*'Assumptions'!$F$90</f>
        <v>0</v>
      </c>
      <c r="AD18" s="20">
        <f>'Revenue'!AD60*'Assumptions'!$F$90</f>
        <v>0</v>
      </c>
      <c r="AE18" s="20">
        <f>'Revenue'!AE60*'Assumptions'!$F$90</f>
        <v>0</v>
      </c>
      <c r="AF18" s="20">
        <f>'Revenue'!AF60*'Assumptions'!$F$90</f>
        <v>0</v>
      </c>
      <c r="AG18" s="20">
        <f>'Revenue'!AG60*'Assumptions'!$F$90</f>
        <v>0</v>
      </c>
      <c r="AH18" s="20">
        <f>'Revenue'!AH60*'Assumptions'!$F$90</f>
        <v>0</v>
      </c>
      <c r="AI18" s="20">
        <f>'Revenue'!AI60*'Assumptions'!$F$90</f>
        <v>0</v>
      </c>
      <c r="AJ18" s="20">
        <f>'Revenue'!AJ60*'Assumptions'!$F$90</f>
        <v>0</v>
      </c>
      <c r="AK18" s="20">
        <f>'Revenue'!AK60*'Assumptions'!$F$90</f>
        <v>0</v>
      </c>
      <c r="AL18" s="20">
        <f>'Revenue'!AL60*'Assumptions'!$F$90</f>
        <v>0</v>
      </c>
      <c r="AN18" s="20">
        <f>SUM(C18:E18)</f>
        <v>0</v>
      </c>
      <c r="AO18" s="20">
        <f>SUM(F18:H18)</f>
        <v>0</v>
      </c>
      <c r="AP18" s="20">
        <f>SUM(I18:K18)</f>
        <v>0</v>
      </c>
      <c r="AQ18" s="20">
        <f>SUM(L18:N18)</f>
        <v>0</v>
      </c>
      <c r="AR18" s="20">
        <f>SUM(O18:Q18)</f>
        <v>0</v>
      </c>
      <c r="AS18" s="20">
        <f>SUM(R18:T18)</f>
        <v>0</v>
      </c>
      <c r="AT18" s="20">
        <f>SUM(U18:W18)</f>
        <v>0</v>
      </c>
      <c r="AU18" s="20">
        <f>SUM(X18:Z18)</f>
        <v>0</v>
      </c>
      <c r="AV18" s="20">
        <f>SUM(AA18:AC18)</f>
        <v>0</v>
      </c>
      <c r="AW18" s="20">
        <f>SUM(AD18:AF18)</f>
        <v>0</v>
      </c>
      <c r="AX18" s="20">
        <f>SUM(AG18:AI18)</f>
        <v>0</v>
      </c>
      <c r="AY18" s="20">
        <f>SUM(AJ18:AL18)</f>
        <v>0</v>
      </c>
      <c r="BA18" s="20">
        <f>SUM(C18:N18)</f>
        <v>0</v>
      </c>
      <c r="BB18" s="20">
        <f>SUM(O18:Z18)</f>
        <v>0</v>
      </c>
      <c r="BC18" s="20">
        <f>SUM(AA18:AL18)</f>
        <v>0</v>
      </c>
    </row>
    <row r="19" spans="1:55">
      <c r="A19" s="18" t="s">
        <v>367</v>
      </c>
      <c r="B19" s="16" t="s">
        <v>368</v>
      </c>
      <c r="C19" s="20">
        <f>SUM(INDEX('Working Capital'!$C$18:$AL$18,1,MAX(1,1-ROUND('Assumptions'!$F$91,0)+1)):INDEX('Working Capital'!$C$18:$AL$18,1,1))/ROUND('Assumptions'!$F$91,0)</f>
        <v>0</v>
      </c>
      <c r="D19" s="20">
        <f>SUM(INDEX('Working Capital'!$C$18:$AL$18,1,MAX(1,2-ROUND('Assumptions'!$F$91,0)+1)):INDEX('Working Capital'!$C$18:$AL$18,1,2))/ROUND('Assumptions'!$F$91,0)</f>
        <v>0</v>
      </c>
      <c r="E19" s="20">
        <f>SUM(INDEX('Working Capital'!$C$18:$AL$18,1,MAX(1,3-ROUND('Assumptions'!$F$91,0)+1)):INDEX('Working Capital'!$C$18:$AL$18,1,3))/ROUND('Assumptions'!$F$91,0)</f>
        <v>0</v>
      </c>
      <c r="F19" s="20">
        <f>SUM(INDEX('Working Capital'!$C$18:$AL$18,1,MAX(1,4-ROUND('Assumptions'!$F$91,0)+1)):INDEX('Working Capital'!$C$18:$AL$18,1,4))/ROUND('Assumptions'!$F$91,0)</f>
        <v>0</v>
      </c>
      <c r="G19" s="20">
        <f>SUM(INDEX('Working Capital'!$C$18:$AL$18,1,MAX(1,5-ROUND('Assumptions'!$F$91,0)+1)):INDEX('Working Capital'!$C$18:$AL$18,1,5))/ROUND('Assumptions'!$F$91,0)</f>
        <v>0</v>
      </c>
      <c r="H19" s="20">
        <f>SUM(INDEX('Working Capital'!$C$18:$AL$18,1,MAX(1,6-ROUND('Assumptions'!$F$91,0)+1)):INDEX('Working Capital'!$C$18:$AL$18,1,6))/ROUND('Assumptions'!$F$91,0)</f>
        <v>0</v>
      </c>
      <c r="I19" s="20">
        <f>SUM(INDEX('Working Capital'!$C$18:$AL$18,1,MAX(1,7-ROUND('Assumptions'!$F$91,0)+1)):INDEX('Working Capital'!$C$18:$AL$18,1,7))/ROUND('Assumptions'!$F$91,0)</f>
        <v>0</v>
      </c>
      <c r="J19" s="20">
        <f>SUM(INDEX('Working Capital'!$C$18:$AL$18,1,MAX(1,8-ROUND('Assumptions'!$F$91,0)+1)):INDEX('Working Capital'!$C$18:$AL$18,1,8))/ROUND('Assumptions'!$F$91,0)</f>
        <v>0</v>
      </c>
      <c r="K19" s="20">
        <f>SUM(INDEX('Working Capital'!$C$18:$AL$18,1,MAX(1,9-ROUND('Assumptions'!$F$91,0)+1)):INDEX('Working Capital'!$C$18:$AL$18,1,9))/ROUND('Assumptions'!$F$91,0)</f>
        <v>0</v>
      </c>
      <c r="L19" s="20">
        <f>SUM(INDEX('Working Capital'!$C$18:$AL$18,1,MAX(1,10-ROUND('Assumptions'!$F$91,0)+1)):INDEX('Working Capital'!$C$18:$AL$18,1,10))/ROUND('Assumptions'!$F$91,0)</f>
        <v>0</v>
      </c>
      <c r="M19" s="20">
        <f>SUM(INDEX('Working Capital'!$C$18:$AL$18,1,MAX(1,11-ROUND('Assumptions'!$F$91,0)+1)):INDEX('Working Capital'!$C$18:$AL$18,1,11))/ROUND('Assumptions'!$F$91,0)</f>
        <v>0</v>
      </c>
      <c r="N19" s="20">
        <f>SUM(INDEX('Working Capital'!$C$18:$AL$18,1,MAX(1,12-ROUND('Assumptions'!$F$91,0)+1)):INDEX('Working Capital'!$C$18:$AL$18,1,12))/ROUND('Assumptions'!$F$91,0)</f>
        <v>0</v>
      </c>
      <c r="O19" s="20">
        <f>SUM(INDEX('Working Capital'!$C$18:$AL$18,1,MAX(1,13-ROUND('Assumptions'!$F$91,0)+1)):INDEX('Working Capital'!$C$18:$AL$18,1,13))/ROUND('Assumptions'!$F$91,0)</f>
        <v>0</v>
      </c>
      <c r="P19" s="20">
        <f>SUM(INDEX('Working Capital'!$C$18:$AL$18,1,MAX(1,14-ROUND('Assumptions'!$F$91,0)+1)):INDEX('Working Capital'!$C$18:$AL$18,1,14))/ROUND('Assumptions'!$F$91,0)</f>
        <v>0</v>
      </c>
      <c r="Q19" s="20">
        <f>SUM(INDEX('Working Capital'!$C$18:$AL$18,1,MAX(1,15-ROUND('Assumptions'!$F$91,0)+1)):INDEX('Working Capital'!$C$18:$AL$18,1,15))/ROUND('Assumptions'!$F$91,0)</f>
        <v>0</v>
      </c>
      <c r="R19" s="20">
        <f>SUM(INDEX('Working Capital'!$C$18:$AL$18,1,MAX(1,16-ROUND('Assumptions'!$F$91,0)+1)):INDEX('Working Capital'!$C$18:$AL$18,1,16))/ROUND('Assumptions'!$F$91,0)</f>
        <v>0</v>
      </c>
      <c r="S19" s="20">
        <f>SUM(INDEX('Working Capital'!$C$18:$AL$18,1,MAX(1,17-ROUND('Assumptions'!$F$91,0)+1)):INDEX('Working Capital'!$C$18:$AL$18,1,17))/ROUND('Assumptions'!$F$91,0)</f>
        <v>0</v>
      </c>
      <c r="T19" s="20">
        <f>SUM(INDEX('Working Capital'!$C$18:$AL$18,1,MAX(1,18-ROUND('Assumptions'!$F$91,0)+1)):INDEX('Working Capital'!$C$18:$AL$18,1,18))/ROUND('Assumptions'!$F$91,0)</f>
        <v>0</v>
      </c>
      <c r="U19" s="20">
        <f>SUM(INDEX('Working Capital'!$C$18:$AL$18,1,MAX(1,19-ROUND('Assumptions'!$F$91,0)+1)):INDEX('Working Capital'!$C$18:$AL$18,1,19))/ROUND('Assumptions'!$F$91,0)</f>
        <v>0</v>
      </c>
      <c r="V19" s="20">
        <f>SUM(INDEX('Working Capital'!$C$18:$AL$18,1,MAX(1,20-ROUND('Assumptions'!$F$91,0)+1)):INDEX('Working Capital'!$C$18:$AL$18,1,20))/ROUND('Assumptions'!$F$91,0)</f>
        <v>0</v>
      </c>
      <c r="W19" s="20">
        <f>SUM(INDEX('Working Capital'!$C$18:$AL$18,1,MAX(1,21-ROUND('Assumptions'!$F$91,0)+1)):INDEX('Working Capital'!$C$18:$AL$18,1,21))/ROUND('Assumptions'!$F$91,0)</f>
        <v>0</v>
      </c>
      <c r="X19" s="20">
        <f>SUM(INDEX('Working Capital'!$C$18:$AL$18,1,MAX(1,22-ROUND('Assumptions'!$F$91,0)+1)):INDEX('Working Capital'!$C$18:$AL$18,1,22))/ROUND('Assumptions'!$F$91,0)</f>
        <v>0</v>
      </c>
      <c r="Y19" s="20">
        <f>SUM(INDEX('Working Capital'!$C$18:$AL$18,1,MAX(1,23-ROUND('Assumptions'!$F$91,0)+1)):INDEX('Working Capital'!$C$18:$AL$18,1,23))/ROUND('Assumptions'!$F$91,0)</f>
        <v>0</v>
      </c>
      <c r="Z19" s="20">
        <f>SUM(INDEX('Working Capital'!$C$18:$AL$18,1,MAX(1,24-ROUND('Assumptions'!$F$91,0)+1)):INDEX('Working Capital'!$C$18:$AL$18,1,24))/ROUND('Assumptions'!$F$91,0)</f>
        <v>0</v>
      </c>
      <c r="AA19" s="20">
        <f>SUM(INDEX('Working Capital'!$C$18:$AL$18,1,MAX(1,25-ROUND('Assumptions'!$F$91,0)+1)):INDEX('Working Capital'!$C$18:$AL$18,1,25))/ROUND('Assumptions'!$F$91,0)</f>
        <v>0</v>
      </c>
      <c r="AB19" s="20">
        <f>SUM(INDEX('Working Capital'!$C$18:$AL$18,1,MAX(1,26-ROUND('Assumptions'!$F$91,0)+1)):INDEX('Working Capital'!$C$18:$AL$18,1,26))/ROUND('Assumptions'!$F$91,0)</f>
        <v>0</v>
      </c>
      <c r="AC19" s="20">
        <f>SUM(INDEX('Working Capital'!$C$18:$AL$18,1,MAX(1,27-ROUND('Assumptions'!$F$91,0)+1)):INDEX('Working Capital'!$C$18:$AL$18,1,27))/ROUND('Assumptions'!$F$91,0)</f>
        <v>0</v>
      </c>
      <c r="AD19" s="20">
        <f>SUM(INDEX('Working Capital'!$C$18:$AL$18,1,MAX(1,28-ROUND('Assumptions'!$F$91,0)+1)):INDEX('Working Capital'!$C$18:$AL$18,1,28))/ROUND('Assumptions'!$F$91,0)</f>
        <v>0</v>
      </c>
      <c r="AE19" s="20">
        <f>SUM(INDEX('Working Capital'!$C$18:$AL$18,1,MAX(1,29-ROUND('Assumptions'!$F$91,0)+1)):INDEX('Working Capital'!$C$18:$AL$18,1,29))/ROUND('Assumptions'!$F$91,0)</f>
        <v>0</v>
      </c>
      <c r="AF19" s="20">
        <f>SUM(INDEX('Working Capital'!$C$18:$AL$18,1,MAX(1,30-ROUND('Assumptions'!$F$91,0)+1)):INDEX('Working Capital'!$C$18:$AL$18,1,30))/ROUND('Assumptions'!$F$91,0)</f>
        <v>0</v>
      </c>
      <c r="AG19" s="20">
        <f>SUM(INDEX('Working Capital'!$C$18:$AL$18,1,MAX(1,31-ROUND('Assumptions'!$F$91,0)+1)):INDEX('Working Capital'!$C$18:$AL$18,1,31))/ROUND('Assumptions'!$F$91,0)</f>
        <v>0</v>
      </c>
      <c r="AH19" s="20">
        <f>SUM(INDEX('Working Capital'!$C$18:$AL$18,1,MAX(1,32-ROUND('Assumptions'!$F$91,0)+1)):INDEX('Working Capital'!$C$18:$AL$18,1,32))/ROUND('Assumptions'!$F$91,0)</f>
        <v>0</v>
      </c>
      <c r="AI19" s="20">
        <f>SUM(INDEX('Working Capital'!$C$18:$AL$18,1,MAX(1,33-ROUND('Assumptions'!$F$91,0)+1)):INDEX('Working Capital'!$C$18:$AL$18,1,33))/ROUND('Assumptions'!$F$91,0)</f>
        <v>0</v>
      </c>
      <c r="AJ19" s="20">
        <f>SUM(INDEX('Working Capital'!$C$18:$AL$18,1,MAX(1,34-ROUND('Assumptions'!$F$91,0)+1)):INDEX('Working Capital'!$C$18:$AL$18,1,34))/ROUND('Assumptions'!$F$91,0)</f>
        <v>0</v>
      </c>
      <c r="AK19" s="20">
        <f>SUM(INDEX('Working Capital'!$C$18:$AL$18,1,MAX(1,35-ROUND('Assumptions'!$F$91,0)+1)):INDEX('Working Capital'!$C$18:$AL$18,1,35))/ROUND('Assumptions'!$F$91,0)</f>
        <v>0</v>
      </c>
      <c r="AL19" s="20">
        <f>SUM(INDEX('Working Capital'!$C$18:$AL$18,1,MAX(1,36-ROUND('Assumptions'!$F$91,0)+1)):INDEX('Working Capital'!$C$18:$AL$18,1,36))/ROUND('Assumptions'!$F$91,0)</f>
        <v>0</v>
      </c>
      <c r="AN19" s="20">
        <f>SUM(C19:E19)</f>
        <v>0</v>
      </c>
      <c r="AO19" s="20">
        <f>SUM(F19:H19)</f>
        <v>0</v>
      </c>
      <c r="AP19" s="20">
        <f>SUM(I19:K19)</f>
        <v>0</v>
      </c>
      <c r="AQ19" s="20">
        <f>SUM(L19:N19)</f>
        <v>0</v>
      </c>
      <c r="AR19" s="20">
        <f>SUM(O19:Q19)</f>
        <v>0</v>
      </c>
      <c r="AS19" s="20">
        <f>SUM(R19:T19)</f>
        <v>0</v>
      </c>
      <c r="AT19" s="20">
        <f>SUM(U19:W19)</f>
        <v>0</v>
      </c>
      <c r="AU19" s="20">
        <f>SUM(X19:Z19)</f>
        <v>0</v>
      </c>
      <c r="AV19" s="20">
        <f>SUM(AA19:AC19)</f>
        <v>0</v>
      </c>
      <c r="AW19" s="20">
        <f>SUM(AD19:AF19)</f>
        <v>0</v>
      </c>
      <c r="AX19" s="20">
        <f>SUM(AG19:AI19)</f>
        <v>0</v>
      </c>
      <c r="AY19" s="20">
        <f>SUM(AJ19:AL19)</f>
        <v>0</v>
      </c>
      <c r="BA19" s="20">
        <f>SUM(C19:N19)</f>
        <v>0</v>
      </c>
      <c r="BB19" s="20">
        <f>SUM(O19:Z19)</f>
        <v>0</v>
      </c>
      <c r="BC19" s="20">
        <f>SUM(AA19:AL19)</f>
        <v>0</v>
      </c>
    </row>
    <row r="20" spans="1:55">
      <c r="A20" s="18" t="s">
        <v>369</v>
      </c>
      <c r="B20" s="16"/>
      <c r="C20" s="20">
        <f>C18-C19</f>
        <v>0</v>
      </c>
      <c r="D20" s="20">
        <f>C20+D18-D19</f>
        <v>0</v>
      </c>
      <c r="E20" s="20">
        <f>D20+E18-E19</f>
        <v>0</v>
      </c>
      <c r="F20" s="20">
        <f>E20+F18-F19</f>
        <v>0</v>
      </c>
      <c r="G20" s="20">
        <f>F20+G18-G19</f>
        <v>0</v>
      </c>
      <c r="H20" s="20">
        <f>G20+H18-H19</f>
        <v>0</v>
      </c>
      <c r="I20" s="20">
        <f>H20+I18-I19</f>
        <v>0</v>
      </c>
      <c r="J20" s="20">
        <f>I20+J18-J19</f>
        <v>0</v>
      </c>
      <c r="K20" s="20">
        <f>J20+K18-K19</f>
        <v>0</v>
      </c>
      <c r="L20" s="20">
        <f>K20+L18-L19</f>
        <v>0</v>
      </c>
      <c r="M20" s="20">
        <f>L20+M18-M19</f>
        <v>0</v>
      </c>
      <c r="N20" s="20">
        <f>M20+N18-N19</f>
        <v>0</v>
      </c>
      <c r="O20" s="20">
        <f>N20+O18-O19</f>
        <v>0</v>
      </c>
      <c r="P20" s="20">
        <f>O20+P18-P19</f>
        <v>0</v>
      </c>
      <c r="Q20" s="20">
        <f>P20+Q18-Q19</f>
        <v>0</v>
      </c>
      <c r="R20" s="20">
        <f>Q20+R18-R19</f>
        <v>0</v>
      </c>
      <c r="S20" s="20">
        <f>R20+S18-S19</f>
        <v>0</v>
      </c>
      <c r="T20" s="20">
        <f>S20+T18-T19</f>
        <v>0</v>
      </c>
      <c r="U20" s="20">
        <f>T20+U18-U19</f>
        <v>0</v>
      </c>
      <c r="V20" s="20">
        <f>U20+V18-V19</f>
        <v>0</v>
      </c>
      <c r="W20" s="20">
        <f>V20+W18-W19</f>
        <v>0</v>
      </c>
      <c r="X20" s="20">
        <f>W20+X18-X19</f>
        <v>0</v>
      </c>
      <c r="Y20" s="20">
        <f>X20+Y18-Y19</f>
        <v>0</v>
      </c>
      <c r="Z20" s="20">
        <f>Y20+Z18-Z19</f>
        <v>0</v>
      </c>
      <c r="AA20" s="20">
        <f>Z20+AA18-AA19</f>
        <v>0</v>
      </c>
      <c r="AB20" s="20">
        <f>AA20+AB18-AB19</f>
        <v>0</v>
      </c>
      <c r="AC20" s="20">
        <f>AB20+AC18-AC19</f>
        <v>0</v>
      </c>
      <c r="AD20" s="20">
        <f>AC20+AD18-AD19</f>
        <v>0</v>
      </c>
      <c r="AE20" s="20">
        <f>AD20+AE18-AE19</f>
        <v>0</v>
      </c>
      <c r="AF20" s="20">
        <f>AE20+AF18-AF19</f>
        <v>0</v>
      </c>
      <c r="AG20" s="20">
        <f>AF20+AG18-AG19</f>
        <v>0</v>
      </c>
      <c r="AH20" s="20">
        <f>AG20+AH18-AH19</f>
        <v>0</v>
      </c>
      <c r="AI20" s="20">
        <f>AH20+AI18-AI19</f>
        <v>0</v>
      </c>
      <c r="AJ20" s="20">
        <f>AI20+AJ18-AJ19</f>
        <v>0</v>
      </c>
      <c r="AK20" s="20">
        <f>AJ20+AK18-AK19</f>
        <v>0</v>
      </c>
      <c r="AL20" s="20">
        <f>AK20+AL18-AL19</f>
        <v>0</v>
      </c>
      <c r="AN20" s="20">
        <f>E20</f>
        <v>0</v>
      </c>
      <c r="AO20" s="20">
        <f>H20</f>
        <v>0</v>
      </c>
      <c r="AP20" s="20">
        <f>K20</f>
        <v>0</v>
      </c>
      <c r="AQ20" s="20">
        <f>N20</f>
        <v>0</v>
      </c>
      <c r="AR20" s="20">
        <f>Q20</f>
        <v>0</v>
      </c>
      <c r="AS20" s="20">
        <f>T20</f>
        <v>0</v>
      </c>
      <c r="AT20" s="20">
        <f>W20</f>
        <v>0</v>
      </c>
      <c r="AU20" s="20">
        <f>Z20</f>
        <v>0</v>
      </c>
      <c r="AV20" s="20">
        <f>AC20</f>
        <v>0</v>
      </c>
      <c r="AW20" s="20">
        <f>AF20</f>
        <v>0</v>
      </c>
      <c r="AX20" s="20">
        <f>AI20</f>
        <v>0</v>
      </c>
      <c r="AY20" s="20">
        <f>AL20</f>
        <v>0</v>
      </c>
      <c r="BA20" s="20">
        <f>N20</f>
        <v>0</v>
      </c>
      <c r="BB20" s="20">
        <f>Z20</f>
        <v>0</v>
      </c>
      <c r="BC20" s="20">
        <f>AL20</f>
        <v>0</v>
      </c>
    </row>
    <row r="21" spans="1:55" ht="5" customHeight="1"/>
    <row r="22" spans="1:55" ht="16" customHeight="1">
      <c r="A22" s="14" t="s">
        <v>370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</row>
    <row r="23" spans="1:55">
      <c r="A23" s="18" t="s">
        <v>371</v>
      </c>
      <c r="B23" s="16" t="s">
        <v>372</v>
      </c>
      <c r="C23" s="20">
        <f>0</f>
        <v>0</v>
      </c>
      <c r="D23" s="20">
        <f>0</f>
        <v>0</v>
      </c>
      <c r="E23" s="20">
        <f>0</f>
        <v>0</v>
      </c>
      <c r="F23" s="20">
        <f>0</f>
        <v>0</v>
      </c>
      <c r="G23" s="20">
        <f>0</f>
        <v>0</v>
      </c>
      <c r="H23" s="20">
        <f>0</f>
        <v>0</v>
      </c>
      <c r="I23" s="20">
        <f>0</f>
        <v>0</v>
      </c>
      <c r="J23" s="20">
        <f>0</f>
        <v>0</v>
      </c>
      <c r="K23" s="20">
        <f>'Assumptions'!$F$94</f>
        <v>0</v>
      </c>
      <c r="L23" s="20">
        <f>0</f>
        <v>0</v>
      </c>
      <c r="M23" s="20">
        <f>0</f>
        <v>0</v>
      </c>
      <c r="N23" s="20">
        <f>0</f>
        <v>0</v>
      </c>
      <c r="O23" s="20">
        <f>0</f>
        <v>0</v>
      </c>
      <c r="P23" s="20">
        <f>0</f>
        <v>0</v>
      </c>
      <c r="Q23" s="20">
        <f>0</f>
        <v>0</v>
      </c>
      <c r="R23" s="20">
        <f>0</f>
        <v>0</v>
      </c>
      <c r="S23" s="20">
        <f>0</f>
        <v>0</v>
      </c>
      <c r="T23" s="20">
        <f>0</f>
        <v>0</v>
      </c>
      <c r="U23" s="20">
        <f>0</f>
        <v>0</v>
      </c>
      <c r="V23" s="20">
        <f>0</f>
        <v>0</v>
      </c>
      <c r="W23" s="20">
        <f>0</f>
        <v>0</v>
      </c>
      <c r="X23" s="20">
        <f>0</f>
        <v>0</v>
      </c>
      <c r="Y23" s="20">
        <f>0</f>
        <v>0</v>
      </c>
      <c r="Z23" s="20">
        <f>0</f>
        <v>0</v>
      </c>
      <c r="AA23" s="20">
        <f>0</f>
        <v>0</v>
      </c>
      <c r="AB23" s="20">
        <f>0</f>
        <v>0</v>
      </c>
      <c r="AC23" s="20">
        <f>0</f>
        <v>0</v>
      </c>
      <c r="AD23" s="20">
        <f>0</f>
        <v>0</v>
      </c>
      <c r="AE23" s="20">
        <f>0</f>
        <v>0</v>
      </c>
      <c r="AF23" s="20">
        <f>0</f>
        <v>0</v>
      </c>
      <c r="AG23" s="20">
        <f>0</f>
        <v>0</v>
      </c>
      <c r="AH23" s="20">
        <f>0</f>
        <v>0</v>
      </c>
      <c r="AI23" s="20">
        <f>0</f>
        <v>0</v>
      </c>
      <c r="AJ23" s="20">
        <f>0</f>
        <v>0</v>
      </c>
      <c r="AK23" s="20">
        <f>0</f>
        <v>0</v>
      </c>
      <c r="AL23" s="20">
        <f>0</f>
        <v>0</v>
      </c>
      <c r="AN23" s="20">
        <f>SUM(C23:E23)</f>
        <v>0</v>
      </c>
      <c r="AO23" s="20">
        <f>SUM(F23:H23)</f>
        <v>0</v>
      </c>
      <c r="AP23" s="20">
        <f>SUM(I23:K23)</f>
        <v>0</v>
      </c>
      <c r="AQ23" s="20">
        <f>SUM(L23:N23)</f>
        <v>0</v>
      </c>
      <c r="AR23" s="20">
        <f>SUM(O23:Q23)</f>
        <v>0</v>
      </c>
      <c r="AS23" s="20">
        <f>SUM(R23:T23)</f>
        <v>0</v>
      </c>
      <c r="AT23" s="20">
        <f>SUM(U23:W23)</f>
        <v>0</v>
      </c>
      <c r="AU23" s="20">
        <f>SUM(X23:Z23)</f>
        <v>0</v>
      </c>
      <c r="AV23" s="20">
        <f>SUM(AA23:AC23)</f>
        <v>0</v>
      </c>
      <c r="AW23" s="20">
        <f>SUM(AD23:AF23)</f>
        <v>0</v>
      </c>
      <c r="AX23" s="20">
        <f>SUM(AG23:AI23)</f>
        <v>0</v>
      </c>
      <c r="AY23" s="20">
        <f>SUM(AJ23:AL23)</f>
        <v>0</v>
      </c>
      <c r="BA23" s="20">
        <f>SUM(C23:N23)</f>
        <v>0</v>
      </c>
      <c r="BB23" s="20">
        <f>SUM(O23:Z23)</f>
        <v>0</v>
      </c>
      <c r="BC23" s="20">
        <f>SUM(AA23:AL23)</f>
        <v>0</v>
      </c>
    </row>
    <row r="24" spans="1:55">
      <c r="A24" s="18" t="s">
        <v>373</v>
      </c>
      <c r="B24" s="16" t="s">
        <v>374</v>
      </c>
      <c r="C24" s="20">
        <f>0</f>
        <v>0</v>
      </c>
      <c r="D24" s="20">
        <f>0</f>
        <v>0</v>
      </c>
      <c r="E24" s="20">
        <f>0</f>
        <v>0</v>
      </c>
      <c r="F24" s="20">
        <f>0</f>
        <v>0</v>
      </c>
      <c r="G24" s="20">
        <f>0</f>
        <v>0</v>
      </c>
      <c r="H24" s="20">
        <f>0</f>
        <v>0</v>
      </c>
      <c r="I24" s="20">
        <f>0</f>
        <v>0</v>
      </c>
      <c r="J24" s="20">
        <f>0</f>
        <v>0</v>
      </c>
      <c r="K24" s="20">
        <f>0</f>
        <v>0</v>
      </c>
      <c r="L24" s="20">
        <f>0</f>
        <v>0</v>
      </c>
      <c r="M24" s="20">
        <f>0</f>
        <v>0</v>
      </c>
      <c r="N24" s="20">
        <f>0</f>
        <v>0</v>
      </c>
      <c r="O24" s="20">
        <f>0</f>
        <v>0</v>
      </c>
      <c r="P24" s="20">
        <f>0</f>
        <v>0</v>
      </c>
      <c r="Q24" s="20">
        <f>0</f>
        <v>0</v>
      </c>
      <c r="R24" s="20">
        <f>0</f>
        <v>0</v>
      </c>
      <c r="S24" s="20">
        <f>0</f>
        <v>0</v>
      </c>
      <c r="T24" s="20">
        <f>0</f>
        <v>0</v>
      </c>
      <c r="U24" s="20">
        <f>MIN(T25,'Assumptions'!$F$95)</f>
        <v>0</v>
      </c>
      <c r="V24" s="20">
        <f>MIN(U25,'Assumptions'!$F$95)</f>
        <v>0</v>
      </c>
      <c r="W24" s="20">
        <f>MIN(V25,'Assumptions'!$F$95)</f>
        <v>0</v>
      </c>
      <c r="X24" s="20">
        <f>MIN(W25,'Assumptions'!$F$95)</f>
        <v>0</v>
      </c>
      <c r="Y24" s="20">
        <f>MIN(X25,'Assumptions'!$F$95)</f>
        <v>0</v>
      </c>
      <c r="Z24" s="20">
        <f>MIN(Y25,'Assumptions'!$F$95)</f>
        <v>0</v>
      </c>
      <c r="AA24" s="20">
        <f>MIN(Z25,'Assumptions'!$F$95)</f>
        <v>0</v>
      </c>
      <c r="AB24" s="20">
        <f>MIN(AA25,'Assumptions'!$F$95)</f>
        <v>0</v>
      </c>
      <c r="AC24" s="20">
        <f>MIN(AB25,'Assumptions'!$F$95)</f>
        <v>0</v>
      </c>
      <c r="AD24" s="20">
        <f>MIN(AC25,'Assumptions'!$F$95)</f>
        <v>0</v>
      </c>
      <c r="AE24" s="20">
        <f>MIN(AD25,'Assumptions'!$F$95)</f>
        <v>0</v>
      </c>
      <c r="AF24" s="20">
        <f>MIN(AE25,'Assumptions'!$F$95)</f>
        <v>0</v>
      </c>
      <c r="AG24" s="20">
        <f>MIN(AF25,'Assumptions'!$F$95)</f>
        <v>0</v>
      </c>
      <c r="AH24" s="20">
        <f>MIN(AG25,'Assumptions'!$F$95)</f>
        <v>0</v>
      </c>
      <c r="AI24" s="20">
        <f>MIN(AH25,'Assumptions'!$F$95)</f>
        <v>0</v>
      </c>
      <c r="AJ24" s="20">
        <f>MIN(AI25,'Assumptions'!$F$95)</f>
        <v>0</v>
      </c>
      <c r="AK24" s="20">
        <f>MIN(AJ25,'Assumptions'!$F$95)</f>
        <v>0</v>
      </c>
      <c r="AL24" s="20">
        <f>MIN(AK25,'Assumptions'!$F$95)</f>
        <v>0</v>
      </c>
      <c r="AN24" s="20">
        <f>SUM(C24:E24)</f>
        <v>0</v>
      </c>
      <c r="AO24" s="20">
        <f>SUM(F24:H24)</f>
        <v>0</v>
      </c>
      <c r="AP24" s="20">
        <f>SUM(I24:K24)</f>
        <v>0</v>
      </c>
      <c r="AQ24" s="20">
        <f>SUM(L24:N24)</f>
        <v>0</v>
      </c>
      <c r="AR24" s="20">
        <f>SUM(O24:Q24)</f>
        <v>0</v>
      </c>
      <c r="AS24" s="20">
        <f>SUM(R24:T24)</f>
        <v>0</v>
      </c>
      <c r="AT24" s="20">
        <f>SUM(U24:W24)</f>
        <v>0</v>
      </c>
      <c r="AU24" s="20">
        <f>SUM(X24:Z24)</f>
        <v>0</v>
      </c>
      <c r="AV24" s="20">
        <f>SUM(AA24:AC24)</f>
        <v>0</v>
      </c>
      <c r="AW24" s="20">
        <f>SUM(AD24:AF24)</f>
        <v>0</v>
      </c>
      <c r="AX24" s="20">
        <f>SUM(AG24:AI24)</f>
        <v>0</v>
      </c>
      <c r="AY24" s="20">
        <f>SUM(AJ24:AL24)</f>
        <v>0</v>
      </c>
      <c r="BA24" s="20">
        <f>SUM(C24:N24)</f>
        <v>0</v>
      </c>
      <c r="BB24" s="20">
        <f>SUM(O24:Z24)</f>
        <v>0</v>
      </c>
      <c r="BC24" s="20">
        <f>SUM(AA24:AL24)</f>
        <v>0</v>
      </c>
    </row>
    <row r="25" spans="1:55">
      <c r="A25" s="30" t="s">
        <v>375</v>
      </c>
      <c r="B25" s="16" t="s">
        <v>376</v>
      </c>
      <c r="C25" s="31">
        <f>C23-C24</f>
        <v>0</v>
      </c>
      <c r="D25" s="31">
        <f>C25+D23-D24</f>
        <v>0</v>
      </c>
      <c r="E25" s="31">
        <f>D25+E23-E24</f>
        <v>0</v>
      </c>
      <c r="F25" s="31">
        <f>E25+F23-F24</f>
        <v>0</v>
      </c>
      <c r="G25" s="31">
        <f>F25+G23-G24</f>
        <v>0</v>
      </c>
      <c r="H25" s="31">
        <f>G25+H23-H24</f>
        <v>0</v>
      </c>
      <c r="I25" s="31">
        <f>H25+I23-I24</f>
        <v>0</v>
      </c>
      <c r="J25" s="31">
        <f>I25+J23-J24</f>
        <v>0</v>
      </c>
      <c r="K25" s="31">
        <f>J25+K23-K24</f>
        <v>0</v>
      </c>
      <c r="L25" s="31">
        <f>K25+L23-L24</f>
        <v>0</v>
      </c>
      <c r="M25" s="31">
        <f>L25+M23-M24</f>
        <v>0</v>
      </c>
      <c r="N25" s="31">
        <f>M25+N23-N24</f>
        <v>0</v>
      </c>
      <c r="O25" s="31">
        <f>N25+O23-O24</f>
        <v>0</v>
      </c>
      <c r="P25" s="31">
        <f>O25+P23-P24</f>
        <v>0</v>
      </c>
      <c r="Q25" s="31">
        <f>P25+Q23-Q24</f>
        <v>0</v>
      </c>
      <c r="R25" s="31">
        <f>Q25+R23-R24</f>
        <v>0</v>
      </c>
      <c r="S25" s="31">
        <f>R25+S23-S24</f>
        <v>0</v>
      </c>
      <c r="T25" s="31">
        <f>S25+T23-T24</f>
        <v>0</v>
      </c>
      <c r="U25" s="31">
        <f>T25+U23-U24</f>
        <v>0</v>
      </c>
      <c r="V25" s="31">
        <f>U25+V23-V24</f>
        <v>0</v>
      </c>
      <c r="W25" s="31">
        <f>V25+W23-W24</f>
        <v>0</v>
      </c>
      <c r="X25" s="31">
        <f>W25+X23-X24</f>
        <v>0</v>
      </c>
      <c r="Y25" s="31">
        <f>X25+Y23-Y24</f>
        <v>0</v>
      </c>
      <c r="Z25" s="31">
        <f>Y25+Z23-Z24</f>
        <v>0</v>
      </c>
      <c r="AA25" s="31">
        <f>Z25+AA23-AA24</f>
        <v>0</v>
      </c>
      <c r="AB25" s="31">
        <f>AA25+AB23-AB24</f>
        <v>0</v>
      </c>
      <c r="AC25" s="31">
        <f>AB25+AC23-AC24</f>
        <v>0</v>
      </c>
      <c r="AD25" s="31">
        <f>AC25+AD23-AD24</f>
        <v>0</v>
      </c>
      <c r="AE25" s="31">
        <f>AD25+AE23-AE24</f>
        <v>0</v>
      </c>
      <c r="AF25" s="31">
        <f>AE25+AF23-AF24</f>
        <v>0</v>
      </c>
      <c r="AG25" s="31">
        <f>AF25+AG23-AG24</f>
        <v>0</v>
      </c>
      <c r="AH25" s="31">
        <f>AG25+AH23-AH24</f>
        <v>0</v>
      </c>
      <c r="AI25" s="31">
        <f>AH25+AI23-AI24</f>
        <v>0</v>
      </c>
      <c r="AJ25" s="31">
        <f>AI25+AJ23-AJ24</f>
        <v>0</v>
      </c>
      <c r="AK25" s="31">
        <f>AJ25+AK23-AK24</f>
        <v>0</v>
      </c>
      <c r="AL25" s="31">
        <f>AK25+AL23-AL24</f>
        <v>0</v>
      </c>
      <c r="AN25" s="31">
        <f>E25</f>
        <v>0</v>
      </c>
      <c r="AO25" s="31">
        <f>H25</f>
        <v>0</v>
      </c>
      <c r="AP25" s="31">
        <f>K25</f>
        <v>0</v>
      </c>
      <c r="AQ25" s="31">
        <f>N25</f>
        <v>0</v>
      </c>
      <c r="AR25" s="31">
        <f>Q25</f>
        <v>0</v>
      </c>
      <c r="AS25" s="31">
        <f>T25</f>
        <v>0</v>
      </c>
      <c r="AT25" s="31">
        <f>W25</f>
        <v>0</v>
      </c>
      <c r="AU25" s="31">
        <f>Z25</f>
        <v>0</v>
      </c>
      <c r="AV25" s="31">
        <f>AC25</f>
        <v>0</v>
      </c>
      <c r="AW25" s="31">
        <f>AF25</f>
        <v>0</v>
      </c>
      <c r="AX25" s="31">
        <f>AI25</f>
        <v>0</v>
      </c>
      <c r="AY25" s="31">
        <f>AL25</f>
        <v>0</v>
      </c>
      <c r="BA25" s="31">
        <f>N25</f>
        <v>0</v>
      </c>
      <c r="BB25" s="31">
        <f>Z25</f>
        <v>0</v>
      </c>
      <c r="BC25" s="31">
        <f>AL25</f>
        <v>0</v>
      </c>
    </row>
    <row r="26" spans="1:55">
      <c r="A26" s="18" t="s">
        <v>377</v>
      </c>
      <c r="B26" s="16" t="s">
        <v>378</v>
      </c>
      <c r="C26" s="20">
        <f>C23*'Assumptions'!$F$93/12/2</f>
        <v>0</v>
      </c>
      <c r="D26" s="20">
        <f>C25*'Assumptions'!$F$93/12</f>
        <v>0</v>
      </c>
      <c r="E26" s="20">
        <f>D25*'Assumptions'!$F$93/12</f>
        <v>0</v>
      </c>
      <c r="F26" s="20">
        <f>E25*'Assumptions'!$F$93/12</f>
        <v>0</v>
      </c>
      <c r="G26" s="20">
        <f>F25*'Assumptions'!$F$93/12</f>
        <v>0</v>
      </c>
      <c r="H26" s="20">
        <f>G25*'Assumptions'!$F$93/12</f>
        <v>0</v>
      </c>
      <c r="I26" s="20">
        <f>H25*'Assumptions'!$F$93/12</f>
        <v>0</v>
      </c>
      <c r="J26" s="20">
        <f>I25*'Assumptions'!$F$93/12</f>
        <v>0</v>
      </c>
      <c r="K26" s="20">
        <f>J25*'Assumptions'!$F$93/12</f>
        <v>0</v>
      </c>
      <c r="L26" s="20">
        <f>K25*'Assumptions'!$F$93/12</f>
        <v>0</v>
      </c>
      <c r="M26" s="20">
        <f>L25*'Assumptions'!$F$93/12</f>
        <v>0</v>
      </c>
      <c r="N26" s="20">
        <f>M25*'Assumptions'!$F$93/12</f>
        <v>0</v>
      </c>
      <c r="O26" s="20">
        <f>N25*'Assumptions'!$F$93/12</f>
        <v>0</v>
      </c>
      <c r="P26" s="20">
        <f>O25*'Assumptions'!$F$93/12</f>
        <v>0</v>
      </c>
      <c r="Q26" s="20">
        <f>P25*'Assumptions'!$F$93/12</f>
        <v>0</v>
      </c>
      <c r="R26" s="20">
        <f>Q25*'Assumptions'!$F$93/12</f>
        <v>0</v>
      </c>
      <c r="S26" s="20">
        <f>R25*'Assumptions'!$F$93/12</f>
        <v>0</v>
      </c>
      <c r="T26" s="20">
        <f>S25*'Assumptions'!$F$93/12</f>
        <v>0</v>
      </c>
      <c r="U26" s="20">
        <f>T25*'Assumptions'!$F$93/12</f>
        <v>0</v>
      </c>
      <c r="V26" s="20">
        <f>U25*'Assumptions'!$F$93/12</f>
        <v>0</v>
      </c>
      <c r="W26" s="20">
        <f>V25*'Assumptions'!$F$93/12</f>
        <v>0</v>
      </c>
      <c r="X26" s="20">
        <f>W25*'Assumptions'!$F$93/12</f>
        <v>0</v>
      </c>
      <c r="Y26" s="20">
        <f>X25*'Assumptions'!$F$93/12</f>
        <v>0</v>
      </c>
      <c r="Z26" s="20">
        <f>Y25*'Assumptions'!$F$93/12</f>
        <v>0</v>
      </c>
      <c r="AA26" s="20">
        <f>Z25*'Assumptions'!$F$93/12</f>
        <v>0</v>
      </c>
      <c r="AB26" s="20">
        <f>AA25*'Assumptions'!$F$93/12</f>
        <v>0</v>
      </c>
      <c r="AC26" s="20">
        <f>AB25*'Assumptions'!$F$93/12</f>
        <v>0</v>
      </c>
      <c r="AD26" s="20">
        <f>AC25*'Assumptions'!$F$93/12</f>
        <v>0</v>
      </c>
      <c r="AE26" s="20">
        <f>AD25*'Assumptions'!$F$93/12</f>
        <v>0</v>
      </c>
      <c r="AF26" s="20">
        <f>AE25*'Assumptions'!$F$93/12</f>
        <v>0</v>
      </c>
      <c r="AG26" s="20">
        <f>AF25*'Assumptions'!$F$93/12</f>
        <v>0</v>
      </c>
      <c r="AH26" s="20">
        <f>AG25*'Assumptions'!$F$93/12</f>
        <v>0</v>
      </c>
      <c r="AI26" s="20">
        <f>AH25*'Assumptions'!$F$93/12</f>
        <v>0</v>
      </c>
      <c r="AJ26" s="20">
        <f>AI25*'Assumptions'!$F$93/12</f>
        <v>0</v>
      </c>
      <c r="AK26" s="20">
        <f>AJ25*'Assumptions'!$F$93/12</f>
        <v>0</v>
      </c>
      <c r="AL26" s="20">
        <f>AK25*'Assumptions'!$F$93/12</f>
        <v>0</v>
      </c>
      <c r="AN26" s="20">
        <f>SUM(C26:E26)</f>
        <v>0</v>
      </c>
      <c r="AO26" s="20">
        <f>SUM(F26:H26)</f>
        <v>0</v>
      </c>
      <c r="AP26" s="20">
        <f>SUM(I26:K26)</f>
        <v>0</v>
      </c>
      <c r="AQ26" s="20">
        <f>SUM(L26:N26)</f>
        <v>0</v>
      </c>
      <c r="AR26" s="20">
        <f>SUM(O26:Q26)</f>
        <v>0</v>
      </c>
      <c r="AS26" s="20">
        <f>SUM(R26:T26)</f>
        <v>0</v>
      </c>
      <c r="AT26" s="20">
        <f>SUM(U26:W26)</f>
        <v>0</v>
      </c>
      <c r="AU26" s="20">
        <f>SUM(X26:Z26)</f>
        <v>0</v>
      </c>
      <c r="AV26" s="20">
        <f>SUM(AA26:AC26)</f>
        <v>0</v>
      </c>
      <c r="AW26" s="20">
        <f>SUM(AD26:AF26)</f>
        <v>0</v>
      </c>
      <c r="AX26" s="20">
        <f>SUM(AG26:AI26)</f>
        <v>0</v>
      </c>
      <c r="AY26" s="20">
        <f>SUM(AJ26:AL26)</f>
        <v>0</v>
      </c>
      <c r="BA26" s="20">
        <f>SUM(C26:N26)</f>
        <v>0</v>
      </c>
      <c r="BB26" s="20">
        <f>SUM(O26:Z26)</f>
        <v>0</v>
      </c>
      <c r="BC26" s="20">
        <f>SUM(AA26:AL26)</f>
        <v>0</v>
      </c>
    </row>
    <row r="27" spans="1:55" ht="5" customHeight="1"/>
    <row r="28" spans="1:55" ht="16" customHeight="1">
      <c r="A28" s="14" t="s">
        <v>379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</row>
    <row r="29" spans="1:55">
      <c r="A29" s="18" t="s">
        <v>380</v>
      </c>
      <c r="B29" s="16" t="s">
        <v>381</v>
      </c>
      <c r="C29" s="20">
        <f>0</f>
        <v>0</v>
      </c>
      <c r="D29" s="20">
        <f>0</f>
        <v>0</v>
      </c>
      <c r="E29" s="20">
        <f>0</f>
        <v>0</v>
      </c>
      <c r="F29" s="20">
        <f>'Assumptions'!$F$96</f>
        <v>0</v>
      </c>
      <c r="G29" s="20">
        <f>0</f>
        <v>0</v>
      </c>
      <c r="H29" s="20">
        <f>0</f>
        <v>0</v>
      </c>
      <c r="I29" s="20">
        <f>0</f>
        <v>0</v>
      </c>
      <c r="J29" s="20">
        <f>0</f>
        <v>0</v>
      </c>
      <c r="K29" s="20">
        <f>0</f>
        <v>0</v>
      </c>
      <c r="L29" s="20">
        <f>0</f>
        <v>0</v>
      </c>
      <c r="M29" s="20">
        <f>0</f>
        <v>0</v>
      </c>
      <c r="N29" s="20">
        <f>0</f>
        <v>0</v>
      </c>
      <c r="O29" s="20">
        <f>0</f>
        <v>0</v>
      </c>
      <c r="P29" s="20">
        <f>0</f>
        <v>0</v>
      </c>
      <c r="Q29" s="20">
        <f>0</f>
        <v>0</v>
      </c>
      <c r="R29" s="20">
        <f>0</f>
        <v>0</v>
      </c>
      <c r="S29" s="20">
        <f>0</f>
        <v>0</v>
      </c>
      <c r="T29" s="20">
        <f>0</f>
        <v>0</v>
      </c>
      <c r="U29" s="20">
        <f>0</f>
        <v>0</v>
      </c>
      <c r="V29" s="20">
        <f>0</f>
        <v>0</v>
      </c>
      <c r="W29" s="20">
        <f>0</f>
        <v>0</v>
      </c>
      <c r="X29" s="20">
        <f>'Assumptions'!$F$97</f>
        <v>0</v>
      </c>
      <c r="Y29" s="20">
        <f>0</f>
        <v>0</v>
      </c>
      <c r="Z29" s="20">
        <f>0</f>
        <v>0</v>
      </c>
      <c r="AA29" s="20">
        <f>0</f>
        <v>0</v>
      </c>
      <c r="AB29" s="20">
        <f>0</f>
        <v>0</v>
      </c>
      <c r="AC29" s="20">
        <f>0</f>
        <v>0</v>
      </c>
      <c r="AD29" s="20">
        <f>0</f>
        <v>0</v>
      </c>
      <c r="AE29" s="20">
        <f>0</f>
        <v>0</v>
      </c>
      <c r="AF29" s="20">
        <f>0</f>
        <v>0</v>
      </c>
      <c r="AG29" s="20">
        <f>0</f>
        <v>0</v>
      </c>
      <c r="AH29" s="20">
        <f>0</f>
        <v>0</v>
      </c>
      <c r="AI29" s="20">
        <f>0</f>
        <v>0</v>
      </c>
      <c r="AJ29" s="20">
        <f>0</f>
        <v>0</v>
      </c>
      <c r="AK29" s="20">
        <f>0</f>
        <v>0</v>
      </c>
      <c r="AL29" s="20">
        <f>0</f>
        <v>0</v>
      </c>
      <c r="AN29" s="20">
        <f>SUM(C29:E29)</f>
        <v>0</v>
      </c>
      <c r="AO29" s="20">
        <f>SUM(F29:H29)</f>
        <v>0</v>
      </c>
      <c r="AP29" s="20">
        <f>SUM(I29:K29)</f>
        <v>0</v>
      </c>
      <c r="AQ29" s="20">
        <f>SUM(L29:N29)</f>
        <v>0</v>
      </c>
      <c r="AR29" s="20">
        <f>SUM(O29:Q29)</f>
        <v>0</v>
      </c>
      <c r="AS29" s="20">
        <f>SUM(R29:T29)</f>
        <v>0</v>
      </c>
      <c r="AT29" s="20">
        <f>SUM(U29:W29)</f>
        <v>0</v>
      </c>
      <c r="AU29" s="20">
        <f>SUM(X29:Z29)</f>
        <v>0</v>
      </c>
      <c r="AV29" s="20">
        <f>SUM(AA29:AC29)</f>
        <v>0</v>
      </c>
      <c r="AW29" s="20">
        <f>SUM(AD29:AF29)</f>
        <v>0</v>
      </c>
      <c r="AX29" s="20">
        <f>SUM(AG29:AI29)</f>
        <v>0</v>
      </c>
      <c r="AY29" s="20">
        <f>SUM(AJ29:AL29)</f>
        <v>0</v>
      </c>
      <c r="BA29" s="20">
        <f>SUM(C29:N29)</f>
        <v>0</v>
      </c>
      <c r="BB29" s="20">
        <f>SUM(O29:Z29)</f>
        <v>0</v>
      </c>
      <c r="BC29" s="20">
        <f>SUM(AA29:AL29)</f>
        <v>0</v>
      </c>
    </row>
    <row r="30" spans="1:55">
      <c r="A30" s="18" t="s">
        <v>382</v>
      </c>
      <c r="B30" s="16"/>
      <c r="C30" s="31">
        <f>C29</f>
        <v>0</v>
      </c>
      <c r="D30" s="31">
        <f>C30+D29</f>
        <v>0</v>
      </c>
      <c r="E30" s="31">
        <f>D30+E29</f>
        <v>0</v>
      </c>
      <c r="F30" s="31">
        <f>E30+F29</f>
        <v>0</v>
      </c>
      <c r="G30" s="31">
        <f>F30+G29</f>
        <v>0</v>
      </c>
      <c r="H30" s="31">
        <f>G30+H29</f>
        <v>0</v>
      </c>
      <c r="I30" s="31">
        <f>H30+I29</f>
        <v>0</v>
      </c>
      <c r="J30" s="31">
        <f>I30+J29</f>
        <v>0</v>
      </c>
      <c r="K30" s="31">
        <f>J30+K29</f>
        <v>0</v>
      </c>
      <c r="L30" s="31">
        <f>K30+L29</f>
        <v>0</v>
      </c>
      <c r="M30" s="31">
        <f>L30+M29</f>
        <v>0</v>
      </c>
      <c r="N30" s="31">
        <f>M30+N29</f>
        <v>0</v>
      </c>
      <c r="O30" s="31">
        <f>N30+O29</f>
        <v>0</v>
      </c>
      <c r="P30" s="31">
        <f>O30+P29</f>
        <v>0</v>
      </c>
      <c r="Q30" s="31">
        <f>P30+Q29</f>
        <v>0</v>
      </c>
      <c r="R30" s="31">
        <f>Q30+R29</f>
        <v>0</v>
      </c>
      <c r="S30" s="31">
        <f>R30+S29</f>
        <v>0</v>
      </c>
      <c r="T30" s="31">
        <f>S30+T29</f>
        <v>0</v>
      </c>
      <c r="U30" s="31">
        <f>T30+U29</f>
        <v>0</v>
      </c>
      <c r="V30" s="31">
        <f>U30+V29</f>
        <v>0</v>
      </c>
      <c r="W30" s="31">
        <f>V30+W29</f>
        <v>0</v>
      </c>
      <c r="X30" s="31">
        <f>W30+X29</f>
        <v>0</v>
      </c>
      <c r="Y30" s="31">
        <f>X30+Y29</f>
        <v>0</v>
      </c>
      <c r="Z30" s="31">
        <f>Y30+Z29</f>
        <v>0</v>
      </c>
      <c r="AA30" s="31">
        <f>Z30+AA29</f>
        <v>0</v>
      </c>
      <c r="AB30" s="31">
        <f>AA30+AB29</f>
        <v>0</v>
      </c>
      <c r="AC30" s="31">
        <f>AB30+AC29</f>
        <v>0</v>
      </c>
      <c r="AD30" s="31">
        <f>AC30+AD29</f>
        <v>0</v>
      </c>
      <c r="AE30" s="31">
        <f>AD30+AE29</f>
        <v>0</v>
      </c>
      <c r="AF30" s="31">
        <f>AE30+AF29</f>
        <v>0</v>
      </c>
      <c r="AG30" s="31">
        <f>AF30+AG29</f>
        <v>0</v>
      </c>
      <c r="AH30" s="31">
        <f>AG30+AH29</f>
        <v>0</v>
      </c>
      <c r="AI30" s="31">
        <f>AH30+AI29</f>
        <v>0</v>
      </c>
      <c r="AJ30" s="31">
        <f>AI30+AJ29</f>
        <v>0</v>
      </c>
      <c r="AK30" s="31">
        <f>AJ30+AK29</f>
        <v>0</v>
      </c>
      <c r="AL30" s="31">
        <f>AK30+AL29</f>
        <v>0</v>
      </c>
      <c r="AN30" s="31">
        <f>E30</f>
        <v>0</v>
      </c>
      <c r="AO30" s="31">
        <f>H30</f>
        <v>0</v>
      </c>
      <c r="AP30" s="31">
        <f>K30</f>
        <v>0</v>
      </c>
      <c r="AQ30" s="31">
        <f>N30</f>
        <v>0</v>
      </c>
      <c r="AR30" s="31">
        <f>Q30</f>
        <v>0</v>
      </c>
      <c r="AS30" s="31">
        <f>T30</f>
        <v>0</v>
      </c>
      <c r="AT30" s="31">
        <f>W30</f>
        <v>0</v>
      </c>
      <c r="AU30" s="31">
        <f>Z30</f>
        <v>0</v>
      </c>
      <c r="AV30" s="31">
        <f>AC30</f>
        <v>0</v>
      </c>
      <c r="AW30" s="31">
        <f>AF30</f>
        <v>0</v>
      </c>
      <c r="AX30" s="31">
        <f>AI30</f>
        <v>0</v>
      </c>
      <c r="AY30" s="31">
        <f>AL30</f>
        <v>0</v>
      </c>
      <c r="BA30" s="31">
        <f>N30</f>
        <v>0</v>
      </c>
      <c r="BB30" s="31">
        <f>Z30</f>
        <v>0</v>
      </c>
      <c r="BC30" s="31">
        <f>AL30</f>
        <v>0</v>
      </c>
    </row>
  </sheetData>
  <mergeCells count="9">
    <mergeCell ref="A1:BC1"/>
    <mergeCell ref="A2:BC2"/>
    <mergeCell ref="C5:AL5"/>
    <mergeCell ref="AN5:AY5"/>
    <mergeCell ref="BA5:BC5"/>
    <mergeCell ref="A7:BC7"/>
    <mergeCell ref="A17:BC17"/>
    <mergeCell ref="A22:BC22"/>
    <mergeCell ref="A28:BC28"/>
  </mergeCells>
  <pageMargins left="0.7" right="0.7" top="0.75" bottom="0.75" header="0.3" footer="0.3"/>
  <pageSetup paperSize="9" scale="55"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dimension ref="A1:BC24"/>
  <sheetViews>
    <sheetView showGridLines="0" zoomScale="110" zoomScaleNormal="11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40.7109375" customWidth="1"/>
    <col min="2" max="2" width="30.7109375" customWidth="1"/>
    <col min="3" max="38" width="11.7109375" customWidth="1"/>
    <col min="39" max="39" width="2.7109375" customWidth="1"/>
    <col min="40" max="51" width="12.7109375" customWidth="1"/>
    <col min="52" max="52" width="2.7109375" customWidth="1"/>
    <col min="53" max="55" width="12.7109375" customWidth="1"/>
  </cols>
  <sheetData>
    <row r="1" spans="1:55" ht="22" customHeight="1">
      <c r="A1" s="1" t="s">
        <v>383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ht="16" customHeight="1">
      <c r="A2" s="2" t="s">
        <v>384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</row>
    <row r="5" spans="1:55">
      <c r="A5" s="14" t="s">
        <v>191</v>
      </c>
      <c r="B5" s="14" t="s">
        <v>192</v>
      </c>
      <c r="C5" s="14" t="s">
        <v>188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N5" s="14" t="s">
        <v>189</v>
      </c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BA5" s="14" t="s">
        <v>190</v>
      </c>
      <c r="BB5" s="14"/>
      <c r="BC5" s="14"/>
    </row>
    <row r="6" spans="1:55">
      <c r="A6" s="17"/>
      <c r="B6" s="17"/>
      <c r="C6" s="28">
        <v>46023</v>
      </c>
      <c r="D6" s="28">
        <v>46054</v>
      </c>
      <c r="E6" s="28">
        <v>46082</v>
      </c>
      <c r="F6" s="28">
        <v>46113</v>
      </c>
      <c r="G6" s="28">
        <v>46143</v>
      </c>
      <c r="H6" s="28">
        <v>46174</v>
      </c>
      <c r="I6" s="28">
        <v>46204</v>
      </c>
      <c r="J6" s="28">
        <v>46235</v>
      </c>
      <c r="K6" s="28">
        <v>46266</v>
      </c>
      <c r="L6" s="28">
        <v>46296</v>
      </c>
      <c r="M6" s="28">
        <v>46327</v>
      </c>
      <c r="N6" s="28">
        <v>46357</v>
      </c>
      <c r="O6" s="28">
        <v>46388</v>
      </c>
      <c r="P6" s="28">
        <v>46419</v>
      </c>
      <c r="Q6" s="28">
        <v>46447</v>
      </c>
      <c r="R6" s="28">
        <v>46478</v>
      </c>
      <c r="S6" s="28">
        <v>46508</v>
      </c>
      <c r="T6" s="28">
        <v>46539</v>
      </c>
      <c r="U6" s="28">
        <v>46569</v>
      </c>
      <c r="V6" s="28">
        <v>46600</v>
      </c>
      <c r="W6" s="28">
        <v>46631</v>
      </c>
      <c r="X6" s="28">
        <v>46661</v>
      </c>
      <c r="Y6" s="28">
        <v>46692</v>
      </c>
      <c r="Z6" s="28">
        <v>46722</v>
      </c>
      <c r="AA6" s="28">
        <v>46753</v>
      </c>
      <c r="AB6" s="28">
        <v>46784</v>
      </c>
      <c r="AC6" s="28">
        <v>46813</v>
      </c>
      <c r="AD6" s="28">
        <v>46844</v>
      </c>
      <c r="AE6" s="28">
        <v>46874</v>
      </c>
      <c r="AF6" s="28">
        <v>46905</v>
      </c>
      <c r="AG6" s="28">
        <v>46935</v>
      </c>
      <c r="AH6" s="28">
        <v>46966</v>
      </c>
      <c r="AI6" s="28">
        <v>46997</v>
      </c>
      <c r="AJ6" s="28">
        <v>47027</v>
      </c>
      <c r="AK6" s="28">
        <v>47058</v>
      </c>
      <c r="AL6" s="28">
        <v>47088</v>
      </c>
      <c r="AN6" s="17" t="s">
        <v>193</v>
      </c>
      <c r="AO6" s="17" t="s">
        <v>194</v>
      </c>
      <c r="AP6" s="17" t="s">
        <v>195</v>
      </c>
      <c r="AQ6" s="17" t="s">
        <v>196</v>
      </c>
      <c r="AR6" s="17" t="s">
        <v>197</v>
      </c>
      <c r="AS6" s="17" t="s">
        <v>198</v>
      </c>
      <c r="AT6" s="17" t="s">
        <v>199</v>
      </c>
      <c r="AU6" s="17" t="s">
        <v>200</v>
      </c>
      <c r="AV6" s="17" t="s">
        <v>201</v>
      </c>
      <c r="AW6" s="17" t="s">
        <v>202</v>
      </c>
      <c r="AX6" s="17" t="s">
        <v>203</v>
      </c>
      <c r="AY6" s="17" t="s">
        <v>204</v>
      </c>
      <c r="BA6" s="17" t="s">
        <v>205</v>
      </c>
      <c r="BB6" s="17" t="s">
        <v>206</v>
      </c>
      <c r="BC6" s="17" t="s">
        <v>207</v>
      </c>
    </row>
    <row r="7" spans="1:55">
      <c r="A7" s="18" t="s">
        <v>385</v>
      </c>
      <c r="B7" s="16"/>
      <c r="C7" s="20">
        <f>'Revenue'!$C$60</f>
        <v>0</v>
      </c>
      <c r="D7" s="20">
        <f>'Revenue'!$D$60</f>
        <v>0</v>
      </c>
      <c r="E7" s="20">
        <f>'Revenue'!$E$60</f>
        <v>0</v>
      </c>
      <c r="F7" s="20">
        <f>'Revenue'!$F$60</f>
        <v>0</v>
      </c>
      <c r="G7" s="20">
        <f>'Revenue'!$G$60</f>
        <v>0</v>
      </c>
      <c r="H7" s="20">
        <f>'Revenue'!$H$60</f>
        <v>0</v>
      </c>
      <c r="I7" s="20">
        <f>'Revenue'!$I$60</f>
        <v>0</v>
      </c>
      <c r="J7" s="20">
        <f>'Revenue'!$J$60</f>
        <v>0</v>
      </c>
      <c r="K7" s="20">
        <f>'Revenue'!$K$60</f>
        <v>0</v>
      </c>
      <c r="L7" s="20">
        <f>'Revenue'!$L$60</f>
        <v>0</v>
      </c>
      <c r="M7" s="20">
        <f>'Revenue'!$M$60</f>
        <v>0</v>
      </c>
      <c r="N7" s="20">
        <f>'Revenue'!$N$60</f>
        <v>0</v>
      </c>
      <c r="O7" s="20">
        <f>'Revenue'!$O$60</f>
        <v>0</v>
      </c>
      <c r="P7" s="20">
        <f>'Revenue'!$P$60</f>
        <v>0</v>
      </c>
      <c r="Q7" s="20">
        <f>'Revenue'!$Q$60</f>
        <v>0</v>
      </c>
      <c r="R7" s="20">
        <f>'Revenue'!$R$60</f>
        <v>0</v>
      </c>
      <c r="S7" s="20">
        <f>'Revenue'!$S$60</f>
        <v>0</v>
      </c>
      <c r="T7" s="20">
        <f>'Revenue'!$T$60</f>
        <v>0</v>
      </c>
      <c r="U7" s="20">
        <f>'Revenue'!$U$60</f>
        <v>0</v>
      </c>
      <c r="V7" s="20">
        <f>'Revenue'!$V$60</f>
        <v>0</v>
      </c>
      <c r="W7" s="20">
        <f>'Revenue'!$W$60</f>
        <v>0</v>
      </c>
      <c r="X7" s="20">
        <f>'Revenue'!$X$60</f>
        <v>0</v>
      </c>
      <c r="Y7" s="20">
        <f>'Revenue'!$Y$60</f>
        <v>0</v>
      </c>
      <c r="Z7" s="20">
        <f>'Revenue'!$Z$60</f>
        <v>0</v>
      </c>
      <c r="AA7" s="20">
        <f>'Revenue'!$AA$60</f>
        <v>0</v>
      </c>
      <c r="AB7" s="20">
        <f>'Revenue'!$AB$60</f>
        <v>0</v>
      </c>
      <c r="AC7" s="20">
        <f>'Revenue'!$AC$60</f>
        <v>0</v>
      </c>
      <c r="AD7" s="20">
        <f>'Revenue'!$AD$60</f>
        <v>0</v>
      </c>
      <c r="AE7" s="20">
        <f>'Revenue'!$AE$60</f>
        <v>0</v>
      </c>
      <c r="AF7" s="20">
        <f>'Revenue'!$AF$60</f>
        <v>0</v>
      </c>
      <c r="AG7" s="20">
        <f>'Revenue'!$AG$60</f>
        <v>0</v>
      </c>
      <c r="AH7" s="20">
        <f>'Revenue'!$AH$60</f>
        <v>0</v>
      </c>
      <c r="AI7" s="20">
        <f>'Revenue'!$AI$60</f>
        <v>0</v>
      </c>
      <c r="AJ7" s="20">
        <f>'Revenue'!$AJ$60</f>
        <v>0</v>
      </c>
      <c r="AK7" s="20">
        <f>'Revenue'!$AK$60</f>
        <v>0</v>
      </c>
      <c r="AL7" s="20">
        <f>'Revenue'!$AL$60</f>
        <v>0</v>
      </c>
      <c r="AN7" s="20">
        <f>SUM(C7:E7)</f>
        <v>0</v>
      </c>
      <c r="AO7" s="20">
        <f>SUM(F7:H7)</f>
        <v>0</v>
      </c>
      <c r="AP7" s="20">
        <f>SUM(I7:K7)</f>
        <v>0</v>
      </c>
      <c r="AQ7" s="20">
        <f>SUM(L7:N7)</f>
        <v>0</v>
      </c>
      <c r="AR7" s="20">
        <f>SUM(O7:Q7)</f>
        <v>0</v>
      </c>
      <c r="AS7" s="20">
        <f>SUM(R7:T7)</f>
        <v>0</v>
      </c>
      <c r="AT7" s="20">
        <f>SUM(U7:W7)</f>
        <v>0</v>
      </c>
      <c r="AU7" s="20">
        <f>SUM(X7:Z7)</f>
        <v>0</v>
      </c>
      <c r="AV7" s="20">
        <f>SUM(AA7:AC7)</f>
        <v>0</v>
      </c>
      <c r="AW7" s="20">
        <f>SUM(AD7:AF7)</f>
        <v>0</v>
      </c>
      <c r="AX7" s="20">
        <f>SUM(AG7:AI7)</f>
        <v>0</v>
      </c>
      <c r="AY7" s="20">
        <f>SUM(AJ7:AL7)</f>
        <v>0</v>
      </c>
      <c r="BA7" s="20">
        <f>SUM(C7:N7)</f>
        <v>0</v>
      </c>
      <c r="BB7" s="20">
        <f>SUM(O7:Z7)</f>
        <v>0</v>
      </c>
      <c r="BC7" s="20">
        <f>SUM(AA7:AL7)</f>
        <v>0</v>
      </c>
    </row>
    <row r="8" spans="1:55">
      <c r="A8" s="18" t="s">
        <v>386</v>
      </c>
      <c r="B8" s="16"/>
      <c r="C8" s="20">
        <f>'COGS &amp; GM'!$C$21</f>
        <v>0</v>
      </c>
      <c r="D8" s="20">
        <f>'COGS &amp; GM'!$D$21</f>
        <v>0</v>
      </c>
      <c r="E8" s="20">
        <f>'COGS &amp; GM'!$E$21</f>
        <v>0</v>
      </c>
      <c r="F8" s="20">
        <f>'COGS &amp; GM'!$F$21</f>
        <v>0</v>
      </c>
      <c r="G8" s="20">
        <f>'COGS &amp; GM'!$G$21</f>
        <v>0</v>
      </c>
      <c r="H8" s="20">
        <f>'COGS &amp; GM'!$H$21</f>
        <v>0</v>
      </c>
      <c r="I8" s="20">
        <f>'COGS &amp; GM'!$I$21</f>
        <v>0</v>
      </c>
      <c r="J8" s="20">
        <f>'COGS &amp; GM'!$J$21</f>
        <v>0</v>
      </c>
      <c r="K8" s="20">
        <f>'COGS &amp; GM'!$K$21</f>
        <v>0</v>
      </c>
      <c r="L8" s="20">
        <f>'COGS &amp; GM'!$L$21</f>
        <v>0</v>
      </c>
      <c r="M8" s="20">
        <f>'COGS &amp; GM'!$M$21</f>
        <v>0</v>
      </c>
      <c r="N8" s="20">
        <f>'COGS &amp; GM'!$N$21</f>
        <v>0</v>
      </c>
      <c r="O8" s="20">
        <f>'COGS &amp; GM'!$O$21</f>
        <v>0</v>
      </c>
      <c r="P8" s="20">
        <f>'COGS &amp; GM'!$P$21</f>
        <v>0</v>
      </c>
      <c r="Q8" s="20">
        <f>'COGS &amp; GM'!$Q$21</f>
        <v>0</v>
      </c>
      <c r="R8" s="20">
        <f>'COGS &amp; GM'!$R$21</f>
        <v>0</v>
      </c>
      <c r="S8" s="20">
        <f>'COGS &amp; GM'!$S$21</f>
        <v>0</v>
      </c>
      <c r="T8" s="20">
        <f>'COGS &amp; GM'!$T$21</f>
        <v>0</v>
      </c>
      <c r="U8" s="20">
        <f>'COGS &amp; GM'!$U$21</f>
        <v>0</v>
      </c>
      <c r="V8" s="20">
        <f>'COGS &amp; GM'!$V$21</f>
        <v>0</v>
      </c>
      <c r="W8" s="20">
        <f>'COGS &amp; GM'!$W$21</f>
        <v>0</v>
      </c>
      <c r="X8" s="20">
        <f>'COGS &amp; GM'!$X$21</f>
        <v>0</v>
      </c>
      <c r="Y8" s="20">
        <f>'COGS &amp; GM'!$Y$21</f>
        <v>0</v>
      </c>
      <c r="Z8" s="20">
        <f>'COGS &amp; GM'!$Z$21</f>
        <v>0</v>
      </c>
      <c r="AA8" s="20">
        <f>'COGS &amp; GM'!$AA$21</f>
        <v>0</v>
      </c>
      <c r="AB8" s="20">
        <f>'COGS &amp; GM'!$AB$21</f>
        <v>0</v>
      </c>
      <c r="AC8" s="20">
        <f>'COGS &amp; GM'!$AC$21</f>
        <v>0</v>
      </c>
      <c r="AD8" s="20">
        <f>'COGS &amp; GM'!$AD$21</f>
        <v>0</v>
      </c>
      <c r="AE8" s="20">
        <f>'COGS &amp; GM'!$AE$21</f>
        <v>0</v>
      </c>
      <c r="AF8" s="20">
        <f>'COGS &amp; GM'!$AF$21</f>
        <v>0</v>
      </c>
      <c r="AG8" s="20">
        <f>'COGS &amp; GM'!$AG$21</f>
        <v>0</v>
      </c>
      <c r="AH8" s="20">
        <f>'COGS &amp; GM'!$AH$21</f>
        <v>0</v>
      </c>
      <c r="AI8" s="20">
        <f>'COGS &amp; GM'!$AI$21</f>
        <v>0</v>
      </c>
      <c r="AJ8" s="20">
        <f>'COGS &amp; GM'!$AJ$21</f>
        <v>0</v>
      </c>
      <c r="AK8" s="20">
        <f>'COGS &amp; GM'!$AK$21</f>
        <v>0</v>
      </c>
      <c r="AL8" s="20">
        <f>'COGS &amp; GM'!$AL$21</f>
        <v>0</v>
      </c>
      <c r="AN8" s="20">
        <f>SUM(C8:E8)</f>
        <v>0</v>
      </c>
      <c r="AO8" s="20">
        <f>SUM(F8:H8)</f>
        <v>0</v>
      </c>
      <c r="AP8" s="20">
        <f>SUM(I8:K8)</f>
        <v>0</v>
      </c>
      <c r="AQ8" s="20">
        <f>SUM(L8:N8)</f>
        <v>0</v>
      </c>
      <c r="AR8" s="20">
        <f>SUM(O8:Q8)</f>
        <v>0</v>
      </c>
      <c r="AS8" s="20">
        <f>SUM(R8:T8)</f>
        <v>0</v>
      </c>
      <c r="AT8" s="20">
        <f>SUM(U8:W8)</f>
        <v>0</v>
      </c>
      <c r="AU8" s="20">
        <f>SUM(X8:Z8)</f>
        <v>0</v>
      </c>
      <c r="AV8" s="20">
        <f>SUM(AA8:AC8)</f>
        <v>0</v>
      </c>
      <c r="AW8" s="20">
        <f>SUM(AD8:AF8)</f>
        <v>0</v>
      </c>
      <c r="AX8" s="20">
        <f>SUM(AG8:AI8)</f>
        <v>0</v>
      </c>
      <c r="AY8" s="20">
        <f>SUM(AJ8:AL8)</f>
        <v>0</v>
      </c>
      <c r="BA8" s="20">
        <f>SUM(C8:N8)</f>
        <v>0</v>
      </c>
      <c r="BB8" s="20">
        <f>SUM(O8:Z8)</f>
        <v>0</v>
      </c>
      <c r="BC8" s="20">
        <f>SUM(AA8:AL8)</f>
        <v>0</v>
      </c>
    </row>
    <row r="9" spans="1:55">
      <c r="A9" s="30" t="s">
        <v>318</v>
      </c>
      <c r="B9" s="16"/>
      <c r="C9" s="31">
        <f>C7-C8</f>
        <v>0</v>
      </c>
      <c r="D9" s="31">
        <f>D7-D8</f>
        <v>0</v>
      </c>
      <c r="E9" s="31">
        <f>E7-E8</f>
        <v>0</v>
      </c>
      <c r="F9" s="31">
        <f>F7-F8</f>
        <v>0</v>
      </c>
      <c r="G9" s="31">
        <f>G7-G8</f>
        <v>0</v>
      </c>
      <c r="H9" s="31">
        <f>H7-H8</f>
        <v>0</v>
      </c>
      <c r="I9" s="31">
        <f>I7-I8</f>
        <v>0</v>
      </c>
      <c r="J9" s="31">
        <f>J7-J8</f>
        <v>0</v>
      </c>
      <c r="K9" s="31">
        <f>K7-K8</f>
        <v>0</v>
      </c>
      <c r="L9" s="31">
        <f>L7-L8</f>
        <v>0</v>
      </c>
      <c r="M9" s="31">
        <f>M7-M8</f>
        <v>0</v>
      </c>
      <c r="N9" s="31">
        <f>N7-N8</f>
        <v>0</v>
      </c>
      <c r="O9" s="31">
        <f>O7-O8</f>
        <v>0</v>
      </c>
      <c r="P9" s="31">
        <f>P7-P8</f>
        <v>0</v>
      </c>
      <c r="Q9" s="31">
        <f>Q7-Q8</f>
        <v>0</v>
      </c>
      <c r="R9" s="31">
        <f>R7-R8</f>
        <v>0</v>
      </c>
      <c r="S9" s="31">
        <f>S7-S8</f>
        <v>0</v>
      </c>
      <c r="T9" s="31">
        <f>T7-T8</f>
        <v>0</v>
      </c>
      <c r="U9" s="31">
        <f>U7-U8</f>
        <v>0</v>
      </c>
      <c r="V9" s="31">
        <f>V7-V8</f>
        <v>0</v>
      </c>
      <c r="W9" s="31">
        <f>W7-W8</f>
        <v>0</v>
      </c>
      <c r="X9" s="31">
        <f>X7-X8</f>
        <v>0</v>
      </c>
      <c r="Y9" s="31">
        <f>Y7-Y8</f>
        <v>0</v>
      </c>
      <c r="Z9" s="31">
        <f>Z7-Z8</f>
        <v>0</v>
      </c>
      <c r="AA9" s="31">
        <f>AA7-AA8</f>
        <v>0</v>
      </c>
      <c r="AB9" s="31">
        <f>AB7-AB8</f>
        <v>0</v>
      </c>
      <c r="AC9" s="31">
        <f>AC7-AC8</f>
        <v>0</v>
      </c>
      <c r="AD9" s="31">
        <f>AD7-AD8</f>
        <v>0</v>
      </c>
      <c r="AE9" s="31">
        <f>AE7-AE8</f>
        <v>0</v>
      </c>
      <c r="AF9" s="31">
        <f>AF7-AF8</f>
        <v>0</v>
      </c>
      <c r="AG9" s="31">
        <f>AG7-AG8</f>
        <v>0</v>
      </c>
      <c r="AH9" s="31">
        <f>AH7-AH8</f>
        <v>0</v>
      </c>
      <c r="AI9" s="31">
        <f>AI7-AI8</f>
        <v>0</v>
      </c>
      <c r="AJ9" s="31">
        <f>AJ7-AJ8</f>
        <v>0</v>
      </c>
      <c r="AK9" s="31">
        <f>AK7-AK8</f>
        <v>0</v>
      </c>
      <c r="AL9" s="31">
        <f>AL7-AL8</f>
        <v>0</v>
      </c>
      <c r="AN9" s="31">
        <f>SUM(C9:E9)</f>
        <v>0</v>
      </c>
      <c r="AO9" s="31">
        <f>SUM(F9:H9)</f>
        <v>0</v>
      </c>
      <c r="AP9" s="31">
        <f>SUM(I9:K9)</f>
        <v>0</v>
      </c>
      <c r="AQ9" s="31">
        <f>SUM(L9:N9)</f>
        <v>0</v>
      </c>
      <c r="AR9" s="31">
        <f>SUM(O9:Q9)</f>
        <v>0</v>
      </c>
      <c r="AS9" s="31">
        <f>SUM(R9:T9)</f>
        <v>0</v>
      </c>
      <c r="AT9" s="31">
        <f>SUM(U9:W9)</f>
        <v>0</v>
      </c>
      <c r="AU9" s="31">
        <f>SUM(X9:Z9)</f>
        <v>0</v>
      </c>
      <c r="AV9" s="31">
        <f>SUM(AA9:AC9)</f>
        <v>0</v>
      </c>
      <c r="AW9" s="31">
        <f>SUM(AD9:AF9)</f>
        <v>0</v>
      </c>
      <c r="AX9" s="31">
        <f>SUM(AG9:AI9)</f>
        <v>0</v>
      </c>
      <c r="AY9" s="31">
        <f>SUM(AJ9:AL9)</f>
        <v>0</v>
      </c>
      <c r="BA9" s="31">
        <f>SUM(C9:N9)</f>
        <v>0</v>
      </c>
      <c r="BB9" s="31">
        <f>SUM(O9:Z9)</f>
        <v>0</v>
      </c>
      <c r="BC9" s="31">
        <f>SUM(AA9:AL9)</f>
        <v>0</v>
      </c>
    </row>
    <row r="10" spans="1:55">
      <c r="A10" s="18" t="s">
        <v>319</v>
      </c>
      <c r="B10" s="16"/>
      <c r="C10" s="25">
        <f>IFERROR(C9/C7,0)</f>
        <v>0</v>
      </c>
      <c r="D10" s="25">
        <f>IFERROR(D9/D7,0)</f>
        <v>0</v>
      </c>
      <c r="E10" s="25">
        <f>IFERROR(E9/E7,0)</f>
        <v>0</v>
      </c>
      <c r="F10" s="25">
        <f>IFERROR(F9/F7,0)</f>
        <v>0</v>
      </c>
      <c r="G10" s="25">
        <f>IFERROR(G9/G7,0)</f>
        <v>0</v>
      </c>
      <c r="H10" s="25">
        <f>IFERROR(H9/H7,0)</f>
        <v>0</v>
      </c>
      <c r="I10" s="25">
        <f>IFERROR(I9/I7,0)</f>
        <v>0</v>
      </c>
      <c r="J10" s="25">
        <f>IFERROR(J9/J7,0)</f>
        <v>0</v>
      </c>
      <c r="K10" s="25">
        <f>IFERROR(K9/K7,0)</f>
        <v>0</v>
      </c>
      <c r="L10" s="25">
        <f>IFERROR(L9/L7,0)</f>
        <v>0</v>
      </c>
      <c r="M10" s="25">
        <f>IFERROR(M9/M7,0)</f>
        <v>0</v>
      </c>
      <c r="N10" s="25">
        <f>IFERROR(N9/N7,0)</f>
        <v>0</v>
      </c>
      <c r="O10" s="25">
        <f>IFERROR(O9/O7,0)</f>
        <v>0</v>
      </c>
      <c r="P10" s="25">
        <f>IFERROR(P9/P7,0)</f>
        <v>0</v>
      </c>
      <c r="Q10" s="25">
        <f>IFERROR(Q9/Q7,0)</f>
        <v>0</v>
      </c>
      <c r="R10" s="25">
        <f>IFERROR(R9/R7,0)</f>
        <v>0</v>
      </c>
      <c r="S10" s="25">
        <f>IFERROR(S9/S7,0)</f>
        <v>0</v>
      </c>
      <c r="T10" s="25">
        <f>IFERROR(T9/T7,0)</f>
        <v>0</v>
      </c>
      <c r="U10" s="25">
        <f>IFERROR(U9/U7,0)</f>
        <v>0</v>
      </c>
      <c r="V10" s="25">
        <f>IFERROR(V9/V7,0)</f>
        <v>0</v>
      </c>
      <c r="W10" s="25">
        <f>IFERROR(W9/W7,0)</f>
        <v>0</v>
      </c>
      <c r="X10" s="25">
        <f>IFERROR(X9/X7,0)</f>
        <v>0</v>
      </c>
      <c r="Y10" s="25">
        <f>IFERROR(Y9/Y7,0)</f>
        <v>0</v>
      </c>
      <c r="Z10" s="25">
        <f>IFERROR(Z9/Z7,0)</f>
        <v>0</v>
      </c>
      <c r="AA10" s="25">
        <f>IFERROR(AA9/AA7,0)</f>
        <v>0</v>
      </c>
      <c r="AB10" s="25">
        <f>IFERROR(AB9/AB7,0)</f>
        <v>0</v>
      </c>
      <c r="AC10" s="25">
        <f>IFERROR(AC9/AC7,0)</f>
        <v>0</v>
      </c>
      <c r="AD10" s="25">
        <f>IFERROR(AD9/AD7,0)</f>
        <v>0</v>
      </c>
      <c r="AE10" s="25">
        <f>IFERROR(AE9/AE7,0)</f>
        <v>0</v>
      </c>
      <c r="AF10" s="25">
        <f>IFERROR(AF9/AF7,0)</f>
        <v>0</v>
      </c>
      <c r="AG10" s="25">
        <f>IFERROR(AG9/AG7,0)</f>
        <v>0</v>
      </c>
      <c r="AH10" s="25">
        <f>IFERROR(AH9/AH7,0)</f>
        <v>0</v>
      </c>
      <c r="AI10" s="25">
        <f>IFERROR(AI9/AI7,0)</f>
        <v>0</v>
      </c>
      <c r="AJ10" s="25">
        <f>IFERROR(AJ9/AJ7,0)</f>
        <v>0</v>
      </c>
      <c r="AK10" s="25">
        <f>IFERROR(AK9/AK7,0)</f>
        <v>0</v>
      </c>
      <c r="AL10" s="25">
        <f>IFERROR(AL9/AL7,0)</f>
        <v>0</v>
      </c>
      <c r="AN10" s="25">
        <f>AVERAGE(C10:E10)</f>
        <v>0</v>
      </c>
      <c r="AO10" s="25">
        <f>AVERAGE(F10:H10)</f>
        <v>0</v>
      </c>
      <c r="AP10" s="25">
        <f>AVERAGE(I10:K10)</f>
        <v>0</v>
      </c>
      <c r="AQ10" s="25">
        <f>AVERAGE(L10:N10)</f>
        <v>0</v>
      </c>
      <c r="AR10" s="25">
        <f>AVERAGE(O10:Q10)</f>
        <v>0</v>
      </c>
      <c r="AS10" s="25">
        <f>AVERAGE(R10:T10)</f>
        <v>0</v>
      </c>
      <c r="AT10" s="25">
        <f>AVERAGE(U10:W10)</f>
        <v>0</v>
      </c>
      <c r="AU10" s="25">
        <f>AVERAGE(X10:Z10)</f>
        <v>0</v>
      </c>
      <c r="AV10" s="25">
        <f>AVERAGE(AA10:AC10)</f>
        <v>0</v>
      </c>
      <c r="AW10" s="25">
        <f>AVERAGE(AD10:AF10)</f>
        <v>0</v>
      </c>
      <c r="AX10" s="25">
        <f>AVERAGE(AG10:AI10)</f>
        <v>0</v>
      </c>
      <c r="AY10" s="25">
        <f>AVERAGE(AJ10:AL10)</f>
        <v>0</v>
      </c>
      <c r="BA10" s="25">
        <f>AVERAGE(C10:N10)</f>
        <v>0</v>
      </c>
      <c r="BB10" s="25">
        <f>AVERAGE(O10:Z10)</f>
        <v>0</v>
      </c>
      <c r="BC10" s="25">
        <f>AVERAGE(AA10:AL10)</f>
        <v>0</v>
      </c>
    </row>
    <row r="11" spans="1:55" ht="5" customHeight="1"/>
    <row r="12" spans="1:55" ht="16" customHeight="1">
      <c r="A12" s="14" t="s">
        <v>387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</row>
    <row r="13" spans="1:55">
      <c r="A13" s="18" t="s">
        <v>388</v>
      </c>
      <c r="B13" s="16"/>
      <c r="C13" s="20">
        <f>'Opex'!$C$12</f>
        <v>0</v>
      </c>
      <c r="D13" s="20">
        <f>'Opex'!$D$12</f>
        <v>0</v>
      </c>
      <c r="E13" s="20">
        <f>'Opex'!$E$12</f>
        <v>0</v>
      </c>
      <c r="F13" s="20">
        <f>'Opex'!$F$12</f>
        <v>0</v>
      </c>
      <c r="G13" s="20">
        <f>'Opex'!$G$12</f>
        <v>0</v>
      </c>
      <c r="H13" s="20">
        <f>'Opex'!$H$12</f>
        <v>0</v>
      </c>
      <c r="I13" s="20">
        <f>'Opex'!$I$12</f>
        <v>0</v>
      </c>
      <c r="J13" s="20">
        <f>'Opex'!$J$12</f>
        <v>0</v>
      </c>
      <c r="K13" s="20">
        <f>'Opex'!$K$12</f>
        <v>0</v>
      </c>
      <c r="L13" s="20">
        <f>'Opex'!$L$12</f>
        <v>0</v>
      </c>
      <c r="M13" s="20">
        <f>'Opex'!$M$12</f>
        <v>0</v>
      </c>
      <c r="N13" s="20">
        <f>'Opex'!$N$12</f>
        <v>0</v>
      </c>
      <c r="O13" s="20">
        <f>'Opex'!$O$12</f>
        <v>0</v>
      </c>
      <c r="P13" s="20">
        <f>'Opex'!$P$12</f>
        <v>0</v>
      </c>
      <c r="Q13" s="20">
        <f>'Opex'!$Q$12</f>
        <v>0</v>
      </c>
      <c r="R13" s="20">
        <f>'Opex'!$R$12</f>
        <v>0</v>
      </c>
      <c r="S13" s="20">
        <f>'Opex'!$S$12</f>
        <v>0</v>
      </c>
      <c r="T13" s="20">
        <f>'Opex'!$T$12</f>
        <v>0</v>
      </c>
      <c r="U13" s="20">
        <f>'Opex'!$U$12</f>
        <v>0</v>
      </c>
      <c r="V13" s="20">
        <f>'Opex'!$V$12</f>
        <v>0</v>
      </c>
      <c r="W13" s="20">
        <f>'Opex'!$W$12</f>
        <v>0</v>
      </c>
      <c r="X13" s="20">
        <f>'Opex'!$X$12</f>
        <v>0</v>
      </c>
      <c r="Y13" s="20">
        <f>'Opex'!$Y$12</f>
        <v>0</v>
      </c>
      <c r="Z13" s="20">
        <f>'Opex'!$Z$12</f>
        <v>0</v>
      </c>
      <c r="AA13" s="20">
        <f>'Opex'!$AA$12</f>
        <v>0</v>
      </c>
      <c r="AB13" s="20">
        <f>'Opex'!$AB$12</f>
        <v>0</v>
      </c>
      <c r="AC13" s="20">
        <f>'Opex'!$AC$12</f>
        <v>0</v>
      </c>
      <c r="AD13" s="20">
        <f>'Opex'!$AD$12</f>
        <v>0</v>
      </c>
      <c r="AE13" s="20">
        <f>'Opex'!$AE$12</f>
        <v>0</v>
      </c>
      <c r="AF13" s="20">
        <f>'Opex'!$AF$12</f>
        <v>0</v>
      </c>
      <c r="AG13" s="20">
        <f>'Opex'!$AG$12</f>
        <v>0</v>
      </c>
      <c r="AH13" s="20">
        <f>'Opex'!$AH$12</f>
        <v>0</v>
      </c>
      <c r="AI13" s="20">
        <f>'Opex'!$AI$12</f>
        <v>0</v>
      </c>
      <c r="AJ13" s="20">
        <f>'Opex'!$AJ$12</f>
        <v>0</v>
      </c>
      <c r="AK13" s="20">
        <f>'Opex'!$AK$12</f>
        <v>0</v>
      </c>
      <c r="AL13" s="20">
        <f>'Opex'!$AL$12</f>
        <v>0</v>
      </c>
      <c r="AN13" s="20">
        <f>SUM(C13:E13)</f>
        <v>0</v>
      </c>
      <c r="AO13" s="20">
        <f>SUM(F13:H13)</f>
        <v>0</v>
      </c>
      <c r="AP13" s="20">
        <f>SUM(I13:K13)</f>
        <v>0</v>
      </c>
      <c r="AQ13" s="20">
        <f>SUM(L13:N13)</f>
        <v>0</v>
      </c>
      <c r="AR13" s="20">
        <f>SUM(O13:Q13)</f>
        <v>0</v>
      </c>
      <c r="AS13" s="20">
        <f>SUM(R13:T13)</f>
        <v>0</v>
      </c>
      <c r="AT13" s="20">
        <f>SUM(U13:W13)</f>
        <v>0</v>
      </c>
      <c r="AU13" s="20">
        <f>SUM(X13:Z13)</f>
        <v>0</v>
      </c>
      <c r="AV13" s="20">
        <f>SUM(AA13:AC13)</f>
        <v>0</v>
      </c>
      <c r="AW13" s="20">
        <f>SUM(AD13:AF13)</f>
        <v>0</v>
      </c>
      <c r="AX13" s="20">
        <f>SUM(AG13:AI13)</f>
        <v>0</v>
      </c>
      <c r="AY13" s="20">
        <f>SUM(AJ13:AL13)</f>
        <v>0</v>
      </c>
      <c r="BA13" s="20">
        <f>SUM(C13:N13)</f>
        <v>0</v>
      </c>
      <c r="BB13" s="20">
        <f>SUM(O13:Z13)</f>
        <v>0</v>
      </c>
      <c r="BC13" s="20">
        <f>SUM(AA13:AL13)</f>
        <v>0</v>
      </c>
    </row>
    <row r="14" spans="1:55">
      <c r="A14" s="18" t="s">
        <v>389</v>
      </c>
      <c r="B14" s="16"/>
      <c r="C14" s="20">
        <f>'Opex'!$C$16</f>
        <v>0</v>
      </c>
      <c r="D14" s="20">
        <f>'Opex'!$D$16</f>
        <v>0</v>
      </c>
      <c r="E14" s="20">
        <f>'Opex'!$E$16</f>
        <v>0</v>
      </c>
      <c r="F14" s="20">
        <f>'Opex'!$F$16</f>
        <v>0</v>
      </c>
      <c r="G14" s="20">
        <f>'Opex'!$G$16</f>
        <v>0</v>
      </c>
      <c r="H14" s="20">
        <f>'Opex'!$H$16</f>
        <v>0</v>
      </c>
      <c r="I14" s="20">
        <f>'Opex'!$I$16</f>
        <v>0</v>
      </c>
      <c r="J14" s="20">
        <f>'Opex'!$J$16</f>
        <v>0</v>
      </c>
      <c r="K14" s="20">
        <f>'Opex'!$K$16</f>
        <v>0</v>
      </c>
      <c r="L14" s="20">
        <f>'Opex'!$L$16</f>
        <v>0</v>
      </c>
      <c r="M14" s="20">
        <f>'Opex'!$M$16</f>
        <v>0</v>
      </c>
      <c r="N14" s="20">
        <f>'Opex'!$N$16</f>
        <v>0</v>
      </c>
      <c r="O14" s="20">
        <f>'Opex'!$O$16</f>
        <v>0</v>
      </c>
      <c r="P14" s="20">
        <f>'Opex'!$P$16</f>
        <v>0</v>
      </c>
      <c r="Q14" s="20">
        <f>'Opex'!$Q$16</f>
        <v>0</v>
      </c>
      <c r="R14" s="20">
        <f>'Opex'!$R$16</f>
        <v>0</v>
      </c>
      <c r="S14" s="20">
        <f>'Opex'!$S$16</f>
        <v>0</v>
      </c>
      <c r="T14" s="20">
        <f>'Opex'!$T$16</f>
        <v>0</v>
      </c>
      <c r="U14" s="20">
        <f>'Opex'!$U$16</f>
        <v>0</v>
      </c>
      <c r="V14" s="20">
        <f>'Opex'!$V$16</f>
        <v>0</v>
      </c>
      <c r="W14" s="20">
        <f>'Opex'!$W$16</f>
        <v>0</v>
      </c>
      <c r="X14" s="20">
        <f>'Opex'!$X$16</f>
        <v>0</v>
      </c>
      <c r="Y14" s="20">
        <f>'Opex'!$Y$16</f>
        <v>0</v>
      </c>
      <c r="Z14" s="20">
        <f>'Opex'!$Z$16</f>
        <v>0</v>
      </c>
      <c r="AA14" s="20">
        <f>'Opex'!$AA$16</f>
        <v>0</v>
      </c>
      <c r="AB14" s="20">
        <f>'Opex'!$AB$16</f>
        <v>0</v>
      </c>
      <c r="AC14" s="20">
        <f>'Opex'!$AC$16</f>
        <v>0</v>
      </c>
      <c r="AD14" s="20">
        <f>'Opex'!$AD$16</f>
        <v>0</v>
      </c>
      <c r="AE14" s="20">
        <f>'Opex'!$AE$16</f>
        <v>0</v>
      </c>
      <c r="AF14" s="20">
        <f>'Opex'!$AF$16</f>
        <v>0</v>
      </c>
      <c r="AG14" s="20">
        <f>'Opex'!$AG$16</f>
        <v>0</v>
      </c>
      <c r="AH14" s="20">
        <f>'Opex'!$AH$16</f>
        <v>0</v>
      </c>
      <c r="AI14" s="20">
        <f>'Opex'!$AI$16</f>
        <v>0</v>
      </c>
      <c r="AJ14" s="20">
        <f>'Opex'!$AJ$16</f>
        <v>0</v>
      </c>
      <c r="AK14" s="20">
        <f>'Opex'!$AK$16</f>
        <v>0</v>
      </c>
      <c r="AL14" s="20">
        <f>'Opex'!$AL$16</f>
        <v>0</v>
      </c>
      <c r="AN14" s="20">
        <f>SUM(C14:E14)</f>
        <v>0</v>
      </c>
      <c r="AO14" s="20">
        <f>SUM(F14:H14)</f>
        <v>0</v>
      </c>
      <c r="AP14" s="20">
        <f>SUM(I14:K14)</f>
        <v>0</v>
      </c>
      <c r="AQ14" s="20">
        <f>SUM(L14:N14)</f>
        <v>0</v>
      </c>
      <c r="AR14" s="20">
        <f>SUM(O14:Q14)</f>
        <v>0</v>
      </c>
      <c r="AS14" s="20">
        <f>SUM(R14:T14)</f>
        <v>0</v>
      </c>
      <c r="AT14" s="20">
        <f>SUM(U14:W14)</f>
        <v>0</v>
      </c>
      <c r="AU14" s="20">
        <f>SUM(X14:Z14)</f>
        <v>0</v>
      </c>
      <c r="AV14" s="20">
        <f>SUM(AA14:AC14)</f>
        <v>0</v>
      </c>
      <c r="AW14" s="20">
        <f>SUM(AD14:AF14)</f>
        <v>0</v>
      </c>
      <c r="AX14" s="20">
        <f>SUM(AG14:AI14)</f>
        <v>0</v>
      </c>
      <c r="AY14" s="20">
        <f>SUM(AJ14:AL14)</f>
        <v>0</v>
      </c>
      <c r="BA14" s="20">
        <f>SUM(C14:N14)</f>
        <v>0</v>
      </c>
      <c r="BB14" s="20">
        <f>SUM(O14:Z14)</f>
        <v>0</v>
      </c>
      <c r="BC14" s="20">
        <f>SUM(AA14:AL14)</f>
        <v>0</v>
      </c>
    </row>
    <row r="15" spans="1:55">
      <c r="A15" s="18" t="s">
        <v>390</v>
      </c>
      <c r="B15" s="16"/>
      <c r="C15" s="20">
        <f>'Opex'!$C$22</f>
        <v>0</v>
      </c>
      <c r="D15" s="20">
        <f>'Opex'!$D$22</f>
        <v>0</v>
      </c>
      <c r="E15" s="20">
        <f>'Opex'!$E$22</f>
        <v>0</v>
      </c>
      <c r="F15" s="20">
        <f>'Opex'!$F$22</f>
        <v>0</v>
      </c>
      <c r="G15" s="20">
        <f>'Opex'!$G$22</f>
        <v>0</v>
      </c>
      <c r="H15" s="20">
        <f>'Opex'!$H$22</f>
        <v>0</v>
      </c>
      <c r="I15" s="20">
        <f>'Opex'!$I$22</f>
        <v>0</v>
      </c>
      <c r="J15" s="20">
        <f>'Opex'!$J$22</f>
        <v>0</v>
      </c>
      <c r="K15" s="20">
        <f>'Opex'!$K$22</f>
        <v>0</v>
      </c>
      <c r="L15" s="20">
        <f>'Opex'!$L$22</f>
        <v>0</v>
      </c>
      <c r="M15" s="20">
        <f>'Opex'!$M$22</f>
        <v>0</v>
      </c>
      <c r="N15" s="20">
        <f>'Opex'!$N$22</f>
        <v>0</v>
      </c>
      <c r="O15" s="20">
        <f>'Opex'!$O$22</f>
        <v>0</v>
      </c>
      <c r="P15" s="20">
        <f>'Opex'!$P$22</f>
        <v>0</v>
      </c>
      <c r="Q15" s="20">
        <f>'Opex'!$Q$22</f>
        <v>0</v>
      </c>
      <c r="R15" s="20">
        <f>'Opex'!$R$22</f>
        <v>0</v>
      </c>
      <c r="S15" s="20">
        <f>'Opex'!$S$22</f>
        <v>0</v>
      </c>
      <c r="T15" s="20">
        <f>'Opex'!$T$22</f>
        <v>0</v>
      </c>
      <c r="U15" s="20">
        <f>'Opex'!$U$22</f>
        <v>0</v>
      </c>
      <c r="V15" s="20">
        <f>'Opex'!$V$22</f>
        <v>0</v>
      </c>
      <c r="W15" s="20">
        <f>'Opex'!$W$22</f>
        <v>0</v>
      </c>
      <c r="X15" s="20">
        <f>'Opex'!$X$22</f>
        <v>0</v>
      </c>
      <c r="Y15" s="20">
        <f>'Opex'!$Y$22</f>
        <v>0</v>
      </c>
      <c r="Z15" s="20">
        <f>'Opex'!$Z$22</f>
        <v>0</v>
      </c>
      <c r="AA15" s="20">
        <f>'Opex'!$AA$22</f>
        <v>0</v>
      </c>
      <c r="AB15" s="20">
        <f>'Opex'!$AB$22</f>
        <v>0</v>
      </c>
      <c r="AC15" s="20">
        <f>'Opex'!$AC$22</f>
        <v>0</v>
      </c>
      <c r="AD15" s="20">
        <f>'Opex'!$AD$22</f>
        <v>0</v>
      </c>
      <c r="AE15" s="20">
        <f>'Opex'!$AE$22</f>
        <v>0</v>
      </c>
      <c r="AF15" s="20">
        <f>'Opex'!$AF$22</f>
        <v>0</v>
      </c>
      <c r="AG15" s="20">
        <f>'Opex'!$AG$22</f>
        <v>0</v>
      </c>
      <c r="AH15" s="20">
        <f>'Opex'!$AH$22</f>
        <v>0</v>
      </c>
      <c r="AI15" s="20">
        <f>'Opex'!$AI$22</f>
        <v>0</v>
      </c>
      <c r="AJ15" s="20">
        <f>'Opex'!$AJ$22</f>
        <v>0</v>
      </c>
      <c r="AK15" s="20">
        <f>'Opex'!$AK$22</f>
        <v>0</v>
      </c>
      <c r="AL15" s="20">
        <f>'Opex'!$AL$22</f>
        <v>0</v>
      </c>
      <c r="AN15" s="20">
        <f>SUM(C15:E15)</f>
        <v>0</v>
      </c>
      <c r="AO15" s="20">
        <f>SUM(F15:H15)</f>
        <v>0</v>
      </c>
      <c r="AP15" s="20">
        <f>SUM(I15:K15)</f>
        <v>0</v>
      </c>
      <c r="AQ15" s="20">
        <f>SUM(L15:N15)</f>
        <v>0</v>
      </c>
      <c r="AR15" s="20">
        <f>SUM(O15:Q15)</f>
        <v>0</v>
      </c>
      <c r="AS15" s="20">
        <f>SUM(R15:T15)</f>
        <v>0</v>
      </c>
      <c r="AT15" s="20">
        <f>SUM(U15:W15)</f>
        <v>0</v>
      </c>
      <c r="AU15" s="20">
        <f>SUM(X15:Z15)</f>
        <v>0</v>
      </c>
      <c r="AV15" s="20">
        <f>SUM(AA15:AC15)</f>
        <v>0</v>
      </c>
      <c r="AW15" s="20">
        <f>SUM(AD15:AF15)</f>
        <v>0</v>
      </c>
      <c r="AX15" s="20">
        <f>SUM(AG15:AI15)</f>
        <v>0</v>
      </c>
      <c r="AY15" s="20">
        <f>SUM(AJ15:AL15)</f>
        <v>0</v>
      </c>
      <c r="BA15" s="20">
        <f>SUM(C15:N15)</f>
        <v>0</v>
      </c>
      <c r="BB15" s="20">
        <f>SUM(O15:Z15)</f>
        <v>0</v>
      </c>
      <c r="BC15" s="20">
        <f>SUM(AA15:AL15)</f>
        <v>0</v>
      </c>
    </row>
    <row r="16" spans="1:55">
      <c r="A16" s="30" t="s">
        <v>391</v>
      </c>
      <c r="B16" s="16"/>
      <c r="C16" s="31">
        <f>C13+C14+C15</f>
        <v>0</v>
      </c>
      <c r="D16" s="31">
        <f>D13+D14+D15</f>
        <v>0</v>
      </c>
      <c r="E16" s="31">
        <f>E13+E14+E15</f>
        <v>0</v>
      </c>
      <c r="F16" s="31">
        <f>F13+F14+F15</f>
        <v>0</v>
      </c>
      <c r="G16" s="31">
        <f>G13+G14+G15</f>
        <v>0</v>
      </c>
      <c r="H16" s="31">
        <f>H13+H14+H15</f>
        <v>0</v>
      </c>
      <c r="I16" s="31">
        <f>I13+I14+I15</f>
        <v>0</v>
      </c>
      <c r="J16" s="31">
        <f>J13+J14+J15</f>
        <v>0</v>
      </c>
      <c r="K16" s="31">
        <f>K13+K14+K15</f>
        <v>0</v>
      </c>
      <c r="L16" s="31">
        <f>L13+L14+L15</f>
        <v>0</v>
      </c>
      <c r="M16" s="31">
        <f>M13+M14+M15</f>
        <v>0</v>
      </c>
      <c r="N16" s="31">
        <f>N13+N14+N15</f>
        <v>0</v>
      </c>
      <c r="O16" s="31">
        <f>O13+O14+O15</f>
        <v>0</v>
      </c>
      <c r="P16" s="31">
        <f>P13+P14+P15</f>
        <v>0</v>
      </c>
      <c r="Q16" s="31">
        <f>Q13+Q14+Q15</f>
        <v>0</v>
      </c>
      <c r="R16" s="31">
        <f>R13+R14+R15</f>
        <v>0</v>
      </c>
      <c r="S16" s="31">
        <f>S13+S14+S15</f>
        <v>0</v>
      </c>
      <c r="T16" s="31">
        <f>T13+T14+T15</f>
        <v>0</v>
      </c>
      <c r="U16" s="31">
        <f>U13+U14+U15</f>
        <v>0</v>
      </c>
      <c r="V16" s="31">
        <f>V13+V14+V15</f>
        <v>0</v>
      </c>
      <c r="W16" s="31">
        <f>W13+W14+W15</f>
        <v>0</v>
      </c>
      <c r="X16" s="31">
        <f>X13+X14+X15</f>
        <v>0</v>
      </c>
      <c r="Y16" s="31">
        <f>Y13+Y14+Y15</f>
        <v>0</v>
      </c>
      <c r="Z16" s="31">
        <f>Z13+Z14+Z15</f>
        <v>0</v>
      </c>
      <c r="AA16" s="31">
        <f>AA13+AA14+AA15</f>
        <v>0</v>
      </c>
      <c r="AB16" s="31">
        <f>AB13+AB14+AB15</f>
        <v>0</v>
      </c>
      <c r="AC16" s="31">
        <f>AC13+AC14+AC15</f>
        <v>0</v>
      </c>
      <c r="AD16" s="31">
        <f>AD13+AD14+AD15</f>
        <v>0</v>
      </c>
      <c r="AE16" s="31">
        <f>AE13+AE14+AE15</f>
        <v>0</v>
      </c>
      <c r="AF16" s="31">
        <f>AF13+AF14+AF15</f>
        <v>0</v>
      </c>
      <c r="AG16" s="31">
        <f>AG13+AG14+AG15</f>
        <v>0</v>
      </c>
      <c r="AH16" s="31">
        <f>AH13+AH14+AH15</f>
        <v>0</v>
      </c>
      <c r="AI16" s="31">
        <f>AI13+AI14+AI15</f>
        <v>0</v>
      </c>
      <c r="AJ16" s="31">
        <f>AJ13+AJ14+AJ15</f>
        <v>0</v>
      </c>
      <c r="AK16" s="31">
        <f>AK13+AK14+AK15</f>
        <v>0</v>
      </c>
      <c r="AL16" s="31">
        <f>AL13+AL14+AL15</f>
        <v>0</v>
      </c>
      <c r="AN16" s="31">
        <f>SUM(C16:E16)</f>
        <v>0</v>
      </c>
      <c r="AO16" s="31">
        <f>SUM(F16:H16)</f>
        <v>0</v>
      </c>
      <c r="AP16" s="31">
        <f>SUM(I16:K16)</f>
        <v>0</v>
      </c>
      <c r="AQ16" s="31">
        <f>SUM(L16:N16)</f>
        <v>0</v>
      </c>
      <c r="AR16" s="31">
        <f>SUM(O16:Q16)</f>
        <v>0</v>
      </c>
      <c r="AS16" s="31">
        <f>SUM(R16:T16)</f>
        <v>0</v>
      </c>
      <c r="AT16" s="31">
        <f>SUM(U16:W16)</f>
        <v>0</v>
      </c>
      <c r="AU16" s="31">
        <f>SUM(X16:Z16)</f>
        <v>0</v>
      </c>
      <c r="AV16" s="31">
        <f>SUM(AA16:AC16)</f>
        <v>0</v>
      </c>
      <c r="AW16" s="31">
        <f>SUM(AD16:AF16)</f>
        <v>0</v>
      </c>
      <c r="AX16" s="31">
        <f>SUM(AG16:AI16)</f>
        <v>0</v>
      </c>
      <c r="AY16" s="31">
        <f>SUM(AJ16:AL16)</f>
        <v>0</v>
      </c>
      <c r="BA16" s="31">
        <f>SUM(C16:N16)</f>
        <v>0</v>
      </c>
      <c r="BB16" s="31">
        <f>SUM(O16:Z16)</f>
        <v>0</v>
      </c>
      <c r="BC16" s="31">
        <f>SUM(AA16:AL16)</f>
        <v>0</v>
      </c>
    </row>
    <row r="17" spans="1:55" ht="5" customHeight="1"/>
    <row r="18" spans="1:55">
      <c r="A18" s="30" t="s">
        <v>392</v>
      </c>
      <c r="B18" s="16"/>
      <c r="C18" s="31">
        <f>C9-C16</f>
        <v>0</v>
      </c>
      <c r="D18" s="31">
        <f>D9-D16</f>
        <v>0</v>
      </c>
      <c r="E18" s="31">
        <f>E9-E16</f>
        <v>0</v>
      </c>
      <c r="F18" s="31">
        <f>F9-F16</f>
        <v>0</v>
      </c>
      <c r="G18" s="31">
        <f>G9-G16</f>
        <v>0</v>
      </c>
      <c r="H18" s="31">
        <f>H9-H16</f>
        <v>0</v>
      </c>
      <c r="I18" s="31">
        <f>I9-I16</f>
        <v>0</v>
      </c>
      <c r="J18" s="31">
        <f>J9-J16</f>
        <v>0</v>
      </c>
      <c r="K18" s="31">
        <f>K9-K16</f>
        <v>0</v>
      </c>
      <c r="L18" s="31">
        <f>L9-L16</f>
        <v>0</v>
      </c>
      <c r="M18" s="31">
        <f>M9-M16</f>
        <v>0</v>
      </c>
      <c r="N18" s="31">
        <f>N9-N16</f>
        <v>0</v>
      </c>
      <c r="O18" s="31">
        <f>O9-O16</f>
        <v>0</v>
      </c>
      <c r="P18" s="31">
        <f>P9-P16</f>
        <v>0</v>
      </c>
      <c r="Q18" s="31">
        <f>Q9-Q16</f>
        <v>0</v>
      </c>
      <c r="R18" s="31">
        <f>R9-R16</f>
        <v>0</v>
      </c>
      <c r="S18" s="31">
        <f>S9-S16</f>
        <v>0</v>
      </c>
      <c r="T18" s="31">
        <f>T9-T16</f>
        <v>0</v>
      </c>
      <c r="U18" s="31">
        <f>U9-U16</f>
        <v>0</v>
      </c>
      <c r="V18" s="31">
        <f>V9-V16</f>
        <v>0</v>
      </c>
      <c r="W18" s="31">
        <f>W9-W16</f>
        <v>0</v>
      </c>
      <c r="X18" s="31">
        <f>X9-X16</f>
        <v>0</v>
      </c>
      <c r="Y18" s="31">
        <f>Y9-Y16</f>
        <v>0</v>
      </c>
      <c r="Z18" s="31">
        <f>Z9-Z16</f>
        <v>0</v>
      </c>
      <c r="AA18" s="31">
        <f>AA9-AA16</f>
        <v>0</v>
      </c>
      <c r="AB18" s="31">
        <f>AB9-AB16</f>
        <v>0</v>
      </c>
      <c r="AC18" s="31">
        <f>AC9-AC16</f>
        <v>0</v>
      </c>
      <c r="AD18" s="31">
        <f>AD9-AD16</f>
        <v>0</v>
      </c>
      <c r="AE18" s="31">
        <f>AE9-AE16</f>
        <v>0</v>
      </c>
      <c r="AF18" s="31">
        <f>AF9-AF16</f>
        <v>0</v>
      </c>
      <c r="AG18" s="31">
        <f>AG9-AG16</f>
        <v>0</v>
      </c>
      <c r="AH18" s="31">
        <f>AH9-AH16</f>
        <v>0</v>
      </c>
      <c r="AI18" s="31">
        <f>AI9-AI16</f>
        <v>0</v>
      </c>
      <c r="AJ18" s="31">
        <f>AJ9-AJ16</f>
        <v>0</v>
      </c>
      <c r="AK18" s="31">
        <f>AK9-AK16</f>
        <v>0</v>
      </c>
      <c r="AL18" s="31">
        <f>AL9-AL16</f>
        <v>0</v>
      </c>
      <c r="AN18" s="31">
        <f>SUM(C18:E18)</f>
        <v>0</v>
      </c>
      <c r="AO18" s="31">
        <f>SUM(F18:H18)</f>
        <v>0</v>
      </c>
      <c r="AP18" s="31">
        <f>SUM(I18:K18)</f>
        <v>0</v>
      </c>
      <c r="AQ18" s="31">
        <f>SUM(L18:N18)</f>
        <v>0</v>
      </c>
      <c r="AR18" s="31">
        <f>SUM(O18:Q18)</f>
        <v>0</v>
      </c>
      <c r="AS18" s="31">
        <f>SUM(R18:T18)</f>
        <v>0</v>
      </c>
      <c r="AT18" s="31">
        <f>SUM(U18:W18)</f>
        <v>0</v>
      </c>
      <c r="AU18" s="31">
        <f>SUM(X18:Z18)</f>
        <v>0</v>
      </c>
      <c r="AV18" s="31">
        <f>SUM(AA18:AC18)</f>
        <v>0</v>
      </c>
      <c r="AW18" s="31">
        <f>SUM(AD18:AF18)</f>
        <v>0</v>
      </c>
      <c r="AX18" s="31">
        <f>SUM(AG18:AI18)</f>
        <v>0</v>
      </c>
      <c r="AY18" s="31">
        <f>SUM(AJ18:AL18)</f>
        <v>0</v>
      </c>
      <c r="BA18" s="31">
        <f>SUM(C18:N18)</f>
        <v>0</v>
      </c>
      <c r="BB18" s="31">
        <f>SUM(O18:Z18)</f>
        <v>0</v>
      </c>
      <c r="BC18" s="31">
        <f>SUM(AA18:AL18)</f>
        <v>0</v>
      </c>
    </row>
    <row r="19" spans="1:55">
      <c r="A19" s="18" t="s">
        <v>393</v>
      </c>
      <c r="B19" s="16"/>
      <c r="C19" s="20">
        <f>'Working Capital'!$C$19</f>
        <v>0</v>
      </c>
      <c r="D19" s="20">
        <f>'Working Capital'!$D$19</f>
        <v>0</v>
      </c>
      <c r="E19" s="20">
        <f>'Working Capital'!$E$19</f>
        <v>0</v>
      </c>
      <c r="F19" s="20">
        <f>'Working Capital'!$F$19</f>
        <v>0</v>
      </c>
      <c r="G19" s="20">
        <f>'Working Capital'!$G$19</f>
        <v>0</v>
      </c>
      <c r="H19" s="20">
        <f>'Working Capital'!$H$19</f>
        <v>0</v>
      </c>
      <c r="I19" s="20">
        <f>'Working Capital'!$I$19</f>
        <v>0</v>
      </c>
      <c r="J19" s="20">
        <f>'Working Capital'!$J$19</f>
        <v>0</v>
      </c>
      <c r="K19" s="20">
        <f>'Working Capital'!$K$19</f>
        <v>0</v>
      </c>
      <c r="L19" s="20">
        <f>'Working Capital'!$L$19</f>
        <v>0</v>
      </c>
      <c r="M19" s="20">
        <f>'Working Capital'!$M$19</f>
        <v>0</v>
      </c>
      <c r="N19" s="20">
        <f>'Working Capital'!$N$19</f>
        <v>0</v>
      </c>
      <c r="O19" s="20">
        <f>'Working Capital'!$O$19</f>
        <v>0</v>
      </c>
      <c r="P19" s="20">
        <f>'Working Capital'!$P$19</f>
        <v>0</v>
      </c>
      <c r="Q19" s="20">
        <f>'Working Capital'!$Q$19</f>
        <v>0</v>
      </c>
      <c r="R19" s="20">
        <f>'Working Capital'!$R$19</f>
        <v>0</v>
      </c>
      <c r="S19" s="20">
        <f>'Working Capital'!$S$19</f>
        <v>0</v>
      </c>
      <c r="T19" s="20">
        <f>'Working Capital'!$T$19</f>
        <v>0</v>
      </c>
      <c r="U19" s="20">
        <f>'Working Capital'!$U$19</f>
        <v>0</v>
      </c>
      <c r="V19" s="20">
        <f>'Working Capital'!$V$19</f>
        <v>0</v>
      </c>
      <c r="W19" s="20">
        <f>'Working Capital'!$W$19</f>
        <v>0</v>
      </c>
      <c r="X19" s="20">
        <f>'Working Capital'!$X$19</f>
        <v>0</v>
      </c>
      <c r="Y19" s="20">
        <f>'Working Capital'!$Y$19</f>
        <v>0</v>
      </c>
      <c r="Z19" s="20">
        <f>'Working Capital'!$Z$19</f>
        <v>0</v>
      </c>
      <c r="AA19" s="20">
        <f>'Working Capital'!$AA$19</f>
        <v>0</v>
      </c>
      <c r="AB19" s="20">
        <f>'Working Capital'!$AB$19</f>
        <v>0</v>
      </c>
      <c r="AC19" s="20">
        <f>'Working Capital'!$AC$19</f>
        <v>0</v>
      </c>
      <c r="AD19" s="20">
        <f>'Working Capital'!$AD$19</f>
        <v>0</v>
      </c>
      <c r="AE19" s="20">
        <f>'Working Capital'!$AE$19</f>
        <v>0</v>
      </c>
      <c r="AF19" s="20">
        <f>'Working Capital'!$AF$19</f>
        <v>0</v>
      </c>
      <c r="AG19" s="20">
        <f>'Working Capital'!$AG$19</f>
        <v>0</v>
      </c>
      <c r="AH19" s="20">
        <f>'Working Capital'!$AH$19</f>
        <v>0</v>
      </c>
      <c r="AI19" s="20">
        <f>'Working Capital'!$AI$19</f>
        <v>0</v>
      </c>
      <c r="AJ19" s="20">
        <f>'Working Capital'!$AJ$19</f>
        <v>0</v>
      </c>
      <c r="AK19" s="20">
        <f>'Working Capital'!$AK$19</f>
        <v>0</v>
      </c>
      <c r="AL19" s="20">
        <f>'Working Capital'!$AL$19</f>
        <v>0</v>
      </c>
      <c r="AN19" s="20">
        <f>SUM(C19:E19)</f>
        <v>0</v>
      </c>
      <c r="AO19" s="20">
        <f>SUM(F19:H19)</f>
        <v>0</v>
      </c>
      <c r="AP19" s="20">
        <f>SUM(I19:K19)</f>
        <v>0</v>
      </c>
      <c r="AQ19" s="20">
        <f>SUM(L19:N19)</f>
        <v>0</v>
      </c>
      <c r="AR19" s="20">
        <f>SUM(O19:Q19)</f>
        <v>0</v>
      </c>
      <c r="AS19" s="20">
        <f>SUM(R19:T19)</f>
        <v>0</v>
      </c>
      <c r="AT19" s="20">
        <f>SUM(U19:W19)</f>
        <v>0</v>
      </c>
      <c r="AU19" s="20">
        <f>SUM(X19:Z19)</f>
        <v>0</v>
      </c>
      <c r="AV19" s="20">
        <f>SUM(AA19:AC19)</f>
        <v>0</v>
      </c>
      <c r="AW19" s="20">
        <f>SUM(AD19:AF19)</f>
        <v>0</v>
      </c>
      <c r="AX19" s="20">
        <f>SUM(AG19:AI19)</f>
        <v>0</v>
      </c>
      <c r="AY19" s="20">
        <f>SUM(AJ19:AL19)</f>
        <v>0</v>
      </c>
      <c r="BA19" s="20">
        <f>SUM(C19:N19)</f>
        <v>0</v>
      </c>
      <c r="BB19" s="20">
        <f>SUM(O19:Z19)</f>
        <v>0</v>
      </c>
      <c r="BC19" s="20">
        <f>SUM(AA19:AL19)</f>
        <v>0</v>
      </c>
    </row>
    <row r="20" spans="1:55">
      <c r="A20" s="30" t="s">
        <v>394</v>
      </c>
      <c r="B20" s="16"/>
      <c r="C20" s="31">
        <f>C18-C19</f>
        <v>0</v>
      </c>
      <c r="D20" s="31">
        <f>D18-D19</f>
        <v>0</v>
      </c>
      <c r="E20" s="31">
        <f>E18-E19</f>
        <v>0</v>
      </c>
      <c r="F20" s="31">
        <f>F18-F19</f>
        <v>0</v>
      </c>
      <c r="G20" s="31">
        <f>G18-G19</f>
        <v>0</v>
      </c>
      <c r="H20" s="31">
        <f>H18-H19</f>
        <v>0</v>
      </c>
      <c r="I20" s="31">
        <f>I18-I19</f>
        <v>0</v>
      </c>
      <c r="J20" s="31">
        <f>J18-J19</f>
        <v>0</v>
      </c>
      <c r="K20" s="31">
        <f>K18-K19</f>
        <v>0</v>
      </c>
      <c r="L20" s="31">
        <f>L18-L19</f>
        <v>0</v>
      </c>
      <c r="M20" s="31">
        <f>M18-M19</f>
        <v>0</v>
      </c>
      <c r="N20" s="31">
        <f>N18-N19</f>
        <v>0</v>
      </c>
      <c r="O20" s="31">
        <f>O18-O19</f>
        <v>0</v>
      </c>
      <c r="P20" s="31">
        <f>P18-P19</f>
        <v>0</v>
      </c>
      <c r="Q20" s="31">
        <f>Q18-Q19</f>
        <v>0</v>
      </c>
      <c r="R20" s="31">
        <f>R18-R19</f>
        <v>0</v>
      </c>
      <c r="S20" s="31">
        <f>S18-S19</f>
        <v>0</v>
      </c>
      <c r="T20" s="31">
        <f>T18-T19</f>
        <v>0</v>
      </c>
      <c r="U20" s="31">
        <f>U18-U19</f>
        <v>0</v>
      </c>
      <c r="V20" s="31">
        <f>V18-V19</f>
        <v>0</v>
      </c>
      <c r="W20" s="31">
        <f>W18-W19</f>
        <v>0</v>
      </c>
      <c r="X20" s="31">
        <f>X18-X19</f>
        <v>0</v>
      </c>
      <c r="Y20" s="31">
        <f>Y18-Y19</f>
        <v>0</v>
      </c>
      <c r="Z20" s="31">
        <f>Z18-Z19</f>
        <v>0</v>
      </c>
      <c r="AA20" s="31">
        <f>AA18-AA19</f>
        <v>0</v>
      </c>
      <c r="AB20" s="31">
        <f>AB18-AB19</f>
        <v>0</v>
      </c>
      <c r="AC20" s="31">
        <f>AC18-AC19</f>
        <v>0</v>
      </c>
      <c r="AD20" s="31">
        <f>AD18-AD19</f>
        <v>0</v>
      </c>
      <c r="AE20" s="31">
        <f>AE18-AE19</f>
        <v>0</v>
      </c>
      <c r="AF20" s="31">
        <f>AF18-AF19</f>
        <v>0</v>
      </c>
      <c r="AG20" s="31">
        <f>AG18-AG19</f>
        <v>0</v>
      </c>
      <c r="AH20" s="31">
        <f>AH18-AH19</f>
        <v>0</v>
      </c>
      <c r="AI20" s="31">
        <f>AI18-AI19</f>
        <v>0</v>
      </c>
      <c r="AJ20" s="31">
        <f>AJ18-AJ19</f>
        <v>0</v>
      </c>
      <c r="AK20" s="31">
        <f>AK18-AK19</f>
        <v>0</v>
      </c>
      <c r="AL20" s="31">
        <f>AL18-AL19</f>
        <v>0</v>
      </c>
      <c r="AN20" s="31">
        <f>SUM(C20:E20)</f>
        <v>0</v>
      </c>
      <c r="AO20" s="31">
        <f>SUM(F20:H20)</f>
        <v>0</v>
      </c>
      <c r="AP20" s="31">
        <f>SUM(I20:K20)</f>
        <v>0</v>
      </c>
      <c r="AQ20" s="31">
        <f>SUM(L20:N20)</f>
        <v>0</v>
      </c>
      <c r="AR20" s="31">
        <f>SUM(O20:Q20)</f>
        <v>0</v>
      </c>
      <c r="AS20" s="31">
        <f>SUM(R20:T20)</f>
        <v>0</v>
      </c>
      <c r="AT20" s="31">
        <f>SUM(U20:W20)</f>
        <v>0</v>
      </c>
      <c r="AU20" s="31">
        <f>SUM(X20:Z20)</f>
        <v>0</v>
      </c>
      <c r="AV20" s="31">
        <f>SUM(AA20:AC20)</f>
        <v>0</v>
      </c>
      <c r="AW20" s="31">
        <f>SUM(AD20:AF20)</f>
        <v>0</v>
      </c>
      <c r="AX20" s="31">
        <f>SUM(AG20:AI20)</f>
        <v>0</v>
      </c>
      <c r="AY20" s="31">
        <f>SUM(AJ20:AL20)</f>
        <v>0</v>
      </c>
      <c r="BA20" s="31">
        <f>SUM(C20:N20)</f>
        <v>0</v>
      </c>
      <c r="BB20" s="31">
        <f>SUM(O20:Z20)</f>
        <v>0</v>
      </c>
      <c r="BC20" s="31">
        <f>SUM(AA20:AL20)</f>
        <v>0</v>
      </c>
    </row>
    <row r="21" spans="1:55">
      <c r="A21" s="18" t="s">
        <v>395</v>
      </c>
      <c r="B21" s="16"/>
      <c r="C21" s="20">
        <f>'Working Capital'!$C$26</f>
        <v>0</v>
      </c>
      <c r="D21" s="20">
        <f>'Working Capital'!$D$26</f>
        <v>0</v>
      </c>
      <c r="E21" s="20">
        <f>'Working Capital'!$E$26</f>
        <v>0</v>
      </c>
      <c r="F21" s="20">
        <f>'Working Capital'!$F$26</f>
        <v>0</v>
      </c>
      <c r="G21" s="20">
        <f>'Working Capital'!$G$26</f>
        <v>0</v>
      </c>
      <c r="H21" s="20">
        <f>'Working Capital'!$H$26</f>
        <v>0</v>
      </c>
      <c r="I21" s="20">
        <f>'Working Capital'!$I$26</f>
        <v>0</v>
      </c>
      <c r="J21" s="20">
        <f>'Working Capital'!$J$26</f>
        <v>0</v>
      </c>
      <c r="K21" s="20">
        <f>'Working Capital'!$K$26</f>
        <v>0</v>
      </c>
      <c r="L21" s="20">
        <f>'Working Capital'!$L$26</f>
        <v>0</v>
      </c>
      <c r="M21" s="20">
        <f>'Working Capital'!$M$26</f>
        <v>0</v>
      </c>
      <c r="N21" s="20">
        <f>'Working Capital'!$N$26</f>
        <v>0</v>
      </c>
      <c r="O21" s="20">
        <f>'Working Capital'!$O$26</f>
        <v>0</v>
      </c>
      <c r="P21" s="20">
        <f>'Working Capital'!$P$26</f>
        <v>0</v>
      </c>
      <c r="Q21" s="20">
        <f>'Working Capital'!$Q$26</f>
        <v>0</v>
      </c>
      <c r="R21" s="20">
        <f>'Working Capital'!$R$26</f>
        <v>0</v>
      </c>
      <c r="S21" s="20">
        <f>'Working Capital'!$S$26</f>
        <v>0</v>
      </c>
      <c r="T21" s="20">
        <f>'Working Capital'!$T$26</f>
        <v>0</v>
      </c>
      <c r="U21" s="20">
        <f>'Working Capital'!$U$26</f>
        <v>0</v>
      </c>
      <c r="V21" s="20">
        <f>'Working Capital'!$V$26</f>
        <v>0</v>
      </c>
      <c r="W21" s="20">
        <f>'Working Capital'!$W$26</f>
        <v>0</v>
      </c>
      <c r="X21" s="20">
        <f>'Working Capital'!$X$26</f>
        <v>0</v>
      </c>
      <c r="Y21" s="20">
        <f>'Working Capital'!$Y$26</f>
        <v>0</v>
      </c>
      <c r="Z21" s="20">
        <f>'Working Capital'!$Z$26</f>
        <v>0</v>
      </c>
      <c r="AA21" s="20">
        <f>'Working Capital'!$AA$26</f>
        <v>0</v>
      </c>
      <c r="AB21" s="20">
        <f>'Working Capital'!$AB$26</f>
        <v>0</v>
      </c>
      <c r="AC21" s="20">
        <f>'Working Capital'!$AC$26</f>
        <v>0</v>
      </c>
      <c r="AD21" s="20">
        <f>'Working Capital'!$AD$26</f>
        <v>0</v>
      </c>
      <c r="AE21" s="20">
        <f>'Working Capital'!$AE$26</f>
        <v>0</v>
      </c>
      <c r="AF21" s="20">
        <f>'Working Capital'!$AF$26</f>
        <v>0</v>
      </c>
      <c r="AG21" s="20">
        <f>'Working Capital'!$AG$26</f>
        <v>0</v>
      </c>
      <c r="AH21" s="20">
        <f>'Working Capital'!$AH$26</f>
        <v>0</v>
      </c>
      <c r="AI21" s="20">
        <f>'Working Capital'!$AI$26</f>
        <v>0</v>
      </c>
      <c r="AJ21" s="20">
        <f>'Working Capital'!$AJ$26</f>
        <v>0</v>
      </c>
      <c r="AK21" s="20">
        <f>'Working Capital'!$AK$26</f>
        <v>0</v>
      </c>
      <c r="AL21" s="20">
        <f>'Working Capital'!$AL$26</f>
        <v>0</v>
      </c>
      <c r="AN21" s="20">
        <f>SUM(C21:E21)</f>
        <v>0</v>
      </c>
      <c r="AO21" s="20">
        <f>SUM(F21:H21)</f>
        <v>0</v>
      </c>
      <c r="AP21" s="20">
        <f>SUM(I21:K21)</f>
        <v>0</v>
      </c>
      <c r="AQ21" s="20">
        <f>SUM(L21:N21)</f>
        <v>0</v>
      </c>
      <c r="AR21" s="20">
        <f>SUM(O21:Q21)</f>
        <v>0</v>
      </c>
      <c r="AS21" s="20">
        <f>SUM(R21:T21)</f>
        <v>0</v>
      </c>
      <c r="AT21" s="20">
        <f>SUM(U21:W21)</f>
        <v>0</v>
      </c>
      <c r="AU21" s="20">
        <f>SUM(X21:Z21)</f>
        <v>0</v>
      </c>
      <c r="AV21" s="20">
        <f>SUM(AA21:AC21)</f>
        <v>0</v>
      </c>
      <c r="AW21" s="20">
        <f>SUM(AD21:AF21)</f>
        <v>0</v>
      </c>
      <c r="AX21" s="20">
        <f>SUM(AG21:AI21)</f>
        <v>0</v>
      </c>
      <c r="AY21" s="20">
        <f>SUM(AJ21:AL21)</f>
        <v>0</v>
      </c>
      <c r="BA21" s="20">
        <f>SUM(C21:N21)</f>
        <v>0</v>
      </c>
      <c r="BB21" s="20">
        <f>SUM(O21:Z21)</f>
        <v>0</v>
      </c>
      <c r="BC21" s="20">
        <f>SUM(AA21:AL21)</f>
        <v>0</v>
      </c>
    </row>
    <row r="22" spans="1:55">
      <c r="A22" s="30" t="s">
        <v>396</v>
      </c>
      <c r="B22" s="16"/>
      <c r="C22" s="31">
        <f>C20-C21</f>
        <v>0</v>
      </c>
      <c r="D22" s="31">
        <f>D20-D21</f>
        <v>0</v>
      </c>
      <c r="E22" s="31">
        <f>E20-E21</f>
        <v>0</v>
      </c>
      <c r="F22" s="31">
        <f>F20-F21</f>
        <v>0</v>
      </c>
      <c r="G22" s="31">
        <f>G20-G21</f>
        <v>0</v>
      </c>
      <c r="H22" s="31">
        <f>H20-H21</f>
        <v>0</v>
      </c>
      <c r="I22" s="31">
        <f>I20-I21</f>
        <v>0</v>
      </c>
      <c r="J22" s="31">
        <f>J20-J21</f>
        <v>0</v>
      </c>
      <c r="K22" s="31">
        <f>K20-K21</f>
        <v>0</v>
      </c>
      <c r="L22" s="31">
        <f>L20-L21</f>
        <v>0</v>
      </c>
      <c r="M22" s="31">
        <f>M20-M21</f>
        <v>0</v>
      </c>
      <c r="N22" s="31">
        <f>N20-N21</f>
        <v>0</v>
      </c>
      <c r="O22" s="31">
        <f>O20-O21</f>
        <v>0</v>
      </c>
      <c r="P22" s="31">
        <f>P20-P21</f>
        <v>0</v>
      </c>
      <c r="Q22" s="31">
        <f>Q20-Q21</f>
        <v>0</v>
      </c>
      <c r="R22" s="31">
        <f>R20-R21</f>
        <v>0</v>
      </c>
      <c r="S22" s="31">
        <f>S20-S21</f>
        <v>0</v>
      </c>
      <c r="T22" s="31">
        <f>T20-T21</f>
        <v>0</v>
      </c>
      <c r="U22" s="31">
        <f>U20-U21</f>
        <v>0</v>
      </c>
      <c r="V22" s="31">
        <f>V20-V21</f>
        <v>0</v>
      </c>
      <c r="W22" s="31">
        <f>W20-W21</f>
        <v>0</v>
      </c>
      <c r="X22" s="31">
        <f>X20-X21</f>
        <v>0</v>
      </c>
      <c r="Y22" s="31">
        <f>Y20-Y21</f>
        <v>0</v>
      </c>
      <c r="Z22" s="31">
        <f>Z20-Z21</f>
        <v>0</v>
      </c>
      <c r="AA22" s="31">
        <f>AA20-AA21</f>
        <v>0</v>
      </c>
      <c r="AB22" s="31">
        <f>AB20-AB21</f>
        <v>0</v>
      </c>
      <c r="AC22" s="31">
        <f>AC20-AC21</f>
        <v>0</v>
      </c>
      <c r="AD22" s="31">
        <f>AD20-AD21</f>
        <v>0</v>
      </c>
      <c r="AE22" s="31">
        <f>AE20-AE21</f>
        <v>0</v>
      </c>
      <c r="AF22" s="31">
        <f>AF20-AF21</f>
        <v>0</v>
      </c>
      <c r="AG22" s="31">
        <f>AG20-AG21</f>
        <v>0</v>
      </c>
      <c r="AH22" s="31">
        <f>AH20-AH21</f>
        <v>0</v>
      </c>
      <c r="AI22" s="31">
        <f>AI20-AI21</f>
        <v>0</v>
      </c>
      <c r="AJ22" s="31">
        <f>AJ20-AJ21</f>
        <v>0</v>
      </c>
      <c r="AK22" s="31">
        <f>AK20-AK21</f>
        <v>0</v>
      </c>
      <c r="AL22" s="31">
        <f>AL20-AL21</f>
        <v>0</v>
      </c>
      <c r="AN22" s="31">
        <f>SUM(C22:E22)</f>
        <v>0</v>
      </c>
      <c r="AO22" s="31">
        <f>SUM(F22:H22)</f>
        <v>0</v>
      </c>
      <c r="AP22" s="31">
        <f>SUM(I22:K22)</f>
        <v>0</v>
      </c>
      <c r="AQ22" s="31">
        <f>SUM(L22:N22)</f>
        <v>0</v>
      </c>
      <c r="AR22" s="31">
        <f>SUM(O22:Q22)</f>
        <v>0</v>
      </c>
      <c r="AS22" s="31">
        <f>SUM(R22:T22)</f>
        <v>0</v>
      </c>
      <c r="AT22" s="31">
        <f>SUM(U22:W22)</f>
        <v>0</v>
      </c>
      <c r="AU22" s="31">
        <f>SUM(X22:Z22)</f>
        <v>0</v>
      </c>
      <c r="AV22" s="31">
        <f>SUM(AA22:AC22)</f>
        <v>0</v>
      </c>
      <c r="AW22" s="31">
        <f>SUM(AD22:AF22)</f>
        <v>0</v>
      </c>
      <c r="AX22" s="31">
        <f>SUM(AG22:AI22)</f>
        <v>0</v>
      </c>
      <c r="AY22" s="31">
        <f>SUM(AJ22:AL22)</f>
        <v>0</v>
      </c>
      <c r="BA22" s="31">
        <f>SUM(C22:N22)</f>
        <v>0</v>
      </c>
      <c r="BB22" s="31">
        <f>SUM(O22:Z22)</f>
        <v>0</v>
      </c>
      <c r="BC22" s="31">
        <f>SUM(AA22:AL22)</f>
        <v>0</v>
      </c>
    </row>
    <row r="23" spans="1:55">
      <c r="A23" s="18" t="s">
        <v>397</v>
      </c>
      <c r="B23" s="16" t="s">
        <v>398</v>
      </c>
      <c r="C23" s="20">
        <f>MAX(0,C22)*'Assumptions'!$F$10</f>
        <v>0</v>
      </c>
      <c r="D23" s="20">
        <f>MAX(0,D22)*'Assumptions'!$F$10</f>
        <v>0</v>
      </c>
      <c r="E23" s="20">
        <f>MAX(0,E22)*'Assumptions'!$F$10</f>
        <v>0</v>
      </c>
      <c r="F23" s="20">
        <f>MAX(0,F22)*'Assumptions'!$F$10</f>
        <v>0</v>
      </c>
      <c r="G23" s="20">
        <f>MAX(0,G22)*'Assumptions'!$F$10</f>
        <v>0</v>
      </c>
      <c r="H23" s="20">
        <f>MAX(0,H22)*'Assumptions'!$F$10</f>
        <v>0</v>
      </c>
      <c r="I23" s="20">
        <f>MAX(0,I22)*'Assumptions'!$F$10</f>
        <v>0</v>
      </c>
      <c r="J23" s="20">
        <f>MAX(0,J22)*'Assumptions'!$F$10</f>
        <v>0</v>
      </c>
      <c r="K23" s="20">
        <f>MAX(0,K22)*'Assumptions'!$F$10</f>
        <v>0</v>
      </c>
      <c r="L23" s="20">
        <f>MAX(0,L22)*'Assumptions'!$F$10</f>
        <v>0</v>
      </c>
      <c r="M23" s="20">
        <f>MAX(0,M22)*'Assumptions'!$F$10</f>
        <v>0</v>
      </c>
      <c r="N23" s="20">
        <f>MAX(0,N22)*'Assumptions'!$F$10</f>
        <v>0</v>
      </c>
      <c r="O23" s="20">
        <f>MAX(0,O22)*'Assumptions'!$F$10</f>
        <v>0</v>
      </c>
      <c r="P23" s="20">
        <f>MAX(0,P22)*'Assumptions'!$F$10</f>
        <v>0</v>
      </c>
      <c r="Q23" s="20">
        <f>MAX(0,Q22)*'Assumptions'!$F$10</f>
        <v>0</v>
      </c>
      <c r="R23" s="20">
        <f>MAX(0,R22)*'Assumptions'!$F$10</f>
        <v>0</v>
      </c>
      <c r="S23" s="20">
        <f>MAX(0,S22)*'Assumptions'!$F$10</f>
        <v>0</v>
      </c>
      <c r="T23" s="20">
        <f>MAX(0,T22)*'Assumptions'!$F$10</f>
        <v>0</v>
      </c>
      <c r="U23" s="20">
        <f>MAX(0,U22)*'Assumptions'!$F$10</f>
        <v>0</v>
      </c>
      <c r="V23" s="20">
        <f>MAX(0,V22)*'Assumptions'!$F$10</f>
        <v>0</v>
      </c>
      <c r="W23" s="20">
        <f>MAX(0,W22)*'Assumptions'!$F$10</f>
        <v>0</v>
      </c>
      <c r="X23" s="20">
        <f>MAX(0,X22)*'Assumptions'!$F$10</f>
        <v>0</v>
      </c>
      <c r="Y23" s="20">
        <f>MAX(0,Y22)*'Assumptions'!$F$10</f>
        <v>0</v>
      </c>
      <c r="Z23" s="20">
        <f>MAX(0,Z22)*'Assumptions'!$F$10</f>
        <v>0</v>
      </c>
      <c r="AA23" s="20">
        <f>MAX(0,AA22)*'Assumptions'!$F$10</f>
        <v>0</v>
      </c>
      <c r="AB23" s="20">
        <f>MAX(0,AB22)*'Assumptions'!$F$10</f>
        <v>0</v>
      </c>
      <c r="AC23" s="20">
        <f>MAX(0,AC22)*'Assumptions'!$F$10</f>
        <v>0</v>
      </c>
      <c r="AD23" s="20">
        <f>MAX(0,AD22)*'Assumptions'!$F$10</f>
        <v>0</v>
      </c>
      <c r="AE23" s="20">
        <f>MAX(0,AE22)*'Assumptions'!$F$10</f>
        <v>0</v>
      </c>
      <c r="AF23" s="20">
        <f>MAX(0,AF22)*'Assumptions'!$F$10</f>
        <v>0</v>
      </c>
      <c r="AG23" s="20">
        <f>MAX(0,AG22)*'Assumptions'!$F$10</f>
        <v>0</v>
      </c>
      <c r="AH23" s="20">
        <f>MAX(0,AH22)*'Assumptions'!$F$10</f>
        <v>0</v>
      </c>
      <c r="AI23" s="20">
        <f>MAX(0,AI22)*'Assumptions'!$F$10</f>
        <v>0</v>
      </c>
      <c r="AJ23" s="20">
        <f>MAX(0,AJ22)*'Assumptions'!$F$10</f>
        <v>0</v>
      </c>
      <c r="AK23" s="20">
        <f>MAX(0,AK22)*'Assumptions'!$F$10</f>
        <v>0</v>
      </c>
      <c r="AL23" s="20">
        <f>MAX(0,AL22)*'Assumptions'!$F$10</f>
        <v>0</v>
      </c>
      <c r="AN23" s="20">
        <f>SUM(C23:E23)</f>
        <v>0</v>
      </c>
      <c r="AO23" s="20">
        <f>SUM(F23:H23)</f>
        <v>0</v>
      </c>
      <c r="AP23" s="20">
        <f>SUM(I23:K23)</f>
        <v>0</v>
      </c>
      <c r="AQ23" s="20">
        <f>SUM(L23:N23)</f>
        <v>0</v>
      </c>
      <c r="AR23" s="20">
        <f>SUM(O23:Q23)</f>
        <v>0</v>
      </c>
      <c r="AS23" s="20">
        <f>SUM(R23:T23)</f>
        <v>0</v>
      </c>
      <c r="AT23" s="20">
        <f>SUM(U23:W23)</f>
        <v>0</v>
      </c>
      <c r="AU23" s="20">
        <f>SUM(X23:Z23)</f>
        <v>0</v>
      </c>
      <c r="AV23" s="20">
        <f>SUM(AA23:AC23)</f>
        <v>0</v>
      </c>
      <c r="AW23" s="20">
        <f>SUM(AD23:AF23)</f>
        <v>0</v>
      </c>
      <c r="AX23" s="20">
        <f>SUM(AG23:AI23)</f>
        <v>0</v>
      </c>
      <c r="AY23" s="20">
        <f>SUM(AJ23:AL23)</f>
        <v>0</v>
      </c>
      <c r="BA23" s="20">
        <f>SUM(C23:N23)</f>
        <v>0</v>
      </c>
      <c r="BB23" s="20">
        <f>SUM(O23:Z23)</f>
        <v>0</v>
      </c>
      <c r="BC23" s="20">
        <f>SUM(AA23:AL23)</f>
        <v>0</v>
      </c>
    </row>
    <row r="24" spans="1:55">
      <c r="A24" s="33" t="s">
        <v>399</v>
      </c>
      <c r="B24" s="16"/>
      <c r="C24" s="34">
        <f>C22-C23</f>
        <v>0</v>
      </c>
      <c r="D24" s="34">
        <f>D22-D23</f>
        <v>0</v>
      </c>
      <c r="E24" s="34">
        <f>E22-E23</f>
        <v>0</v>
      </c>
      <c r="F24" s="34">
        <f>F22-F23</f>
        <v>0</v>
      </c>
      <c r="G24" s="34">
        <f>G22-G23</f>
        <v>0</v>
      </c>
      <c r="H24" s="34">
        <f>H22-H23</f>
        <v>0</v>
      </c>
      <c r="I24" s="34">
        <f>I22-I23</f>
        <v>0</v>
      </c>
      <c r="J24" s="34">
        <f>J22-J23</f>
        <v>0</v>
      </c>
      <c r="K24" s="34">
        <f>K22-K23</f>
        <v>0</v>
      </c>
      <c r="L24" s="34">
        <f>L22-L23</f>
        <v>0</v>
      </c>
      <c r="M24" s="34">
        <f>M22-M23</f>
        <v>0</v>
      </c>
      <c r="N24" s="34">
        <f>N22-N23</f>
        <v>0</v>
      </c>
      <c r="O24" s="34">
        <f>O22-O23</f>
        <v>0</v>
      </c>
      <c r="P24" s="34">
        <f>P22-P23</f>
        <v>0</v>
      </c>
      <c r="Q24" s="34">
        <f>Q22-Q23</f>
        <v>0</v>
      </c>
      <c r="R24" s="34">
        <f>R22-R23</f>
        <v>0</v>
      </c>
      <c r="S24" s="34">
        <f>S22-S23</f>
        <v>0</v>
      </c>
      <c r="T24" s="34">
        <f>T22-T23</f>
        <v>0</v>
      </c>
      <c r="U24" s="34">
        <f>U22-U23</f>
        <v>0</v>
      </c>
      <c r="V24" s="34">
        <f>V22-V23</f>
        <v>0</v>
      </c>
      <c r="W24" s="34">
        <f>W22-W23</f>
        <v>0</v>
      </c>
      <c r="X24" s="34">
        <f>X22-X23</f>
        <v>0</v>
      </c>
      <c r="Y24" s="34">
        <f>Y22-Y23</f>
        <v>0</v>
      </c>
      <c r="Z24" s="34">
        <f>Z22-Z23</f>
        <v>0</v>
      </c>
      <c r="AA24" s="34">
        <f>AA22-AA23</f>
        <v>0</v>
      </c>
      <c r="AB24" s="34">
        <f>AB22-AB23</f>
        <v>0</v>
      </c>
      <c r="AC24" s="34">
        <f>AC22-AC23</f>
        <v>0</v>
      </c>
      <c r="AD24" s="34">
        <f>AD22-AD23</f>
        <v>0</v>
      </c>
      <c r="AE24" s="34">
        <f>AE22-AE23</f>
        <v>0</v>
      </c>
      <c r="AF24" s="34">
        <f>AF22-AF23</f>
        <v>0</v>
      </c>
      <c r="AG24" s="34">
        <f>AG22-AG23</f>
        <v>0</v>
      </c>
      <c r="AH24" s="34">
        <f>AH22-AH23</f>
        <v>0</v>
      </c>
      <c r="AI24" s="34">
        <f>AI22-AI23</f>
        <v>0</v>
      </c>
      <c r="AJ24" s="34">
        <f>AJ22-AJ23</f>
        <v>0</v>
      </c>
      <c r="AK24" s="34">
        <f>AK22-AK23</f>
        <v>0</v>
      </c>
      <c r="AL24" s="34">
        <f>AL22-AL23</f>
        <v>0</v>
      </c>
      <c r="AN24" s="34">
        <f>SUM(C24:E24)</f>
        <v>0</v>
      </c>
      <c r="AO24" s="34">
        <f>SUM(F24:H24)</f>
        <v>0</v>
      </c>
      <c r="AP24" s="34">
        <f>SUM(I24:K24)</f>
        <v>0</v>
      </c>
      <c r="AQ24" s="34">
        <f>SUM(L24:N24)</f>
        <v>0</v>
      </c>
      <c r="AR24" s="34">
        <f>SUM(O24:Q24)</f>
        <v>0</v>
      </c>
      <c r="AS24" s="34">
        <f>SUM(R24:T24)</f>
        <v>0</v>
      </c>
      <c r="AT24" s="34">
        <f>SUM(U24:W24)</f>
        <v>0</v>
      </c>
      <c r="AU24" s="34">
        <f>SUM(X24:Z24)</f>
        <v>0</v>
      </c>
      <c r="AV24" s="34">
        <f>SUM(AA24:AC24)</f>
        <v>0</v>
      </c>
      <c r="AW24" s="34">
        <f>SUM(AD24:AF24)</f>
        <v>0</v>
      </c>
      <c r="AX24" s="34">
        <f>SUM(AG24:AI24)</f>
        <v>0</v>
      </c>
      <c r="AY24" s="34">
        <f>SUM(AJ24:AL24)</f>
        <v>0</v>
      </c>
      <c r="BA24" s="34">
        <f>SUM(C24:N24)</f>
        <v>0</v>
      </c>
      <c r="BB24" s="34">
        <f>SUM(O24:Z24)</f>
        <v>0</v>
      </c>
      <c r="BC24" s="34">
        <f>SUM(AA24:AL24)</f>
        <v>0</v>
      </c>
    </row>
  </sheetData>
  <mergeCells count="6">
    <mergeCell ref="A1:BC1"/>
    <mergeCell ref="A2:BC2"/>
    <mergeCell ref="C5:AL5"/>
    <mergeCell ref="AN5:AY5"/>
    <mergeCell ref="BA5:BC5"/>
    <mergeCell ref="A12:BC12"/>
  </mergeCells>
  <pageMargins left="0.7" right="0.7" top="0.75" bottom="0.75" header="0.3" footer="0.3"/>
  <pageSetup paperSize="9" scale="55"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dimension ref="A1:BC28"/>
  <sheetViews>
    <sheetView showGridLines="0" zoomScale="110" zoomScaleNormal="11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40.7109375" customWidth="1"/>
    <col min="2" max="2" width="30.7109375" customWidth="1"/>
    <col min="3" max="38" width="11.7109375" customWidth="1"/>
    <col min="39" max="39" width="2.7109375" customWidth="1"/>
    <col min="40" max="51" width="12.7109375" customWidth="1"/>
    <col min="52" max="52" width="2.7109375" customWidth="1"/>
    <col min="53" max="55" width="12.7109375" customWidth="1"/>
  </cols>
  <sheetData>
    <row r="1" spans="1:55" ht="22" customHeight="1">
      <c r="A1" s="1" t="s">
        <v>400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ht="16" customHeight="1">
      <c r="A2" s="2" t="s">
        <v>401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</row>
    <row r="5" spans="1:55">
      <c r="A5" s="14" t="s">
        <v>191</v>
      </c>
      <c r="B5" s="14" t="s">
        <v>192</v>
      </c>
      <c r="C5" s="14" t="s">
        <v>188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N5" s="14" t="s">
        <v>189</v>
      </c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BA5" s="14" t="s">
        <v>190</v>
      </c>
      <c r="BB5" s="14"/>
      <c r="BC5" s="14"/>
    </row>
    <row r="6" spans="1:55">
      <c r="A6" s="17"/>
      <c r="B6" s="17"/>
      <c r="C6" s="28">
        <v>46023</v>
      </c>
      <c r="D6" s="28">
        <v>46054</v>
      </c>
      <c r="E6" s="28">
        <v>46082</v>
      </c>
      <c r="F6" s="28">
        <v>46113</v>
      </c>
      <c r="G6" s="28">
        <v>46143</v>
      </c>
      <c r="H6" s="28">
        <v>46174</v>
      </c>
      <c r="I6" s="28">
        <v>46204</v>
      </c>
      <c r="J6" s="28">
        <v>46235</v>
      </c>
      <c r="K6" s="28">
        <v>46266</v>
      </c>
      <c r="L6" s="28">
        <v>46296</v>
      </c>
      <c r="M6" s="28">
        <v>46327</v>
      </c>
      <c r="N6" s="28">
        <v>46357</v>
      </c>
      <c r="O6" s="28">
        <v>46388</v>
      </c>
      <c r="P6" s="28">
        <v>46419</v>
      </c>
      <c r="Q6" s="28">
        <v>46447</v>
      </c>
      <c r="R6" s="28">
        <v>46478</v>
      </c>
      <c r="S6" s="28">
        <v>46508</v>
      </c>
      <c r="T6" s="28">
        <v>46539</v>
      </c>
      <c r="U6" s="28">
        <v>46569</v>
      </c>
      <c r="V6" s="28">
        <v>46600</v>
      </c>
      <c r="W6" s="28">
        <v>46631</v>
      </c>
      <c r="X6" s="28">
        <v>46661</v>
      </c>
      <c r="Y6" s="28">
        <v>46692</v>
      </c>
      <c r="Z6" s="28">
        <v>46722</v>
      </c>
      <c r="AA6" s="28">
        <v>46753</v>
      </c>
      <c r="AB6" s="28">
        <v>46784</v>
      </c>
      <c r="AC6" s="28">
        <v>46813</v>
      </c>
      <c r="AD6" s="28">
        <v>46844</v>
      </c>
      <c r="AE6" s="28">
        <v>46874</v>
      </c>
      <c r="AF6" s="28">
        <v>46905</v>
      </c>
      <c r="AG6" s="28">
        <v>46935</v>
      </c>
      <c r="AH6" s="28">
        <v>46966</v>
      </c>
      <c r="AI6" s="28">
        <v>46997</v>
      </c>
      <c r="AJ6" s="28">
        <v>47027</v>
      </c>
      <c r="AK6" s="28">
        <v>47058</v>
      </c>
      <c r="AL6" s="28">
        <v>47088</v>
      </c>
      <c r="AN6" s="17" t="s">
        <v>193</v>
      </c>
      <c r="AO6" s="17" t="s">
        <v>194</v>
      </c>
      <c r="AP6" s="17" t="s">
        <v>195</v>
      </c>
      <c r="AQ6" s="17" t="s">
        <v>196</v>
      </c>
      <c r="AR6" s="17" t="s">
        <v>197</v>
      </c>
      <c r="AS6" s="17" t="s">
        <v>198</v>
      </c>
      <c r="AT6" s="17" t="s">
        <v>199</v>
      </c>
      <c r="AU6" s="17" t="s">
        <v>200</v>
      </c>
      <c r="AV6" s="17" t="s">
        <v>201</v>
      </c>
      <c r="AW6" s="17" t="s">
        <v>202</v>
      </c>
      <c r="AX6" s="17" t="s">
        <v>203</v>
      </c>
      <c r="AY6" s="17" t="s">
        <v>204</v>
      </c>
      <c r="BA6" s="17" t="s">
        <v>205</v>
      </c>
      <c r="BB6" s="17" t="s">
        <v>206</v>
      </c>
      <c r="BC6" s="17" t="s">
        <v>207</v>
      </c>
    </row>
    <row r="7" spans="1:55" ht="16" customHeight="1">
      <c r="A7" s="14" t="s">
        <v>402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</row>
    <row r="8" spans="1:55">
      <c r="A8" s="18" t="s">
        <v>399</v>
      </c>
      <c r="B8" s="16"/>
      <c r="C8" s="20">
        <f>'P&amp;L'!$C$24</f>
        <v>0</v>
      </c>
      <c r="D8" s="20">
        <f>'P&amp;L'!$D$24</f>
        <v>0</v>
      </c>
      <c r="E8" s="20">
        <f>'P&amp;L'!$E$24</f>
        <v>0</v>
      </c>
      <c r="F8" s="20">
        <f>'P&amp;L'!$F$24</f>
        <v>0</v>
      </c>
      <c r="G8" s="20">
        <f>'P&amp;L'!$G$24</f>
        <v>0</v>
      </c>
      <c r="H8" s="20">
        <f>'P&amp;L'!$H$24</f>
        <v>0</v>
      </c>
      <c r="I8" s="20">
        <f>'P&amp;L'!$I$24</f>
        <v>0</v>
      </c>
      <c r="J8" s="20">
        <f>'P&amp;L'!$J$24</f>
        <v>0</v>
      </c>
      <c r="K8" s="20">
        <f>'P&amp;L'!$K$24</f>
        <v>0</v>
      </c>
      <c r="L8" s="20">
        <f>'P&amp;L'!$L$24</f>
        <v>0</v>
      </c>
      <c r="M8" s="20">
        <f>'P&amp;L'!$M$24</f>
        <v>0</v>
      </c>
      <c r="N8" s="20">
        <f>'P&amp;L'!$N$24</f>
        <v>0</v>
      </c>
      <c r="O8" s="20">
        <f>'P&amp;L'!$O$24</f>
        <v>0</v>
      </c>
      <c r="P8" s="20">
        <f>'P&amp;L'!$P$24</f>
        <v>0</v>
      </c>
      <c r="Q8" s="20">
        <f>'P&amp;L'!$Q$24</f>
        <v>0</v>
      </c>
      <c r="R8" s="20">
        <f>'P&amp;L'!$R$24</f>
        <v>0</v>
      </c>
      <c r="S8" s="20">
        <f>'P&amp;L'!$S$24</f>
        <v>0</v>
      </c>
      <c r="T8" s="20">
        <f>'P&amp;L'!$T$24</f>
        <v>0</v>
      </c>
      <c r="U8" s="20">
        <f>'P&amp;L'!$U$24</f>
        <v>0</v>
      </c>
      <c r="V8" s="20">
        <f>'P&amp;L'!$V$24</f>
        <v>0</v>
      </c>
      <c r="W8" s="20">
        <f>'P&amp;L'!$W$24</f>
        <v>0</v>
      </c>
      <c r="X8" s="20">
        <f>'P&amp;L'!$X$24</f>
        <v>0</v>
      </c>
      <c r="Y8" s="20">
        <f>'P&amp;L'!$Y$24</f>
        <v>0</v>
      </c>
      <c r="Z8" s="20">
        <f>'P&amp;L'!$Z$24</f>
        <v>0</v>
      </c>
      <c r="AA8" s="20">
        <f>'P&amp;L'!$AA$24</f>
        <v>0</v>
      </c>
      <c r="AB8" s="20">
        <f>'P&amp;L'!$AB$24</f>
        <v>0</v>
      </c>
      <c r="AC8" s="20">
        <f>'P&amp;L'!$AC$24</f>
        <v>0</v>
      </c>
      <c r="AD8" s="20">
        <f>'P&amp;L'!$AD$24</f>
        <v>0</v>
      </c>
      <c r="AE8" s="20">
        <f>'P&amp;L'!$AE$24</f>
        <v>0</v>
      </c>
      <c r="AF8" s="20">
        <f>'P&amp;L'!$AF$24</f>
        <v>0</v>
      </c>
      <c r="AG8" s="20">
        <f>'P&amp;L'!$AG$24</f>
        <v>0</v>
      </c>
      <c r="AH8" s="20">
        <f>'P&amp;L'!$AH$24</f>
        <v>0</v>
      </c>
      <c r="AI8" s="20">
        <f>'P&amp;L'!$AI$24</f>
        <v>0</v>
      </c>
      <c r="AJ8" s="20">
        <f>'P&amp;L'!$AJ$24</f>
        <v>0</v>
      </c>
      <c r="AK8" s="20">
        <f>'P&amp;L'!$AK$24</f>
        <v>0</v>
      </c>
      <c r="AL8" s="20">
        <f>'P&amp;L'!$AL$24</f>
        <v>0</v>
      </c>
      <c r="AN8" s="20">
        <f>SUM(C8:E8)</f>
        <v>0</v>
      </c>
      <c r="AO8" s="20">
        <f>SUM(F8:H8)</f>
        <v>0</v>
      </c>
      <c r="AP8" s="20">
        <f>SUM(I8:K8)</f>
        <v>0</v>
      </c>
      <c r="AQ8" s="20">
        <f>SUM(L8:N8)</f>
        <v>0</v>
      </c>
      <c r="AR8" s="20">
        <f>SUM(O8:Q8)</f>
        <v>0</v>
      </c>
      <c r="AS8" s="20">
        <f>SUM(R8:T8)</f>
        <v>0</v>
      </c>
      <c r="AT8" s="20">
        <f>SUM(U8:W8)</f>
        <v>0</v>
      </c>
      <c r="AU8" s="20">
        <f>SUM(X8:Z8)</f>
        <v>0</v>
      </c>
      <c r="AV8" s="20">
        <f>SUM(AA8:AC8)</f>
        <v>0</v>
      </c>
      <c r="AW8" s="20">
        <f>SUM(AD8:AF8)</f>
        <v>0</v>
      </c>
      <c r="AX8" s="20">
        <f>SUM(AG8:AI8)</f>
        <v>0</v>
      </c>
      <c r="AY8" s="20">
        <f>SUM(AJ8:AL8)</f>
        <v>0</v>
      </c>
      <c r="BA8" s="20">
        <f>SUM(C8:N8)</f>
        <v>0</v>
      </c>
      <c r="BB8" s="20">
        <f>SUM(O8:Z8)</f>
        <v>0</v>
      </c>
      <c r="BC8" s="20">
        <f>SUM(AA8:AL8)</f>
        <v>0</v>
      </c>
    </row>
    <row r="9" spans="1:55">
      <c r="A9" s="18" t="s">
        <v>403</v>
      </c>
      <c r="B9" s="16"/>
      <c r="C9" s="20">
        <f>'P&amp;L'!$C$19</f>
        <v>0</v>
      </c>
      <c r="D9" s="20">
        <f>'P&amp;L'!$D$19</f>
        <v>0</v>
      </c>
      <c r="E9" s="20">
        <f>'P&amp;L'!$E$19</f>
        <v>0</v>
      </c>
      <c r="F9" s="20">
        <f>'P&amp;L'!$F$19</f>
        <v>0</v>
      </c>
      <c r="G9" s="20">
        <f>'P&amp;L'!$G$19</f>
        <v>0</v>
      </c>
      <c r="H9" s="20">
        <f>'P&amp;L'!$H$19</f>
        <v>0</v>
      </c>
      <c r="I9" s="20">
        <f>'P&amp;L'!$I$19</f>
        <v>0</v>
      </c>
      <c r="J9" s="20">
        <f>'P&amp;L'!$J$19</f>
        <v>0</v>
      </c>
      <c r="K9" s="20">
        <f>'P&amp;L'!$K$19</f>
        <v>0</v>
      </c>
      <c r="L9" s="20">
        <f>'P&amp;L'!$L$19</f>
        <v>0</v>
      </c>
      <c r="M9" s="20">
        <f>'P&amp;L'!$M$19</f>
        <v>0</v>
      </c>
      <c r="N9" s="20">
        <f>'P&amp;L'!$N$19</f>
        <v>0</v>
      </c>
      <c r="O9" s="20">
        <f>'P&amp;L'!$O$19</f>
        <v>0</v>
      </c>
      <c r="P9" s="20">
        <f>'P&amp;L'!$P$19</f>
        <v>0</v>
      </c>
      <c r="Q9" s="20">
        <f>'P&amp;L'!$Q$19</f>
        <v>0</v>
      </c>
      <c r="R9" s="20">
        <f>'P&amp;L'!$R$19</f>
        <v>0</v>
      </c>
      <c r="S9" s="20">
        <f>'P&amp;L'!$S$19</f>
        <v>0</v>
      </c>
      <c r="T9" s="20">
        <f>'P&amp;L'!$T$19</f>
        <v>0</v>
      </c>
      <c r="U9" s="20">
        <f>'P&amp;L'!$U$19</f>
        <v>0</v>
      </c>
      <c r="V9" s="20">
        <f>'P&amp;L'!$V$19</f>
        <v>0</v>
      </c>
      <c r="W9" s="20">
        <f>'P&amp;L'!$W$19</f>
        <v>0</v>
      </c>
      <c r="X9" s="20">
        <f>'P&amp;L'!$X$19</f>
        <v>0</v>
      </c>
      <c r="Y9" s="20">
        <f>'P&amp;L'!$Y$19</f>
        <v>0</v>
      </c>
      <c r="Z9" s="20">
        <f>'P&amp;L'!$Z$19</f>
        <v>0</v>
      </c>
      <c r="AA9" s="20">
        <f>'P&amp;L'!$AA$19</f>
        <v>0</v>
      </c>
      <c r="AB9" s="20">
        <f>'P&amp;L'!$AB$19</f>
        <v>0</v>
      </c>
      <c r="AC9" s="20">
        <f>'P&amp;L'!$AC$19</f>
        <v>0</v>
      </c>
      <c r="AD9" s="20">
        <f>'P&amp;L'!$AD$19</f>
        <v>0</v>
      </c>
      <c r="AE9" s="20">
        <f>'P&amp;L'!$AE$19</f>
        <v>0</v>
      </c>
      <c r="AF9" s="20">
        <f>'P&amp;L'!$AF$19</f>
        <v>0</v>
      </c>
      <c r="AG9" s="20">
        <f>'P&amp;L'!$AG$19</f>
        <v>0</v>
      </c>
      <c r="AH9" s="20">
        <f>'P&amp;L'!$AH$19</f>
        <v>0</v>
      </c>
      <c r="AI9" s="20">
        <f>'P&amp;L'!$AI$19</f>
        <v>0</v>
      </c>
      <c r="AJ9" s="20">
        <f>'P&amp;L'!$AJ$19</f>
        <v>0</v>
      </c>
      <c r="AK9" s="20">
        <f>'P&amp;L'!$AK$19</f>
        <v>0</v>
      </c>
      <c r="AL9" s="20">
        <f>'P&amp;L'!$AL$19</f>
        <v>0</v>
      </c>
      <c r="AN9" s="20">
        <f>SUM(C9:E9)</f>
        <v>0</v>
      </c>
      <c r="AO9" s="20">
        <f>SUM(F9:H9)</f>
        <v>0</v>
      </c>
      <c r="AP9" s="20">
        <f>SUM(I9:K9)</f>
        <v>0</v>
      </c>
      <c r="AQ9" s="20">
        <f>SUM(L9:N9)</f>
        <v>0</v>
      </c>
      <c r="AR9" s="20">
        <f>SUM(O9:Q9)</f>
        <v>0</v>
      </c>
      <c r="AS9" s="20">
        <f>SUM(R9:T9)</f>
        <v>0</v>
      </c>
      <c r="AT9" s="20">
        <f>SUM(U9:W9)</f>
        <v>0</v>
      </c>
      <c r="AU9" s="20">
        <f>SUM(X9:Z9)</f>
        <v>0</v>
      </c>
      <c r="AV9" s="20">
        <f>SUM(AA9:AC9)</f>
        <v>0</v>
      </c>
      <c r="AW9" s="20">
        <f>SUM(AD9:AF9)</f>
        <v>0</v>
      </c>
      <c r="AX9" s="20">
        <f>SUM(AG9:AI9)</f>
        <v>0</v>
      </c>
      <c r="AY9" s="20">
        <f>SUM(AJ9:AL9)</f>
        <v>0</v>
      </c>
      <c r="BA9" s="20">
        <f>SUM(C9:N9)</f>
        <v>0</v>
      </c>
      <c r="BB9" s="20">
        <f>SUM(O9:Z9)</f>
        <v>0</v>
      </c>
      <c r="BC9" s="20">
        <f>SUM(AA9:AL9)</f>
        <v>0</v>
      </c>
    </row>
    <row r="10" spans="1:55">
      <c r="A10" s="18" t="s">
        <v>404</v>
      </c>
      <c r="B10" s="16"/>
      <c r="C10" s="20">
        <f>-'Working Capital'!C12</f>
        <v>0</v>
      </c>
      <c r="D10" s="20">
        <f>-'Working Capital'!D12</f>
        <v>0</v>
      </c>
      <c r="E10" s="20">
        <f>-'Working Capital'!E12</f>
        <v>0</v>
      </c>
      <c r="F10" s="20">
        <f>-'Working Capital'!F12</f>
        <v>0</v>
      </c>
      <c r="G10" s="20">
        <f>-'Working Capital'!G12</f>
        <v>0</v>
      </c>
      <c r="H10" s="20">
        <f>-'Working Capital'!H12</f>
        <v>0</v>
      </c>
      <c r="I10" s="20">
        <f>-'Working Capital'!I12</f>
        <v>0</v>
      </c>
      <c r="J10" s="20">
        <f>-'Working Capital'!J12</f>
        <v>0</v>
      </c>
      <c r="K10" s="20">
        <f>-'Working Capital'!K12</f>
        <v>0</v>
      </c>
      <c r="L10" s="20">
        <f>-'Working Capital'!L12</f>
        <v>0</v>
      </c>
      <c r="M10" s="20">
        <f>-'Working Capital'!M12</f>
        <v>0</v>
      </c>
      <c r="N10" s="20">
        <f>-'Working Capital'!N12</f>
        <v>0</v>
      </c>
      <c r="O10" s="20">
        <f>-'Working Capital'!O12</f>
        <v>0</v>
      </c>
      <c r="P10" s="20">
        <f>-'Working Capital'!P12</f>
        <v>0</v>
      </c>
      <c r="Q10" s="20">
        <f>-'Working Capital'!Q12</f>
        <v>0</v>
      </c>
      <c r="R10" s="20">
        <f>-'Working Capital'!R12</f>
        <v>0</v>
      </c>
      <c r="S10" s="20">
        <f>-'Working Capital'!S12</f>
        <v>0</v>
      </c>
      <c r="T10" s="20">
        <f>-'Working Capital'!T12</f>
        <v>0</v>
      </c>
      <c r="U10" s="20">
        <f>-'Working Capital'!U12</f>
        <v>0</v>
      </c>
      <c r="V10" s="20">
        <f>-'Working Capital'!V12</f>
        <v>0</v>
      </c>
      <c r="W10" s="20">
        <f>-'Working Capital'!W12</f>
        <v>0</v>
      </c>
      <c r="X10" s="20">
        <f>-'Working Capital'!X12</f>
        <v>0</v>
      </c>
      <c r="Y10" s="20">
        <f>-'Working Capital'!Y12</f>
        <v>0</v>
      </c>
      <c r="Z10" s="20">
        <f>-'Working Capital'!Z12</f>
        <v>0</v>
      </c>
      <c r="AA10" s="20">
        <f>-'Working Capital'!AA12</f>
        <v>0</v>
      </c>
      <c r="AB10" s="20">
        <f>-'Working Capital'!AB12</f>
        <v>0</v>
      </c>
      <c r="AC10" s="20">
        <f>-'Working Capital'!AC12</f>
        <v>0</v>
      </c>
      <c r="AD10" s="20">
        <f>-'Working Capital'!AD12</f>
        <v>0</v>
      </c>
      <c r="AE10" s="20">
        <f>-'Working Capital'!AE12</f>
        <v>0</v>
      </c>
      <c r="AF10" s="20">
        <f>-'Working Capital'!AF12</f>
        <v>0</v>
      </c>
      <c r="AG10" s="20">
        <f>-'Working Capital'!AG12</f>
        <v>0</v>
      </c>
      <c r="AH10" s="20">
        <f>-'Working Capital'!AH12</f>
        <v>0</v>
      </c>
      <c r="AI10" s="20">
        <f>-'Working Capital'!AI12</f>
        <v>0</v>
      </c>
      <c r="AJ10" s="20">
        <f>-'Working Capital'!AJ12</f>
        <v>0</v>
      </c>
      <c r="AK10" s="20">
        <f>-'Working Capital'!AK12</f>
        <v>0</v>
      </c>
      <c r="AL10" s="20">
        <f>-'Working Capital'!AL12</f>
        <v>0</v>
      </c>
      <c r="AN10" s="20">
        <f>SUM(C10:E10)</f>
        <v>0</v>
      </c>
      <c r="AO10" s="20">
        <f>SUM(F10:H10)</f>
        <v>0</v>
      </c>
      <c r="AP10" s="20">
        <f>SUM(I10:K10)</f>
        <v>0</v>
      </c>
      <c r="AQ10" s="20">
        <f>SUM(L10:N10)</f>
        <v>0</v>
      </c>
      <c r="AR10" s="20">
        <f>SUM(O10:Q10)</f>
        <v>0</v>
      </c>
      <c r="AS10" s="20">
        <f>SUM(R10:T10)</f>
        <v>0</v>
      </c>
      <c r="AT10" s="20">
        <f>SUM(U10:W10)</f>
        <v>0</v>
      </c>
      <c r="AU10" s="20">
        <f>SUM(X10:Z10)</f>
        <v>0</v>
      </c>
      <c r="AV10" s="20">
        <f>SUM(AA10:AC10)</f>
        <v>0</v>
      </c>
      <c r="AW10" s="20">
        <f>SUM(AD10:AF10)</f>
        <v>0</v>
      </c>
      <c r="AX10" s="20">
        <f>SUM(AG10:AI10)</f>
        <v>0</v>
      </c>
      <c r="AY10" s="20">
        <f>SUM(AJ10:AL10)</f>
        <v>0</v>
      </c>
      <c r="BA10" s="20">
        <f>SUM(C10:N10)</f>
        <v>0</v>
      </c>
      <c r="BB10" s="20">
        <f>SUM(O10:Z10)</f>
        <v>0</v>
      </c>
      <c r="BC10" s="20">
        <f>SUM(AA10:AL10)</f>
        <v>0</v>
      </c>
    </row>
    <row r="11" spans="1:55">
      <c r="A11" s="18" t="s">
        <v>405</v>
      </c>
      <c r="B11" s="16"/>
      <c r="C11" s="20">
        <f>-'Working Capital'!C15</f>
        <v>0</v>
      </c>
      <c r="D11" s="20">
        <f>-'Working Capital'!D15</f>
        <v>0</v>
      </c>
      <c r="E11" s="20">
        <f>-'Working Capital'!E15</f>
        <v>0</v>
      </c>
      <c r="F11" s="20">
        <f>-'Working Capital'!F15</f>
        <v>0</v>
      </c>
      <c r="G11" s="20">
        <f>-'Working Capital'!G15</f>
        <v>0</v>
      </c>
      <c r="H11" s="20">
        <f>-'Working Capital'!H15</f>
        <v>0</v>
      </c>
      <c r="I11" s="20">
        <f>-'Working Capital'!I15</f>
        <v>0</v>
      </c>
      <c r="J11" s="20">
        <f>-'Working Capital'!J15</f>
        <v>0</v>
      </c>
      <c r="K11" s="20">
        <f>-'Working Capital'!K15</f>
        <v>0</v>
      </c>
      <c r="L11" s="20">
        <f>-'Working Capital'!L15</f>
        <v>0</v>
      </c>
      <c r="M11" s="20">
        <f>-'Working Capital'!M15</f>
        <v>0</v>
      </c>
      <c r="N11" s="20">
        <f>-'Working Capital'!N15</f>
        <v>0</v>
      </c>
      <c r="O11" s="20">
        <f>-'Working Capital'!O15</f>
        <v>0</v>
      </c>
      <c r="P11" s="20">
        <f>-'Working Capital'!P15</f>
        <v>0</v>
      </c>
      <c r="Q11" s="20">
        <f>-'Working Capital'!Q15</f>
        <v>0</v>
      </c>
      <c r="R11" s="20">
        <f>-'Working Capital'!R15</f>
        <v>0</v>
      </c>
      <c r="S11" s="20">
        <f>-'Working Capital'!S15</f>
        <v>0</v>
      </c>
      <c r="T11" s="20">
        <f>-'Working Capital'!T15</f>
        <v>0</v>
      </c>
      <c r="U11" s="20">
        <f>-'Working Capital'!U15</f>
        <v>0</v>
      </c>
      <c r="V11" s="20">
        <f>-'Working Capital'!V15</f>
        <v>0</v>
      </c>
      <c r="W11" s="20">
        <f>-'Working Capital'!W15</f>
        <v>0</v>
      </c>
      <c r="X11" s="20">
        <f>-'Working Capital'!X15</f>
        <v>0</v>
      </c>
      <c r="Y11" s="20">
        <f>-'Working Capital'!Y15</f>
        <v>0</v>
      </c>
      <c r="Z11" s="20">
        <f>-'Working Capital'!Z15</f>
        <v>0</v>
      </c>
      <c r="AA11" s="20">
        <f>-'Working Capital'!AA15</f>
        <v>0</v>
      </c>
      <c r="AB11" s="20">
        <f>-'Working Capital'!AB15</f>
        <v>0</v>
      </c>
      <c r="AC11" s="20">
        <f>-'Working Capital'!AC15</f>
        <v>0</v>
      </c>
      <c r="AD11" s="20">
        <f>-'Working Capital'!AD15</f>
        <v>0</v>
      </c>
      <c r="AE11" s="20">
        <f>-'Working Capital'!AE15</f>
        <v>0</v>
      </c>
      <c r="AF11" s="20">
        <f>-'Working Capital'!AF15</f>
        <v>0</v>
      </c>
      <c r="AG11" s="20">
        <f>-'Working Capital'!AG15</f>
        <v>0</v>
      </c>
      <c r="AH11" s="20">
        <f>-'Working Capital'!AH15</f>
        <v>0</v>
      </c>
      <c r="AI11" s="20">
        <f>-'Working Capital'!AI15</f>
        <v>0</v>
      </c>
      <c r="AJ11" s="20">
        <f>-'Working Capital'!AJ15</f>
        <v>0</v>
      </c>
      <c r="AK11" s="20">
        <f>-'Working Capital'!AK15</f>
        <v>0</v>
      </c>
      <c r="AL11" s="20">
        <f>-'Working Capital'!AL15</f>
        <v>0</v>
      </c>
      <c r="AN11" s="20">
        <f>SUM(C11:E11)</f>
        <v>0</v>
      </c>
      <c r="AO11" s="20">
        <f>SUM(F11:H11)</f>
        <v>0</v>
      </c>
      <c r="AP11" s="20">
        <f>SUM(I11:K11)</f>
        <v>0</v>
      </c>
      <c r="AQ11" s="20">
        <f>SUM(L11:N11)</f>
        <v>0</v>
      </c>
      <c r="AR11" s="20">
        <f>SUM(O11:Q11)</f>
        <v>0</v>
      </c>
      <c r="AS11" s="20">
        <f>SUM(R11:T11)</f>
        <v>0</v>
      </c>
      <c r="AT11" s="20">
        <f>SUM(U11:W11)</f>
        <v>0</v>
      </c>
      <c r="AU11" s="20">
        <f>SUM(X11:Z11)</f>
        <v>0</v>
      </c>
      <c r="AV11" s="20">
        <f>SUM(AA11:AC11)</f>
        <v>0</v>
      </c>
      <c r="AW11" s="20">
        <f>SUM(AD11:AF11)</f>
        <v>0</v>
      </c>
      <c r="AX11" s="20">
        <f>SUM(AG11:AI11)</f>
        <v>0</v>
      </c>
      <c r="AY11" s="20">
        <f>SUM(AJ11:AL11)</f>
        <v>0</v>
      </c>
      <c r="BA11" s="20">
        <f>SUM(C11:N11)</f>
        <v>0</v>
      </c>
      <c r="BB11" s="20">
        <f>SUM(O11:Z11)</f>
        <v>0</v>
      </c>
      <c r="BC11" s="20">
        <f>SUM(AA11:AL11)</f>
        <v>0</v>
      </c>
    </row>
    <row r="12" spans="1:55">
      <c r="A12" s="18" t="s">
        <v>406</v>
      </c>
      <c r="B12" s="16"/>
      <c r="C12" s="20">
        <f>'Working Capital'!C13</f>
        <v>0</v>
      </c>
      <c r="D12" s="20">
        <f>'Working Capital'!D13</f>
        <v>0</v>
      </c>
      <c r="E12" s="20">
        <f>'Working Capital'!E13</f>
        <v>0</v>
      </c>
      <c r="F12" s="20">
        <f>'Working Capital'!F13</f>
        <v>0</v>
      </c>
      <c r="G12" s="20">
        <f>'Working Capital'!G13</f>
        <v>0</v>
      </c>
      <c r="H12" s="20">
        <f>'Working Capital'!H13</f>
        <v>0</v>
      </c>
      <c r="I12" s="20">
        <f>'Working Capital'!I13</f>
        <v>0</v>
      </c>
      <c r="J12" s="20">
        <f>'Working Capital'!J13</f>
        <v>0</v>
      </c>
      <c r="K12" s="20">
        <f>'Working Capital'!K13</f>
        <v>0</v>
      </c>
      <c r="L12" s="20">
        <f>'Working Capital'!L13</f>
        <v>0</v>
      </c>
      <c r="M12" s="20">
        <f>'Working Capital'!M13</f>
        <v>0</v>
      </c>
      <c r="N12" s="20">
        <f>'Working Capital'!N13</f>
        <v>0</v>
      </c>
      <c r="O12" s="20">
        <f>'Working Capital'!O13</f>
        <v>0</v>
      </c>
      <c r="P12" s="20">
        <f>'Working Capital'!P13</f>
        <v>0</v>
      </c>
      <c r="Q12" s="20">
        <f>'Working Capital'!Q13</f>
        <v>0</v>
      </c>
      <c r="R12" s="20">
        <f>'Working Capital'!R13</f>
        <v>0</v>
      </c>
      <c r="S12" s="20">
        <f>'Working Capital'!S13</f>
        <v>0</v>
      </c>
      <c r="T12" s="20">
        <f>'Working Capital'!T13</f>
        <v>0</v>
      </c>
      <c r="U12" s="20">
        <f>'Working Capital'!U13</f>
        <v>0</v>
      </c>
      <c r="V12" s="20">
        <f>'Working Capital'!V13</f>
        <v>0</v>
      </c>
      <c r="W12" s="20">
        <f>'Working Capital'!W13</f>
        <v>0</v>
      </c>
      <c r="X12" s="20">
        <f>'Working Capital'!X13</f>
        <v>0</v>
      </c>
      <c r="Y12" s="20">
        <f>'Working Capital'!Y13</f>
        <v>0</v>
      </c>
      <c r="Z12" s="20">
        <f>'Working Capital'!Z13</f>
        <v>0</v>
      </c>
      <c r="AA12" s="20">
        <f>'Working Capital'!AA13</f>
        <v>0</v>
      </c>
      <c r="AB12" s="20">
        <f>'Working Capital'!AB13</f>
        <v>0</v>
      </c>
      <c r="AC12" s="20">
        <f>'Working Capital'!AC13</f>
        <v>0</v>
      </c>
      <c r="AD12" s="20">
        <f>'Working Capital'!AD13</f>
        <v>0</v>
      </c>
      <c r="AE12" s="20">
        <f>'Working Capital'!AE13</f>
        <v>0</v>
      </c>
      <c r="AF12" s="20">
        <f>'Working Capital'!AF13</f>
        <v>0</v>
      </c>
      <c r="AG12" s="20">
        <f>'Working Capital'!AG13</f>
        <v>0</v>
      </c>
      <c r="AH12" s="20">
        <f>'Working Capital'!AH13</f>
        <v>0</v>
      </c>
      <c r="AI12" s="20">
        <f>'Working Capital'!AI13</f>
        <v>0</v>
      </c>
      <c r="AJ12" s="20">
        <f>'Working Capital'!AJ13</f>
        <v>0</v>
      </c>
      <c r="AK12" s="20">
        <f>'Working Capital'!AK13</f>
        <v>0</v>
      </c>
      <c r="AL12" s="20">
        <f>'Working Capital'!AL13</f>
        <v>0</v>
      </c>
      <c r="AN12" s="20">
        <f>SUM(C12:E12)</f>
        <v>0</v>
      </c>
      <c r="AO12" s="20">
        <f>SUM(F12:H12)</f>
        <v>0</v>
      </c>
      <c r="AP12" s="20">
        <f>SUM(I12:K12)</f>
        <v>0</v>
      </c>
      <c r="AQ12" s="20">
        <f>SUM(L12:N12)</f>
        <v>0</v>
      </c>
      <c r="AR12" s="20">
        <f>SUM(O12:Q12)</f>
        <v>0</v>
      </c>
      <c r="AS12" s="20">
        <f>SUM(R12:T12)</f>
        <v>0</v>
      </c>
      <c r="AT12" s="20">
        <f>SUM(U12:W12)</f>
        <v>0</v>
      </c>
      <c r="AU12" s="20">
        <f>SUM(X12:Z12)</f>
        <v>0</v>
      </c>
      <c r="AV12" s="20">
        <f>SUM(AA12:AC12)</f>
        <v>0</v>
      </c>
      <c r="AW12" s="20">
        <f>SUM(AD12:AF12)</f>
        <v>0</v>
      </c>
      <c r="AX12" s="20">
        <f>SUM(AG12:AI12)</f>
        <v>0</v>
      </c>
      <c r="AY12" s="20">
        <f>SUM(AJ12:AL12)</f>
        <v>0</v>
      </c>
      <c r="BA12" s="20">
        <f>SUM(C12:N12)</f>
        <v>0</v>
      </c>
      <c r="BB12" s="20">
        <f>SUM(O12:Z12)</f>
        <v>0</v>
      </c>
      <c r="BC12" s="20">
        <f>SUM(AA12:AL12)</f>
        <v>0</v>
      </c>
    </row>
    <row r="13" spans="1:55">
      <c r="A13" s="18" t="s">
        <v>407</v>
      </c>
      <c r="B13" s="16"/>
      <c r="C13" s="20">
        <f>'Working Capital'!C14</f>
        <v>0</v>
      </c>
      <c r="D13" s="20">
        <f>'Working Capital'!D14</f>
        <v>0</v>
      </c>
      <c r="E13" s="20">
        <f>'Working Capital'!E14</f>
        <v>0</v>
      </c>
      <c r="F13" s="20">
        <f>'Working Capital'!F14</f>
        <v>0</v>
      </c>
      <c r="G13" s="20">
        <f>'Working Capital'!G14</f>
        <v>0</v>
      </c>
      <c r="H13" s="20">
        <f>'Working Capital'!H14</f>
        <v>0</v>
      </c>
      <c r="I13" s="20">
        <f>'Working Capital'!I14</f>
        <v>0</v>
      </c>
      <c r="J13" s="20">
        <f>'Working Capital'!J14</f>
        <v>0</v>
      </c>
      <c r="K13" s="20">
        <f>'Working Capital'!K14</f>
        <v>0</v>
      </c>
      <c r="L13" s="20">
        <f>'Working Capital'!L14</f>
        <v>0</v>
      </c>
      <c r="M13" s="20">
        <f>'Working Capital'!M14</f>
        <v>0</v>
      </c>
      <c r="N13" s="20">
        <f>'Working Capital'!N14</f>
        <v>0</v>
      </c>
      <c r="O13" s="20">
        <f>'Working Capital'!O14</f>
        <v>0</v>
      </c>
      <c r="P13" s="20">
        <f>'Working Capital'!P14</f>
        <v>0</v>
      </c>
      <c r="Q13" s="20">
        <f>'Working Capital'!Q14</f>
        <v>0</v>
      </c>
      <c r="R13" s="20">
        <f>'Working Capital'!R14</f>
        <v>0</v>
      </c>
      <c r="S13" s="20">
        <f>'Working Capital'!S14</f>
        <v>0</v>
      </c>
      <c r="T13" s="20">
        <f>'Working Capital'!T14</f>
        <v>0</v>
      </c>
      <c r="U13" s="20">
        <f>'Working Capital'!U14</f>
        <v>0</v>
      </c>
      <c r="V13" s="20">
        <f>'Working Capital'!V14</f>
        <v>0</v>
      </c>
      <c r="W13" s="20">
        <f>'Working Capital'!W14</f>
        <v>0</v>
      </c>
      <c r="X13" s="20">
        <f>'Working Capital'!X14</f>
        <v>0</v>
      </c>
      <c r="Y13" s="20">
        <f>'Working Capital'!Y14</f>
        <v>0</v>
      </c>
      <c r="Z13" s="20">
        <f>'Working Capital'!Z14</f>
        <v>0</v>
      </c>
      <c r="AA13" s="20">
        <f>'Working Capital'!AA14</f>
        <v>0</v>
      </c>
      <c r="AB13" s="20">
        <f>'Working Capital'!AB14</f>
        <v>0</v>
      </c>
      <c r="AC13" s="20">
        <f>'Working Capital'!AC14</f>
        <v>0</v>
      </c>
      <c r="AD13" s="20">
        <f>'Working Capital'!AD14</f>
        <v>0</v>
      </c>
      <c r="AE13" s="20">
        <f>'Working Capital'!AE14</f>
        <v>0</v>
      </c>
      <c r="AF13" s="20">
        <f>'Working Capital'!AF14</f>
        <v>0</v>
      </c>
      <c r="AG13" s="20">
        <f>'Working Capital'!AG14</f>
        <v>0</v>
      </c>
      <c r="AH13" s="20">
        <f>'Working Capital'!AH14</f>
        <v>0</v>
      </c>
      <c r="AI13" s="20">
        <f>'Working Capital'!AI14</f>
        <v>0</v>
      </c>
      <c r="AJ13" s="20">
        <f>'Working Capital'!AJ14</f>
        <v>0</v>
      </c>
      <c r="AK13" s="20">
        <f>'Working Capital'!AK14</f>
        <v>0</v>
      </c>
      <c r="AL13" s="20">
        <f>'Working Capital'!AL14</f>
        <v>0</v>
      </c>
      <c r="AN13" s="20">
        <f>SUM(C13:E13)</f>
        <v>0</v>
      </c>
      <c r="AO13" s="20">
        <f>SUM(F13:H13)</f>
        <v>0</v>
      </c>
      <c r="AP13" s="20">
        <f>SUM(I13:K13)</f>
        <v>0</v>
      </c>
      <c r="AQ13" s="20">
        <f>SUM(L13:N13)</f>
        <v>0</v>
      </c>
      <c r="AR13" s="20">
        <f>SUM(O13:Q13)</f>
        <v>0</v>
      </c>
      <c r="AS13" s="20">
        <f>SUM(R13:T13)</f>
        <v>0</v>
      </c>
      <c r="AT13" s="20">
        <f>SUM(U13:W13)</f>
        <v>0</v>
      </c>
      <c r="AU13" s="20">
        <f>SUM(X13:Z13)</f>
        <v>0</v>
      </c>
      <c r="AV13" s="20">
        <f>SUM(AA13:AC13)</f>
        <v>0</v>
      </c>
      <c r="AW13" s="20">
        <f>SUM(AD13:AF13)</f>
        <v>0</v>
      </c>
      <c r="AX13" s="20">
        <f>SUM(AG13:AI13)</f>
        <v>0</v>
      </c>
      <c r="AY13" s="20">
        <f>SUM(AJ13:AL13)</f>
        <v>0</v>
      </c>
      <c r="BA13" s="20">
        <f>SUM(C13:N13)</f>
        <v>0</v>
      </c>
      <c r="BB13" s="20">
        <f>SUM(O13:Z13)</f>
        <v>0</v>
      </c>
      <c r="BC13" s="20">
        <f>SUM(AA13:AL13)</f>
        <v>0</v>
      </c>
    </row>
    <row r="14" spans="1:55">
      <c r="A14" s="30" t="s">
        <v>408</v>
      </c>
      <c r="B14" s="16"/>
      <c r="C14" s="31">
        <f>C8+C9+C10+C11+C12+C13</f>
        <v>0</v>
      </c>
      <c r="D14" s="31">
        <f>D8+D9+D10+D11+D12+D13</f>
        <v>0</v>
      </c>
      <c r="E14" s="31">
        <f>E8+E9+E10+E11+E12+E13</f>
        <v>0</v>
      </c>
      <c r="F14" s="31">
        <f>F8+F9+F10+F11+F12+F13</f>
        <v>0</v>
      </c>
      <c r="G14" s="31">
        <f>G8+G9+G10+G11+G12+G13</f>
        <v>0</v>
      </c>
      <c r="H14" s="31">
        <f>H8+H9+H10+H11+H12+H13</f>
        <v>0</v>
      </c>
      <c r="I14" s="31">
        <f>I8+I9+I10+I11+I12+I13</f>
        <v>0</v>
      </c>
      <c r="J14" s="31">
        <f>J8+J9+J10+J11+J12+J13</f>
        <v>0</v>
      </c>
      <c r="K14" s="31">
        <f>K8+K9+K10+K11+K12+K13</f>
        <v>0</v>
      </c>
      <c r="L14" s="31">
        <f>L8+L9+L10+L11+L12+L13</f>
        <v>0</v>
      </c>
      <c r="M14" s="31">
        <f>M8+M9+M10+M11+M12+M13</f>
        <v>0</v>
      </c>
      <c r="N14" s="31">
        <f>N8+N9+N10+N11+N12+N13</f>
        <v>0</v>
      </c>
      <c r="O14" s="31">
        <f>O8+O9+O10+O11+O12+O13</f>
        <v>0</v>
      </c>
      <c r="P14" s="31">
        <f>P8+P9+P10+P11+P12+P13</f>
        <v>0</v>
      </c>
      <c r="Q14" s="31">
        <f>Q8+Q9+Q10+Q11+Q12+Q13</f>
        <v>0</v>
      </c>
      <c r="R14" s="31">
        <f>R8+R9+R10+R11+R12+R13</f>
        <v>0</v>
      </c>
      <c r="S14" s="31">
        <f>S8+S9+S10+S11+S12+S13</f>
        <v>0</v>
      </c>
      <c r="T14" s="31">
        <f>T8+T9+T10+T11+T12+T13</f>
        <v>0</v>
      </c>
      <c r="U14" s="31">
        <f>U8+U9+U10+U11+U12+U13</f>
        <v>0</v>
      </c>
      <c r="V14" s="31">
        <f>V8+V9+V10+V11+V12+V13</f>
        <v>0</v>
      </c>
      <c r="W14" s="31">
        <f>W8+W9+W10+W11+W12+W13</f>
        <v>0</v>
      </c>
      <c r="X14" s="31">
        <f>X8+X9+X10+X11+X12+X13</f>
        <v>0</v>
      </c>
      <c r="Y14" s="31">
        <f>Y8+Y9+Y10+Y11+Y12+Y13</f>
        <v>0</v>
      </c>
      <c r="Z14" s="31">
        <f>Z8+Z9+Z10+Z11+Z12+Z13</f>
        <v>0</v>
      </c>
      <c r="AA14" s="31">
        <f>AA8+AA9+AA10+AA11+AA12+AA13</f>
        <v>0</v>
      </c>
      <c r="AB14" s="31">
        <f>AB8+AB9+AB10+AB11+AB12+AB13</f>
        <v>0</v>
      </c>
      <c r="AC14" s="31">
        <f>AC8+AC9+AC10+AC11+AC12+AC13</f>
        <v>0</v>
      </c>
      <c r="AD14" s="31">
        <f>AD8+AD9+AD10+AD11+AD12+AD13</f>
        <v>0</v>
      </c>
      <c r="AE14" s="31">
        <f>AE8+AE9+AE10+AE11+AE12+AE13</f>
        <v>0</v>
      </c>
      <c r="AF14" s="31">
        <f>AF8+AF9+AF10+AF11+AF12+AF13</f>
        <v>0</v>
      </c>
      <c r="AG14" s="31">
        <f>AG8+AG9+AG10+AG11+AG12+AG13</f>
        <v>0</v>
      </c>
      <c r="AH14" s="31">
        <f>AH8+AH9+AH10+AH11+AH12+AH13</f>
        <v>0</v>
      </c>
      <c r="AI14" s="31">
        <f>AI8+AI9+AI10+AI11+AI12+AI13</f>
        <v>0</v>
      </c>
      <c r="AJ14" s="31">
        <f>AJ8+AJ9+AJ10+AJ11+AJ12+AJ13</f>
        <v>0</v>
      </c>
      <c r="AK14" s="31">
        <f>AK8+AK9+AK10+AK11+AK12+AK13</f>
        <v>0</v>
      </c>
      <c r="AL14" s="31">
        <f>AL8+AL9+AL10+AL11+AL12+AL13</f>
        <v>0</v>
      </c>
      <c r="AN14" s="31">
        <f>SUM(C14:E14)</f>
        <v>0</v>
      </c>
      <c r="AO14" s="31">
        <f>SUM(F14:H14)</f>
        <v>0</v>
      </c>
      <c r="AP14" s="31">
        <f>SUM(I14:K14)</f>
        <v>0</v>
      </c>
      <c r="AQ14" s="31">
        <f>SUM(L14:N14)</f>
        <v>0</v>
      </c>
      <c r="AR14" s="31">
        <f>SUM(O14:Q14)</f>
        <v>0</v>
      </c>
      <c r="AS14" s="31">
        <f>SUM(R14:T14)</f>
        <v>0</v>
      </c>
      <c r="AT14" s="31">
        <f>SUM(U14:W14)</f>
        <v>0</v>
      </c>
      <c r="AU14" s="31">
        <f>SUM(X14:Z14)</f>
        <v>0</v>
      </c>
      <c r="AV14" s="31">
        <f>SUM(AA14:AC14)</f>
        <v>0</v>
      </c>
      <c r="AW14" s="31">
        <f>SUM(AD14:AF14)</f>
        <v>0</v>
      </c>
      <c r="AX14" s="31">
        <f>SUM(AG14:AI14)</f>
        <v>0</v>
      </c>
      <c r="AY14" s="31">
        <f>SUM(AJ14:AL14)</f>
        <v>0</v>
      </c>
      <c r="BA14" s="31">
        <f>SUM(C14:N14)</f>
        <v>0</v>
      </c>
      <c r="BB14" s="31">
        <f>SUM(O14:Z14)</f>
        <v>0</v>
      </c>
      <c r="BC14" s="31">
        <f>SUM(AA14:AL14)</f>
        <v>0</v>
      </c>
    </row>
    <row r="15" spans="1:55" ht="5" customHeight="1"/>
    <row r="16" spans="1:55" ht="16" customHeight="1">
      <c r="A16" s="14" t="s">
        <v>409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</row>
    <row r="17" spans="1:55">
      <c r="A17" s="18" t="s">
        <v>410</v>
      </c>
      <c r="B17" s="16"/>
      <c r="C17" s="20">
        <f>-'Working Capital'!C18</f>
        <v>0</v>
      </c>
      <c r="D17" s="20">
        <f>-'Working Capital'!D18</f>
        <v>0</v>
      </c>
      <c r="E17" s="20">
        <f>-'Working Capital'!E18</f>
        <v>0</v>
      </c>
      <c r="F17" s="20">
        <f>-'Working Capital'!F18</f>
        <v>0</v>
      </c>
      <c r="G17" s="20">
        <f>-'Working Capital'!G18</f>
        <v>0</v>
      </c>
      <c r="H17" s="20">
        <f>-'Working Capital'!H18</f>
        <v>0</v>
      </c>
      <c r="I17" s="20">
        <f>-'Working Capital'!I18</f>
        <v>0</v>
      </c>
      <c r="J17" s="20">
        <f>-'Working Capital'!J18</f>
        <v>0</v>
      </c>
      <c r="K17" s="20">
        <f>-'Working Capital'!K18</f>
        <v>0</v>
      </c>
      <c r="L17" s="20">
        <f>-'Working Capital'!L18</f>
        <v>0</v>
      </c>
      <c r="M17" s="20">
        <f>-'Working Capital'!M18</f>
        <v>0</v>
      </c>
      <c r="N17" s="20">
        <f>-'Working Capital'!N18</f>
        <v>0</v>
      </c>
      <c r="O17" s="20">
        <f>-'Working Capital'!O18</f>
        <v>0</v>
      </c>
      <c r="P17" s="20">
        <f>-'Working Capital'!P18</f>
        <v>0</v>
      </c>
      <c r="Q17" s="20">
        <f>-'Working Capital'!Q18</f>
        <v>0</v>
      </c>
      <c r="R17" s="20">
        <f>-'Working Capital'!R18</f>
        <v>0</v>
      </c>
      <c r="S17" s="20">
        <f>-'Working Capital'!S18</f>
        <v>0</v>
      </c>
      <c r="T17" s="20">
        <f>-'Working Capital'!T18</f>
        <v>0</v>
      </c>
      <c r="U17" s="20">
        <f>-'Working Capital'!U18</f>
        <v>0</v>
      </c>
      <c r="V17" s="20">
        <f>-'Working Capital'!V18</f>
        <v>0</v>
      </c>
      <c r="W17" s="20">
        <f>-'Working Capital'!W18</f>
        <v>0</v>
      </c>
      <c r="X17" s="20">
        <f>-'Working Capital'!X18</f>
        <v>0</v>
      </c>
      <c r="Y17" s="20">
        <f>-'Working Capital'!Y18</f>
        <v>0</v>
      </c>
      <c r="Z17" s="20">
        <f>-'Working Capital'!Z18</f>
        <v>0</v>
      </c>
      <c r="AA17" s="20">
        <f>-'Working Capital'!AA18</f>
        <v>0</v>
      </c>
      <c r="AB17" s="20">
        <f>-'Working Capital'!AB18</f>
        <v>0</v>
      </c>
      <c r="AC17" s="20">
        <f>-'Working Capital'!AC18</f>
        <v>0</v>
      </c>
      <c r="AD17" s="20">
        <f>-'Working Capital'!AD18</f>
        <v>0</v>
      </c>
      <c r="AE17" s="20">
        <f>-'Working Capital'!AE18</f>
        <v>0</v>
      </c>
      <c r="AF17" s="20">
        <f>-'Working Capital'!AF18</f>
        <v>0</v>
      </c>
      <c r="AG17" s="20">
        <f>-'Working Capital'!AG18</f>
        <v>0</v>
      </c>
      <c r="AH17" s="20">
        <f>-'Working Capital'!AH18</f>
        <v>0</v>
      </c>
      <c r="AI17" s="20">
        <f>-'Working Capital'!AI18</f>
        <v>0</v>
      </c>
      <c r="AJ17" s="20">
        <f>-'Working Capital'!AJ18</f>
        <v>0</v>
      </c>
      <c r="AK17" s="20">
        <f>-'Working Capital'!AK18</f>
        <v>0</v>
      </c>
      <c r="AL17" s="20">
        <f>-'Working Capital'!AL18</f>
        <v>0</v>
      </c>
      <c r="AN17" s="20">
        <f>SUM(C17:E17)</f>
        <v>0</v>
      </c>
      <c r="AO17" s="20">
        <f>SUM(F17:H17)</f>
        <v>0</v>
      </c>
      <c r="AP17" s="20">
        <f>SUM(I17:K17)</f>
        <v>0</v>
      </c>
      <c r="AQ17" s="20">
        <f>SUM(L17:N17)</f>
        <v>0</v>
      </c>
      <c r="AR17" s="20">
        <f>SUM(O17:Q17)</f>
        <v>0</v>
      </c>
      <c r="AS17" s="20">
        <f>SUM(R17:T17)</f>
        <v>0</v>
      </c>
      <c r="AT17" s="20">
        <f>SUM(U17:W17)</f>
        <v>0</v>
      </c>
      <c r="AU17" s="20">
        <f>SUM(X17:Z17)</f>
        <v>0</v>
      </c>
      <c r="AV17" s="20">
        <f>SUM(AA17:AC17)</f>
        <v>0</v>
      </c>
      <c r="AW17" s="20">
        <f>SUM(AD17:AF17)</f>
        <v>0</v>
      </c>
      <c r="AX17" s="20">
        <f>SUM(AG17:AI17)</f>
        <v>0</v>
      </c>
      <c r="AY17" s="20">
        <f>SUM(AJ17:AL17)</f>
        <v>0</v>
      </c>
      <c r="BA17" s="20">
        <f>SUM(C17:N17)</f>
        <v>0</v>
      </c>
      <c r="BB17" s="20">
        <f>SUM(O17:Z17)</f>
        <v>0</v>
      </c>
      <c r="BC17" s="20">
        <f>SUM(AA17:AL17)</f>
        <v>0</v>
      </c>
    </row>
    <row r="18" spans="1:55">
      <c r="A18" s="30" t="s">
        <v>411</v>
      </c>
      <c r="B18" s="16"/>
      <c r="C18" s="31">
        <f>C17</f>
        <v>0</v>
      </c>
      <c r="D18" s="31">
        <f>D17</f>
        <v>0</v>
      </c>
      <c r="E18" s="31">
        <f>E17</f>
        <v>0</v>
      </c>
      <c r="F18" s="31">
        <f>F17</f>
        <v>0</v>
      </c>
      <c r="G18" s="31">
        <f>G17</f>
        <v>0</v>
      </c>
      <c r="H18" s="31">
        <f>H17</f>
        <v>0</v>
      </c>
      <c r="I18" s="31">
        <f>I17</f>
        <v>0</v>
      </c>
      <c r="J18" s="31">
        <f>J17</f>
        <v>0</v>
      </c>
      <c r="K18" s="31">
        <f>K17</f>
        <v>0</v>
      </c>
      <c r="L18" s="31">
        <f>L17</f>
        <v>0</v>
      </c>
      <c r="M18" s="31">
        <f>M17</f>
        <v>0</v>
      </c>
      <c r="N18" s="31">
        <f>N17</f>
        <v>0</v>
      </c>
      <c r="O18" s="31">
        <f>O17</f>
        <v>0</v>
      </c>
      <c r="P18" s="31">
        <f>P17</f>
        <v>0</v>
      </c>
      <c r="Q18" s="31">
        <f>Q17</f>
        <v>0</v>
      </c>
      <c r="R18" s="31">
        <f>R17</f>
        <v>0</v>
      </c>
      <c r="S18" s="31">
        <f>S17</f>
        <v>0</v>
      </c>
      <c r="T18" s="31">
        <f>T17</f>
        <v>0</v>
      </c>
      <c r="U18" s="31">
        <f>U17</f>
        <v>0</v>
      </c>
      <c r="V18" s="31">
        <f>V17</f>
        <v>0</v>
      </c>
      <c r="W18" s="31">
        <f>W17</f>
        <v>0</v>
      </c>
      <c r="X18" s="31">
        <f>X17</f>
        <v>0</v>
      </c>
      <c r="Y18" s="31">
        <f>Y17</f>
        <v>0</v>
      </c>
      <c r="Z18" s="31">
        <f>Z17</f>
        <v>0</v>
      </c>
      <c r="AA18" s="31">
        <f>AA17</f>
        <v>0</v>
      </c>
      <c r="AB18" s="31">
        <f>AB17</f>
        <v>0</v>
      </c>
      <c r="AC18" s="31">
        <f>AC17</f>
        <v>0</v>
      </c>
      <c r="AD18" s="31">
        <f>AD17</f>
        <v>0</v>
      </c>
      <c r="AE18" s="31">
        <f>AE17</f>
        <v>0</v>
      </c>
      <c r="AF18" s="31">
        <f>AF17</f>
        <v>0</v>
      </c>
      <c r="AG18" s="31">
        <f>AG17</f>
        <v>0</v>
      </c>
      <c r="AH18" s="31">
        <f>AH17</f>
        <v>0</v>
      </c>
      <c r="AI18" s="31">
        <f>AI17</f>
        <v>0</v>
      </c>
      <c r="AJ18" s="31">
        <f>AJ17</f>
        <v>0</v>
      </c>
      <c r="AK18" s="31">
        <f>AK17</f>
        <v>0</v>
      </c>
      <c r="AL18" s="31">
        <f>AL17</f>
        <v>0</v>
      </c>
      <c r="AN18" s="31">
        <f>SUM(C18:E18)</f>
        <v>0</v>
      </c>
      <c r="AO18" s="31">
        <f>SUM(F18:H18)</f>
        <v>0</v>
      </c>
      <c r="AP18" s="31">
        <f>SUM(I18:K18)</f>
        <v>0</v>
      </c>
      <c r="AQ18" s="31">
        <f>SUM(L18:N18)</f>
        <v>0</v>
      </c>
      <c r="AR18" s="31">
        <f>SUM(O18:Q18)</f>
        <v>0</v>
      </c>
      <c r="AS18" s="31">
        <f>SUM(R18:T18)</f>
        <v>0</v>
      </c>
      <c r="AT18" s="31">
        <f>SUM(U18:W18)</f>
        <v>0</v>
      </c>
      <c r="AU18" s="31">
        <f>SUM(X18:Z18)</f>
        <v>0</v>
      </c>
      <c r="AV18" s="31">
        <f>SUM(AA18:AC18)</f>
        <v>0</v>
      </c>
      <c r="AW18" s="31">
        <f>SUM(AD18:AF18)</f>
        <v>0</v>
      </c>
      <c r="AX18" s="31">
        <f>SUM(AG18:AI18)</f>
        <v>0</v>
      </c>
      <c r="AY18" s="31">
        <f>SUM(AJ18:AL18)</f>
        <v>0</v>
      </c>
      <c r="BA18" s="31">
        <f>SUM(C18:N18)</f>
        <v>0</v>
      </c>
      <c r="BB18" s="31">
        <f>SUM(O18:Z18)</f>
        <v>0</v>
      </c>
      <c r="BC18" s="31">
        <f>SUM(AA18:AL18)</f>
        <v>0</v>
      </c>
    </row>
    <row r="19" spans="1:55" ht="5" customHeight="1"/>
    <row r="20" spans="1:55" ht="16" customHeight="1">
      <c r="A20" s="14" t="s">
        <v>412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</row>
    <row r="21" spans="1:55">
      <c r="A21" s="18" t="s">
        <v>413</v>
      </c>
      <c r="B21" s="16"/>
      <c r="C21" s="20">
        <f>'Working Capital'!C23</f>
        <v>0</v>
      </c>
      <c r="D21" s="20">
        <f>'Working Capital'!D23</f>
        <v>0</v>
      </c>
      <c r="E21" s="20">
        <f>'Working Capital'!E23</f>
        <v>0</v>
      </c>
      <c r="F21" s="20">
        <f>'Working Capital'!F23</f>
        <v>0</v>
      </c>
      <c r="G21" s="20">
        <f>'Working Capital'!G23</f>
        <v>0</v>
      </c>
      <c r="H21" s="20">
        <f>'Working Capital'!H23</f>
        <v>0</v>
      </c>
      <c r="I21" s="20">
        <f>'Working Capital'!I23</f>
        <v>0</v>
      </c>
      <c r="J21" s="20">
        <f>'Working Capital'!J23</f>
        <v>0</v>
      </c>
      <c r="K21" s="20">
        <f>'Working Capital'!K23</f>
        <v>0</v>
      </c>
      <c r="L21" s="20">
        <f>'Working Capital'!L23</f>
        <v>0</v>
      </c>
      <c r="M21" s="20">
        <f>'Working Capital'!M23</f>
        <v>0</v>
      </c>
      <c r="N21" s="20">
        <f>'Working Capital'!N23</f>
        <v>0</v>
      </c>
      <c r="O21" s="20">
        <f>'Working Capital'!O23</f>
        <v>0</v>
      </c>
      <c r="P21" s="20">
        <f>'Working Capital'!P23</f>
        <v>0</v>
      </c>
      <c r="Q21" s="20">
        <f>'Working Capital'!Q23</f>
        <v>0</v>
      </c>
      <c r="R21" s="20">
        <f>'Working Capital'!R23</f>
        <v>0</v>
      </c>
      <c r="S21" s="20">
        <f>'Working Capital'!S23</f>
        <v>0</v>
      </c>
      <c r="T21" s="20">
        <f>'Working Capital'!T23</f>
        <v>0</v>
      </c>
      <c r="U21" s="20">
        <f>'Working Capital'!U23</f>
        <v>0</v>
      </c>
      <c r="V21" s="20">
        <f>'Working Capital'!V23</f>
        <v>0</v>
      </c>
      <c r="W21" s="20">
        <f>'Working Capital'!W23</f>
        <v>0</v>
      </c>
      <c r="X21" s="20">
        <f>'Working Capital'!X23</f>
        <v>0</v>
      </c>
      <c r="Y21" s="20">
        <f>'Working Capital'!Y23</f>
        <v>0</v>
      </c>
      <c r="Z21" s="20">
        <f>'Working Capital'!Z23</f>
        <v>0</v>
      </c>
      <c r="AA21" s="20">
        <f>'Working Capital'!AA23</f>
        <v>0</v>
      </c>
      <c r="AB21" s="20">
        <f>'Working Capital'!AB23</f>
        <v>0</v>
      </c>
      <c r="AC21" s="20">
        <f>'Working Capital'!AC23</f>
        <v>0</v>
      </c>
      <c r="AD21" s="20">
        <f>'Working Capital'!AD23</f>
        <v>0</v>
      </c>
      <c r="AE21" s="20">
        <f>'Working Capital'!AE23</f>
        <v>0</v>
      </c>
      <c r="AF21" s="20">
        <f>'Working Capital'!AF23</f>
        <v>0</v>
      </c>
      <c r="AG21" s="20">
        <f>'Working Capital'!AG23</f>
        <v>0</v>
      </c>
      <c r="AH21" s="20">
        <f>'Working Capital'!AH23</f>
        <v>0</v>
      </c>
      <c r="AI21" s="20">
        <f>'Working Capital'!AI23</f>
        <v>0</v>
      </c>
      <c r="AJ21" s="20">
        <f>'Working Capital'!AJ23</f>
        <v>0</v>
      </c>
      <c r="AK21" s="20">
        <f>'Working Capital'!AK23</f>
        <v>0</v>
      </c>
      <c r="AL21" s="20">
        <f>'Working Capital'!AL23</f>
        <v>0</v>
      </c>
      <c r="AN21" s="20">
        <f>SUM(C21:E21)</f>
        <v>0</v>
      </c>
      <c r="AO21" s="20">
        <f>SUM(F21:H21)</f>
        <v>0</v>
      </c>
      <c r="AP21" s="20">
        <f>SUM(I21:K21)</f>
        <v>0</v>
      </c>
      <c r="AQ21" s="20">
        <f>SUM(L21:N21)</f>
        <v>0</v>
      </c>
      <c r="AR21" s="20">
        <f>SUM(O21:Q21)</f>
        <v>0</v>
      </c>
      <c r="AS21" s="20">
        <f>SUM(R21:T21)</f>
        <v>0</v>
      </c>
      <c r="AT21" s="20">
        <f>SUM(U21:W21)</f>
        <v>0</v>
      </c>
      <c r="AU21" s="20">
        <f>SUM(X21:Z21)</f>
        <v>0</v>
      </c>
      <c r="AV21" s="20">
        <f>SUM(AA21:AC21)</f>
        <v>0</v>
      </c>
      <c r="AW21" s="20">
        <f>SUM(AD21:AF21)</f>
        <v>0</v>
      </c>
      <c r="AX21" s="20">
        <f>SUM(AG21:AI21)</f>
        <v>0</v>
      </c>
      <c r="AY21" s="20">
        <f>SUM(AJ21:AL21)</f>
        <v>0</v>
      </c>
      <c r="BA21" s="20">
        <f>SUM(C21:N21)</f>
        <v>0</v>
      </c>
      <c r="BB21" s="20">
        <f>SUM(O21:Z21)</f>
        <v>0</v>
      </c>
      <c r="BC21" s="20">
        <f>SUM(AA21:AL21)</f>
        <v>0</v>
      </c>
    </row>
    <row r="22" spans="1:55">
      <c r="A22" s="18" t="s">
        <v>414</v>
      </c>
      <c r="B22" s="16"/>
      <c r="C22" s="20">
        <f>-'Working Capital'!C24</f>
        <v>0</v>
      </c>
      <c r="D22" s="20">
        <f>-'Working Capital'!D24</f>
        <v>0</v>
      </c>
      <c r="E22" s="20">
        <f>-'Working Capital'!E24</f>
        <v>0</v>
      </c>
      <c r="F22" s="20">
        <f>-'Working Capital'!F24</f>
        <v>0</v>
      </c>
      <c r="G22" s="20">
        <f>-'Working Capital'!G24</f>
        <v>0</v>
      </c>
      <c r="H22" s="20">
        <f>-'Working Capital'!H24</f>
        <v>0</v>
      </c>
      <c r="I22" s="20">
        <f>-'Working Capital'!I24</f>
        <v>0</v>
      </c>
      <c r="J22" s="20">
        <f>-'Working Capital'!J24</f>
        <v>0</v>
      </c>
      <c r="K22" s="20">
        <f>-'Working Capital'!K24</f>
        <v>0</v>
      </c>
      <c r="L22" s="20">
        <f>-'Working Capital'!L24</f>
        <v>0</v>
      </c>
      <c r="M22" s="20">
        <f>-'Working Capital'!M24</f>
        <v>0</v>
      </c>
      <c r="N22" s="20">
        <f>-'Working Capital'!N24</f>
        <v>0</v>
      </c>
      <c r="O22" s="20">
        <f>-'Working Capital'!O24</f>
        <v>0</v>
      </c>
      <c r="P22" s="20">
        <f>-'Working Capital'!P24</f>
        <v>0</v>
      </c>
      <c r="Q22" s="20">
        <f>-'Working Capital'!Q24</f>
        <v>0</v>
      </c>
      <c r="R22" s="20">
        <f>-'Working Capital'!R24</f>
        <v>0</v>
      </c>
      <c r="S22" s="20">
        <f>-'Working Capital'!S24</f>
        <v>0</v>
      </c>
      <c r="T22" s="20">
        <f>-'Working Capital'!T24</f>
        <v>0</v>
      </c>
      <c r="U22" s="20">
        <f>-'Working Capital'!U24</f>
        <v>0</v>
      </c>
      <c r="V22" s="20">
        <f>-'Working Capital'!V24</f>
        <v>0</v>
      </c>
      <c r="W22" s="20">
        <f>-'Working Capital'!W24</f>
        <v>0</v>
      </c>
      <c r="X22" s="20">
        <f>-'Working Capital'!X24</f>
        <v>0</v>
      </c>
      <c r="Y22" s="20">
        <f>-'Working Capital'!Y24</f>
        <v>0</v>
      </c>
      <c r="Z22" s="20">
        <f>-'Working Capital'!Z24</f>
        <v>0</v>
      </c>
      <c r="AA22" s="20">
        <f>-'Working Capital'!AA24</f>
        <v>0</v>
      </c>
      <c r="AB22" s="20">
        <f>-'Working Capital'!AB24</f>
        <v>0</v>
      </c>
      <c r="AC22" s="20">
        <f>-'Working Capital'!AC24</f>
        <v>0</v>
      </c>
      <c r="AD22" s="20">
        <f>-'Working Capital'!AD24</f>
        <v>0</v>
      </c>
      <c r="AE22" s="20">
        <f>-'Working Capital'!AE24</f>
        <v>0</v>
      </c>
      <c r="AF22" s="20">
        <f>-'Working Capital'!AF24</f>
        <v>0</v>
      </c>
      <c r="AG22" s="20">
        <f>-'Working Capital'!AG24</f>
        <v>0</v>
      </c>
      <c r="AH22" s="20">
        <f>-'Working Capital'!AH24</f>
        <v>0</v>
      </c>
      <c r="AI22" s="20">
        <f>-'Working Capital'!AI24</f>
        <v>0</v>
      </c>
      <c r="AJ22" s="20">
        <f>-'Working Capital'!AJ24</f>
        <v>0</v>
      </c>
      <c r="AK22" s="20">
        <f>-'Working Capital'!AK24</f>
        <v>0</v>
      </c>
      <c r="AL22" s="20">
        <f>-'Working Capital'!AL24</f>
        <v>0</v>
      </c>
      <c r="AN22" s="20">
        <f>SUM(C22:E22)</f>
        <v>0</v>
      </c>
      <c r="AO22" s="20">
        <f>SUM(F22:H22)</f>
        <v>0</v>
      </c>
      <c r="AP22" s="20">
        <f>SUM(I22:K22)</f>
        <v>0</v>
      </c>
      <c r="AQ22" s="20">
        <f>SUM(L22:N22)</f>
        <v>0</v>
      </c>
      <c r="AR22" s="20">
        <f>SUM(O22:Q22)</f>
        <v>0</v>
      </c>
      <c r="AS22" s="20">
        <f>SUM(R22:T22)</f>
        <v>0</v>
      </c>
      <c r="AT22" s="20">
        <f>SUM(U22:W22)</f>
        <v>0</v>
      </c>
      <c r="AU22" s="20">
        <f>SUM(X22:Z22)</f>
        <v>0</v>
      </c>
      <c r="AV22" s="20">
        <f>SUM(AA22:AC22)</f>
        <v>0</v>
      </c>
      <c r="AW22" s="20">
        <f>SUM(AD22:AF22)</f>
        <v>0</v>
      </c>
      <c r="AX22" s="20">
        <f>SUM(AG22:AI22)</f>
        <v>0</v>
      </c>
      <c r="AY22" s="20">
        <f>SUM(AJ22:AL22)</f>
        <v>0</v>
      </c>
      <c r="BA22" s="20">
        <f>SUM(C22:N22)</f>
        <v>0</v>
      </c>
      <c r="BB22" s="20">
        <f>SUM(O22:Z22)</f>
        <v>0</v>
      </c>
      <c r="BC22" s="20">
        <f>SUM(AA22:AL22)</f>
        <v>0</v>
      </c>
    </row>
    <row r="23" spans="1:55">
      <c r="A23" s="18" t="s">
        <v>415</v>
      </c>
      <c r="B23" s="16"/>
      <c r="C23" s="20">
        <f>'Working Capital'!C29</f>
        <v>0</v>
      </c>
      <c r="D23" s="20">
        <f>'Working Capital'!D29</f>
        <v>0</v>
      </c>
      <c r="E23" s="20">
        <f>'Working Capital'!E29</f>
        <v>0</v>
      </c>
      <c r="F23" s="20">
        <f>'Working Capital'!F29</f>
        <v>0</v>
      </c>
      <c r="G23" s="20">
        <f>'Working Capital'!G29</f>
        <v>0</v>
      </c>
      <c r="H23" s="20">
        <f>'Working Capital'!H29</f>
        <v>0</v>
      </c>
      <c r="I23" s="20">
        <f>'Working Capital'!I29</f>
        <v>0</v>
      </c>
      <c r="J23" s="20">
        <f>'Working Capital'!J29</f>
        <v>0</v>
      </c>
      <c r="K23" s="20">
        <f>'Working Capital'!K29</f>
        <v>0</v>
      </c>
      <c r="L23" s="20">
        <f>'Working Capital'!L29</f>
        <v>0</v>
      </c>
      <c r="M23" s="20">
        <f>'Working Capital'!M29</f>
        <v>0</v>
      </c>
      <c r="N23" s="20">
        <f>'Working Capital'!N29</f>
        <v>0</v>
      </c>
      <c r="O23" s="20">
        <f>'Working Capital'!O29</f>
        <v>0</v>
      </c>
      <c r="P23" s="20">
        <f>'Working Capital'!P29</f>
        <v>0</v>
      </c>
      <c r="Q23" s="20">
        <f>'Working Capital'!Q29</f>
        <v>0</v>
      </c>
      <c r="R23" s="20">
        <f>'Working Capital'!R29</f>
        <v>0</v>
      </c>
      <c r="S23" s="20">
        <f>'Working Capital'!S29</f>
        <v>0</v>
      </c>
      <c r="T23" s="20">
        <f>'Working Capital'!T29</f>
        <v>0</v>
      </c>
      <c r="U23" s="20">
        <f>'Working Capital'!U29</f>
        <v>0</v>
      </c>
      <c r="V23" s="20">
        <f>'Working Capital'!V29</f>
        <v>0</v>
      </c>
      <c r="W23" s="20">
        <f>'Working Capital'!W29</f>
        <v>0</v>
      </c>
      <c r="X23" s="20">
        <f>'Working Capital'!X29</f>
        <v>0</v>
      </c>
      <c r="Y23" s="20">
        <f>'Working Capital'!Y29</f>
        <v>0</v>
      </c>
      <c r="Z23" s="20">
        <f>'Working Capital'!Z29</f>
        <v>0</v>
      </c>
      <c r="AA23" s="20">
        <f>'Working Capital'!AA29</f>
        <v>0</v>
      </c>
      <c r="AB23" s="20">
        <f>'Working Capital'!AB29</f>
        <v>0</v>
      </c>
      <c r="AC23" s="20">
        <f>'Working Capital'!AC29</f>
        <v>0</v>
      </c>
      <c r="AD23" s="20">
        <f>'Working Capital'!AD29</f>
        <v>0</v>
      </c>
      <c r="AE23" s="20">
        <f>'Working Capital'!AE29</f>
        <v>0</v>
      </c>
      <c r="AF23" s="20">
        <f>'Working Capital'!AF29</f>
        <v>0</v>
      </c>
      <c r="AG23" s="20">
        <f>'Working Capital'!AG29</f>
        <v>0</v>
      </c>
      <c r="AH23" s="20">
        <f>'Working Capital'!AH29</f>
        <v>0</v>
      </c>
      <c r="AI23" s="20">
        <f>'Working Capital'!AI29</f>
        <v>0</v>
      </c>
      <c r="AJ23" s="20">
        <f>'Working Capital'!AJ29</f>
        <v>0</v>
      </c>
      <c r="AK23" s="20">
        <f>'Working Capital'!AK29</f>
        <v>0</v>
      </c>
      <c r="AL23" s="20">
        <f>'Working Capital'!AL29</f>
        <v>0</v>
      </c>
      <c r="AN23" s="20">
        <f>SUM(C23:E23)</f>
        <v>0</v>
      </c>
      <c r="AO23" s="20">
        <f>SUM(F23:H23)</f>
        <v>0</v>
      </c>
      <c r="AP23" s="20">
        <f>SUM(I23:K23)</f>
        <v>0</v>
      </c>
      <c r="AQ23" s="20">
        <f>SUM(L23:N23)</f>
        <v>0</v>
      </c>
      <c r="AR23" s="20">
        <f>SUM(O23:Q23)</f>
        <v>0</v>
      </c>
      <c r="AS23" s="20">
        <f>SUM(R23:T23)</f>
        <v>0</v>
      </c>
      <c r="AT23" s="20">
        <f>SUM(U23:W23)</f>
        <v>0</v>
      </c>
      <c r="AU23" s="20">
        <f>SUM(X23:Z23)</f>
        <v>0</v>
      </c>
      <c r="AV23" s="20">
        <f>SUM(AA23:AC23)</f>
        <v>0</v>
      </c>
      <c r="AW23" s="20">
        <f>SUM(AD23:AF23)</f>
        <v>0</v>
      </c>
      <c r="AX23" s="20">
        <f>SUM(AG23:AI23)</f>
        <v>0</v>
      </c>
      <c r="AY23" s="20">
        <f>SUM(AJ23:AL23)</f>
        <v>0</v>
      </c>
      <c r="BA23" s="20">
        <f>SUM(C23:N23)</f>
        <v>0</v>
      </c>
      <c r="BB23" s="20">
        <f>SUM(O23:Z23)</f>
        <v>0</v>
      </c>
      <c r="BC23" s="20">
        <f>SUM(AA23:AL23)</f>
        <v>0</v>
      </c>
    </row>
    <row r="24" spans="1:55">
      <c r="A24" s="30" t="s">
        <v>416</v>
      </c>
      <c r="B24" s="16"/>
      <c r="C24" s="31">
        <f>C21+C22+C23</f>
        <v>0</v>
      </c>
      <c r="D24" s="31">
        <f>D21+D22+D23</f>
        <v>0</v>
      </c>
      <c r="E24" s="31">
        <f>E21+E22+E23</f>
        <v>0</v>
      </c>
      <c r="F24" s="31">
        <f>F21+F22+F23</f>
        <v>0</v>
      </c>
      <c r="G24" s="31">
        <f>G21+G22+G23</f>
        <v>0</v>
      </c>
      <c r="H24" s="31">
        <f>H21+H22+H23</f>
        <v>0</v>
      </c>
      <c r="I24" s="31">
        <f>I21+I22+I23</f>
        <v>0</v>
      </c>
      <c r="J24" s="31">
        <f>J21+J22+J23</f>
        <v>0</v>
      </c>
      <c r="K24" s="31">
        <f>K21+K22+K23</f>
        <v>0</v>
      </c>
      <c r="L24" s="31">
        <f>L21+L22+L23</f>
        <v>0</v>
      </c>
      <c r="M24" s="31">
        <f>M21+M22+M23</f>
        <v>0</v>
      </c>
      <c r="N24" s="31">
        <f>N21+N22+N23</f>
        <v>0</v>
      </c>
      <c r="O24" s="31">
        <f>O21+O22+O23</f>
        <v>0</v>
      </c>
      <c r="P24" s="31">
        <f>P21+P22+P23</f>
        <v>0</v>
      </c>
      <c r="Q24" s="31">
        <f>Q21+Q22+Q23</f>
        <v>0</v>
      </c>
      <c r="R24" s="31">
        <f>R21+R22+R23</f>
        <v>0</v>
      </c>
      <c r="S24" s="31">
        <f>S21+S22+S23</f>
        <v>0</v>
      </c>
      <c r="T24" s="31">
        <f>T21+T22+T23</f>
        <v>0</v>
      </c>
      <c r="U24" s="31">
        <f>U21+U22+U23</f>
        <v>0</v>
      </c>
      <c r="V24" s="31">
        <f>V21+V22+V23</f>
        <v>0</v>
      </c>
      <c r="W24" s="31">
        <f>W21+W22+W23</f>
        <v>0</v>
      </c>
      <c r="X24" s="31">
        <f>X21+X22+X23</f>
        <v>0</v>
      </c>
      <c r="Y24" s="31">
        <f>Y21+Y22+Y23</f>
        <v>0</v>
      </c>
      <c r="Z24" s="31">
        <f>Z21+Z22+Z23</f>
        <v>0</v>
      </c>
      <c r="AA24" s="31">
        <f>AA21+AA22+AA23</f>
        <v>0</v>
      </c>
      <c r="AB24" s="31">
        <f>AB21+AB22+AB23</f>
        <v>0</v>
      </c>
      <c r="AC24" s="31">
        <f>AC21+AC22+AC23</f>
        <v>0</v>
      </c>
      <c r="AD24" s="31">
        <f>AD21+AD22+AD23</f>
        <v>0</v>
      </c>
      <c r="AE24" s="31">
        <f>AE21+AE22+AE23</f>
        <v>0</v>
      </c>
      <c r="AF24" s="31">
        <f>AF21+AF22+AF23</f>
        <v>0</v>
      </c>
      <c r="AG24" s="31">
        <f>AG21+AG22+AG23</f>
        <v>0</v>
      </c>
      <c r="AH24" s="31">
        <f>AH21+AH22+AH23</f>
        <v>0</v>
      </c>
      <c r="AI24" s="31">
        <f>AI21+AI22+AI23</f>
        <v>0</v>
      </c>
      <c r="AJ24" s="31">
        <f>AJ21+AJ22+AJ23</f>
        <v>0</v>
      </c>
      <c r="AK24" s="31">
        <f>AK21+AK22+AK23</f>
        <v>0</v>
      </c>
      <c r="AL24" s="31">
        <f>AL21+AL22+AL23</f>
        <v>0</v>
      </c>
      <c r="AN24" s="31">
        <f>SUM(C24:E24)</f>
        <v>0</v>
      </c>
      <c r="AO24" s="31">
        <f>SUM(F24:H24)</f>
        <v>0</v>
      </c>
      <c r="AP24" s="31">
        <f>SUM(I24:K24)</f>
        <v>0</v>
      </c>
      <c r="AQ24" s="31">
        <f>SUM(L24:N24)</f>
        <v>0</v>
      </c>
      <c r="AR24" s="31">
        <f>SUM(O24:Q24)</f>
        <v>0</v>
      </c>
      <c r="AS24" s="31">
        <f>SUM(R24:T24)</f>
        <v>0</v>
      </c>
      <c r="AT24" s="31">
        <f>SUM(U24:W24)</f>
        <v>0</v>
      </c>
      <c r="AU24" s="31">
        <f>SUM(X24:Z24)</f>
        <v>0</v>
      </c>
      <c r="AV24" s="31">
        <f>SUM(AA24:AC24)</f>
        <v>0</v>
      </c>
      <c r="AW24" s="31">
        <f>SUM(AD24:AF24)</f>
        <v>0</v>
      </c>
      <c r="AX24" s="31">
        <f>SUM(AG24:AI24)</f>
        <v>0</v>
      </c>
      <c r="AY24" s="31">
        <f>SUM(AJ24:AL24)</f>
        <v>0</v>
      </c>
      <c r="BA24" s="31">
        <f>SUM(C24:N24)</f>
        <v>0</v>
      </c>
      <c r="BB24" s="31">
        <f>SUM(O24:Z24)</f>
        <v>0</v>
      </c>
      <c r="BC24" s="31">
        <f>SUM(AA24:AL24)</f>
        <v>0</v>
      </c>
    </row>
    <row r="25" spans="1:55" ht="5" customHeight="1"/>
    <row r="26" spans="1:55">
      <c r="A26" s="30" t="s">
        <v>417</v>
      </c>
      <c r="B26" s="16"/>
      <c r="C26" s="31">
        <f>C14+C18+C24</f>
        <v>0</v>
      </c>
      <c r="D26" s="31">
        <f>D14+D18+D24</f>
        <v>0</v>
      </c>
      <c r="E26" s="31">
        <f>E14+E18+E24</f>
        <v>0</v>
      </c>
      <c r="F26" s="31">
        <f>F14+F18+F24</f>
        <v>0</v>
      </c>
      <c r="G26" s="31">
        <f>G14+G18+G24</f>
        <v>0</v>
      </c>
      <c r="H26" s="31">
        <f>H14+H18+H24</f>
        <v>0</v>
      </c>
      <c r="I26" s="31">
        <f>I14+I18+I24</f>
        <v>0</v>
      </c>
      <c r="J26" s="31">
        <f>J14+J18+J24</f>
        <v>0</v>
      </c>
      <c r="K26" s="31">
        <f>K14+K18+K24</f>
        <v>0</v>
      </c>
      <c r="L26" s="31">
        <f>L14+L18+L24</f>
        <v>0</v>
      </c>
      <c r="M26" s="31">
        <f>M14+M18+M24</f>
        <v>0</v>
      </c>
      <c r="N26" s="31">
        <f>N14+N18+N24</f>
        <v>0</v>
      </c>
      <c r="O26" s="31">
        <f>O14+O18+O24</f>
        <v>0</v>
      </c>
      <c r="P26" s="31">
        <f>P14+P18+P24</f>
        <v>0</v>
      </c>
      <c r="Q26" s="31">
        <f>Q14+Q18+Q24</f>
        <v>0</v>
      </c>
      <c r="R26" s="31">
        <f>R14+R18+R24</f>
        <v>0</v>
      </c>
      <c r="S26" s="31">
        <f>S14+S18+S24</f>
        <v>0</v>
      </c>
      <c r="T26" s="31">
        <f>T14+T18+T24</f>
        <v>0</v>
      </c>
      <c r="U26" s="31">
        <f>U14+U18+U24</f>
        <v>0</v>
      </c>
      <c r="V26" s="31">
        <f>V14+V18+V24</f>
        <v>0</v>
      </c>
      <c r="W26" s="31">
        <f>W14+W18+W24</f>
        <v>0</v>
      </c>
      <c r="X26" s="31">
        <f>X14+X18+X24</f>
        <v>0</v>
      </c>
      <c r="Y26" s="31">
        <f>Y14+Y18+Y24</f>
        <v>0</v>
      </c>
      <c r="Z26" s="31">
        <f>Z14+Z18+Z24</f>
        <v>0</v>
      </c>
      <c r="AA26" s="31">
        <f>AA14+AA18+AA24</f>
        <v>0</v>
      </c>
      <c r="AB26" s="31">
        <f>AB14+AB18+AB24</f>
        <v>0</v>
      </c>
      <c r="AC26" s="31">
        <f>AC14+AC18+AC24</f>
        <v>0</v>
      </c>
      <c r="AD26" s="31">
        <f>AD14+AD18+AD24</f>
        <v>0</v>
      </c>
      <c r="AE26" s="31">
        <f>AE14+AE18+AE24</f>
        <v>0</v>
      </c>
      <c r="AF26" s="31">
        <f>AF14+AF18+AF24</f>
        <v>0</v>
      </c>
      <c r="AG26" s="31">
        <f>AG14+AG18+AG24</f>
        <v>0</v>
      </c>
      <c r="AH26" s="31">
        <f>AH14+AH18+AH24</f>
        <v>0</v>
      </c>
      <c r="AI26" s="31">
        <f>AI14+AI18+AI24</f>
        <v>0</v>
      </c>
      <c r="AJ26" s="31">
        <f>AJ14+AJ18+AJ24</f>
        <v>0</v>
      </c>
      <c r="AK26" s="31">
        <f>AK14+AK18+AK24</f>
        <v>0</v>
      </c>
      <c r="AL26" s="31">
        <f>AL14+AL18+AL24</f>
        <v>0</v>
      </c>
      <c r="AN26" s="31">
        <f>SUM(C26:E26)</f>
        <v>0</v>
      </c>
      <c r="AO26" s="31">
        <f>SUM(F26:H26)</f>
        <v>0</v>
      </c>
      <c r="AP26" s="31">
        <f>SUM(I26:K26)</f>
        <v>0</v>
      </c>
      <c r="AQ26" s="31">
        <f>SUM(L26:N26)</f>
        <v>0</v>
      </c>
      <c r="AR26" s="31">
        <f>SUM(O26:Q26)</f>
        <v>0</v>
      </c>
      <c r="AS26" s="31">
        <f>SUM(R26:T26)</f>
        <v>0</v>
      </c>
      <c r="AT26" s="31">
        <f>SUM(U26:W26)</f>
        <v>0</v>
      </c>
      <c r="AU26" s="31">
        <f>SUM(X26:Z26)</f>
        <v>0</v>
      </c>
      <c r="AV26" s="31">
        <f>SUM(AA26:AC26)</f>
        <v>0</v>
      </c>
      <c r="AW26" s="31">
        <f>SUM(AD26:AF26)</f>
        <v>0</v>
      </c>
      <c r="AX26" s="31">
        <f>SUM(AG26:AI26)</f>
        <v>0</v>
      </c>
      <c r="AY26" s="31">
        <f>SUM(AJ26:AL26)</f>
        <v>0</v>
      </c>
      <c r="BA26" s="31">
        <f>SUM(C26:N26)</f>
        <v>0</v>
      </c>
      <c r="BB26" s="31">
        <f>SUM(O26:Z26)</f>
        <v>0</v>
      </c>
      <c r="BC26" s="31">
        <f>SUM(AA26:AL26)</f>
        <v>0</v>
      </c>
    </row>
    <row r="27" spans="1:55">
      <c r="A27" s="18" t="s">
        <v>418</v>
      </c>
      <c r="B27" s="16" t="s">
        <v>419</v>
      </c>
      <c r="C27" s="20">
        <f>'Assumptions'!$F$8</f>
        <v>0</v>
      </c>
      <c r="D27" s="20">
        <f>C28</f>
        <v>0</v>
      </c>
      <c r="E27" s="20">
        <f>D28</f>
        <v>0</v>
      </c>
      <c r="F27" s="20">
        <f>E28</f>
        <v>0</v>
      </c>
      <c r="G27" s="20">
        <f>F28</f>
        <v>0</v>
      </c>
      <c r="H27" s="20">
        <f>G28</f>
        <v>0</v>
      </c>
      <c r="I27" s="20">
        <f>H28</f>
        <v>0</v>
      </c>
      <c r="J27" s="20">
        <f>I28</f>
        <v>0</v>
      </c>
      <c r="K27" s="20">
        <f>J28</f>
        <v>0</v>
      </c>
      <c r="L27" s="20">
        <f>K28</f>
        <v>0</v>
      </c>
      <c r="M27" s="20">
        <f>L28</f>
        <v>0</v>
      </c>
      <c r="N27" s="20">
        <f>M28</f>
        <v>0</v>
      </c>
      <c r="O27" s="20">
        <f>N28</f>
        <v>0</v>
      </c>
      <c r="P27" s="20">
        <f>O28</f>
        <v>0</v>
      </c>
      <c r="Q27" s="20">
        <f>P28</f>
        <v>0</v>
      </c>
      <c r="R27" s="20">
        <f>Q28</f>
        <v>0</v>
      </c>
      <c r="S27" s="20">
        <f>R28</f>
        <v>0</v>
      </c>
      <c r="T27" s="20">
        <f>S28</f>
        <v>0</v>
      </c>
      <c r="U27" s="20">
        <f>T28</f>
        <v>0</v>
      </c>
      <c r="V27" s="20">
        <f>U28</f>
        <v>0</v>
      </c>
      <c r="W27" s="20">
        <f>V28</f>
        <v>0</v>
      </c>
      <c r="X27" s="20">
        <f>W28</f>
        <v>0</v>
      </c>
      <c r="Y27" s="20">
        <f>X28</f>
        <v>0</v>
      </c>
      <c r="Z27" s="20">
        <f>Y28</f>
        <v>0</v>
      </c>
      <c r="AA27" s="20">
        <f>Z28</f>
        <v>0</v>
      </c>
      <c r="AB27" s="20">
        <f>AA28</f>
        <v>0</v>
      </c>
      <c r="AC27" s="20">
        <f>AB28</f>
        <v>0</v>
      </c>
      <c r="AD27" s="20">
        <f>AC28</f>
        <v>0</v>
      </c>
      <c r="AE27" s="20">
        <f>AD28</f>
        <v>0</v>
      </c>
      <c r="AF27" s="20">
        <f>AE28</f>
        <v>0</v>
      </c>
      <c r="AG27" s="20">
        <f>AF28</f>
        <v>0</v>
      </c>
      <c r="AH27" s="20">
        <f>AG28</f>
        <v>0</v>
      </c>
      <c r="AI27" s="20">
        <f>AH28</f>
        <v>0</v>
      </c>
      <c r="AJ27" s="20">
        <f>AI28</f>
        <v>0</v>
      </c>
      <c r="AK27" s="20">
        <f>AJ28</f>
        <v>0</v>
      </c>
      <c r="AL27" s="20">
        <f>AK28</f>
        <v>0</v>
      </c>
      <c r="AN27" s="20">
        <f>C27</f>
        <v>0</v>
      </c>
      <c r="AO27" s="20">
        <f>F27</f>
        <v>0</v>
      </c>
      <c r="AP27" s="20">
        <f>I27</f>
        <v>0</v>
      </c>
      <c r="AQ27" s="20">
        <f>L27</f>
        <v>0</v>
      </c>
      <c r="AR27" s="20">
        <f>O27</f>
        <v>0</v>
      </c>
      <c r="AS27" s="20">
        <f>R27</f>
        <v>0</v>
      </c>
      <c r="AT27" s="20">
        <f>U27</f>
        <v>0</v>
      </c>
      <c r="AU27" s="20">
        <f>X27</f>
        <v>0</v>
      </c>
      <c r="AV27" s="20">
        <f>AA27</f>
        <v>0</v>
      </c>
      <c r="AW27" s="20">
        <f>AD27</f>
        <v>0</v>
      </c>
      <c r="AX27" s="20">
        <f>AG27</f>
        <v>0</v>
      </c>
      <c r="AY27" s="20">
        <f>AJ27</f>
        <v>0</v>
      </c>
      <c r="BA27" s="20">
        <f>C27</f>
        <v>0</v>
      </c>
      <c r="BB27" s="20">
        <f>O27</f>
        <v>0</v>
      </c>
      <c r="BC27" s="20">
        <f>AA27</f>
        <v>0</v>
      </c>
    </row>
    <row r="28" spans="1:55">
      <c r="A28" s="30" t="s">
        <v>420</v>
      </c>
      <c r="B28" s="16" t="s">
        <v>421</v>
      </c>
      <c r="C28" s="31">
        <f>C27+C26</f>
        <v>0</v>
      </c>
      <c r="D28" s="31">
        <f>D27+D26</f>
        <v>0</v>
      </c>
      <c r="E28" s="31">
        <f>E27+E26</f>
        <v>0</v>
      </c>
      <c r="F28" s="31">
        <f>F27+F26</f>
        <v>0</v>
      </c>
      <c r="G28" s="31">
        <f>G27+G26</f>
        <v>0</v>
      </c>
      <c r="H28" s="31">
        <f>H27+H26</f>
        <v>0</v>
      </c>
      <c r="I28" s="31">
        <f>I27+I26</f>
        <v>0</v>
      </c>
      <c r="J28" s="31">
        <f>J27+J26</f>
        <v>0</v>
      </c>
      <c r="K28" s="31">
        <f>K27+K26</f>
        <v>0</v>
      </c>
      <c r="L28" s="31">
        <f>L27+L26</f>
        <v>0</v>
      </c>
      <c r="M28" s="31">
        <f>M27+M26</f>
        <v>0</v>
      </c>
      <c r="N28" s="31">
        <f>N27+N26</f>
        <v>0</v>
      </c>
      <c r="O28" s="31">
        <f>O27+O26</f>
        <v>0</v>
      </c>
      <c r="P28" s="31">
        <f>P27+P26</f>
        <v>0</v>
      </c>
      <c r="Q28" s="31">
        <f>Q27+Q26</f>
        <v>0</v>
      </c>
      <c r="R28" s="31">
        <f>R27+R26</f>
        <v>0</v>
      </c>
      <c r="S28" s="31">
        <f>S27+S26</f>
        <v>0</v>
      </c>
      <c r="T28" s="31">
        <f>T27+T26</f>
        <v>0</v>
      </c>
      <c r="U28" s="31">
        <f>U27+U26</f>
        <v>0</v>
      </c>
      <c r="V28" s="31">
        <f>V27+V26</f>
        <v>0</v>
      </c>
      <c r="W28" s="31">
        <f>W27+W26</f>
        <v>0</v>
      </c>
      <c r="X28" s="31">
        <f>X27+X26</f>
        <v>0</v>
      </c>
      <c r="Y28" s="31">
        <f>Y27+Y26</f>
        <v>0</v>
      </c>
      <c r="Z28" s="31">
        <f>Z27+Z26</f>
        <v>0</v>
      </c>
      <c r="AA28" s="31">
        <f>AA27+AA26</f>
        <v>0</v>
      </c>
      <c r="AB28" s="31">
        <f>AB27+AB26</f>
        <v>0</v>
      </c>
      <c r="AC28" s="31">
        <f>AC27+AC26</f>
        <v>0</v>
      </c>
      <c r="AD28" s="31">
        <f>AD27+AD26</f>
        <v>0</v>
      </c>
      <c r="AE28" s="31">
        <f>AE27+AE26</f>
        <v>0</v>
      </c>
      <c r="AF28" s="31">
        <f>AF27+AF26</f>
        <v>0</v>
      </c>
      <c r="AG28" s="31">
        <f>AG27+AG26</f>
        <v>0</v>
      </c>
      <c r="AH28" s="31">
        <f>AH27+AH26</f>
        <v>0</v>
      </c>
      <c r="AI28" s="31">
        <f>AI27+AI26</f>
        <v>0</v>
      </c>
      <c r="AJ28" s="31">
        <f>AJ27+AJ26</f>
        <v>0</v>
      </c>
      <c r="AK28" s="31">
        <f>AK27+AK26</f>
        <v>0</v>
      </c>
      <c r="AL28" s="31">
        <f>AL27+AL26</f>
        <v>0</v>
      </c>
      <c r="AN28" s="31">
        <f>E28</f>
        <v>0</v>
      </c>
      <c r="AO28" s="31">
        <f>H28</f>
        <v>0</v>
      </c>
      <c r="AP28" s="31">
        <f>K28</f>
        <v>0</v>
      </c>
      <c r="AQ28" s="31">
        <f>N28</f>
        <v>0</v>
      </c>
      <c r="AR28" s="31">
        <f>Q28</f>
        <v>0</v>
      </c>
      <c r="AS28" s="31">
        <f>T28</f>
        <v>0</v>
      </c>
      <c r="AT28" s="31">
        <f>W28</f>
        <v>0</v>
      </c>
      <c r="AU28" s="31">
        <f>Z28</f>
        <v>0</v>
      </c>
      <c r="AV28" s="31">
        <f>AC28</f>
        <v>0</v>
      </c>
      <c r="AW28" s="31">
        <f>AF28</f>
        <v>0</v>
      </c>
      <c r="AX28" s="31">
        <f>AI28</f>
        <v>0</v>
      </c>
      <c r="AY28" s="31">
        <f>AL28</f>
        <v>0</v>
      </c>
      <c r="BA28" s="31">
        <f>N28</f>
        <v>0</v>
      </c>
      <c r="BB28" s="31">
        <f>Z28</f>
        <v>0</v>
      </c>
      <c r="BC28" s="31">
        <f>AL28</f>
        <v>0</v>
      </c>
    </row>
  </sheetData>
  <mergeCells count="8">
    <mergeCell ref="A1:BC1"/>
    <mergeCell ref="A2:BC2"/>
    <mergeCell ref="C5:AL5"/>
    <mergeCell ref="AN5:AY5"/>
    <mergeCell ref="BA5:BC5"/>
    <mergeCell ref="A7:BC7"/>
    <mergeCell ref="A16:BC16"/>
    <mergeCell ref="A20:BC20"/>
  </mergeCells>
  <pageMargins left="0.7" right="0.7" top="0.75" bottom="0.75" header="0.3" footer="0.3"/>
  <pageSetup paperSize="9" scale="55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C26"/>
  <sheetViews>
    <sheetView showGridLines="0" zoomScale="110" zoomScaleNormal="11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40.7109375" customWidth="1"/>
    <col min="2" max="2" width="30.7109375" customWidth="1"/>
    <col min="3" max="38" width="11.7109375" customWidth="1"/>
    <col min="39" max="39" width="2.7109375" customWidth="1"/>
    <col min="40" max="51" width="12.7109375" customWidth="1"/>
    <col min="52" max="52" width="2.7109375" customWidth="1"/>
    <col min="53" max="55" width="12.7109375" customWidth="1"/>
  </cols>
  <sheetData>
    <row r="1" spans="1:55" ht="22" customHeight="1">
      <c r="A1" s="1" t="s">
        <v>422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ht="16" customHeight="1">
      <c r="A2" s="2" t="s">
        <v>423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</row>
    <row r="5" spans="1:55">
      <c r="A5" s="14" t="s">
        <v>191</v>
      </c>
      <c r="B5" s="14" t="s">
        <v>192</v>
      </c>
      <c r="C5" s="14" t="s">
        <v>188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N5" s="14" t="s">
        <v>189</v>
      </c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BA5" s="14" t="s">
        <v>190</v>
      </c>
      <c r="BB5" s="14"/>
      <c r="BC5" s="14"/>
    </row>
    <row r="6" spans="1:55">
      <c r="A6" s="17"/>
      <c r="B6" s="17"/>
      <c r="C6" s="28">
        <v>46023</v>
      </c>
      <c r="D6" s="28">
        <v>46054</v>
      </c>
      <c r="E6" s="28">
        <v>46082</v>
      </c>
      <c r="F6" s="28">
        <v>46113</v>
      </c>
      <c r="G6" s="28">
        <v>46143</v>
      </c>
      <c r="H6" s="28">
        <v>46174</v>
      </c>
      <c r="I6" s="28">
        <v>46204</v>
      </c>
      <c r="J6" s="28">
        <v>46235</v>
      </c>
      <c r="K6" s="28">
        <v>46266</v>
      </c>
      <c r="L6" s="28">
        <v>46296</v>
      </c>
      <c r="M6" s="28">
        <v>46327</v>
      </c>
      <c r="N6" s="28">
        <v>46357</v>
      </c>
      <c r="O6" s="28">
        <v>46388</v>
      </c>
      <c r="P6" s="28">
        <v>46419</v>
      </c>
      <c r="Q6" s="28">
        <v>46447</v>
      </c>
      <c r="R6" s="28">
        <v>46478</v>
      </c>
      <c r="S6" s="28">
        <v>46508</v>
      </c>
      <c r="T6" s="28">
        <v>46539</v>
      </c>
      <c r="U6" s="28">
        <v>46569</v>
      </c>
      <c r="V6" s="28">
        <v>46600</v>
      </c>
      <c r="W6" s="28">
        <v>46631</v>
      </c>
      <c r="X6" s="28">
        <v>46661</v>
      </c>
      <c r="Y6" s="28">
        <v>46692</v>
      </c>
      <c r="Z6" s="28">
        <v>46722</v>
      </c>
      <c r="AA6" s="28">
        <v>46753</v>
      </c>
      <c r="AB6" s="28">
        <v>46784</v>
      </c>
      <c r="AC6" s="28">
        <v>46813</v>
      </c>
      <c r="AD6" s="28">
        <v>46844</v>
      </c>
      <c r="AE6" s="28">
        <v>46874</v>
      </c>
      <c r="AF6" s="28">
        <v>46905</v>
      </c>
      <c r="AG6" s="28">
        <v>46935</v>
      </c>
      <c r="AH6" s="28">
        <v>46966</v>
      </c>
      <c r="AI6" s="28">
        <v>46997</v>
      </c>
      <c r="AJ6" s="28">
        <v>47027</v>
      </c>
      <c r="AK6" s="28">
        <v>47058</v>
      </c>
      <c r="AL6" s="28">
        <v>47088</v>
      </c>
      <c r="AN6" s="17" t="s">
        <v>193</v>
      </c>
      <c r="AO6" s="17" t="s">
        <v>194</v>
      </c>
      <c r="AP6" s="17" t="s">
        <v>195</v>
      </c>
      <c r="AQ6" s="17" t="s">
        <v>196</v>
      </c>
      <c r="AR6" s="17" t="s">
        <v>197</v>
      </c>
      <c r="AS6" s="17" t="s">
        <v>198</v>
      </c>
      <c r="AT6" s="17" t="s">
        <v>199</v>
      </c>
      <c r="AU6" s="17" t="s">
        <v>200</v>
      </c>
      <c r="AV6" s="17" t="s">
        <v>201</v>
      </c>
      <c r="AW6" s="17" t="s">
        <v>202</v>
      </c>
      <c r="AX6" s="17" t="s">
        <v>203</v>
      </c>
      <c r="AY6" s="17" t="s">
        <v>204</v>
      </c>
      <c r="BA6" s="17" t="s">
        <v>205</v>
      </c>
      <c r="BB6" s="17" t="s">
        <v>206</v>
      </c>
      <c r="BC6" s="17" t="s">
        <v>207</v>
      </c>
    </row>
    <row r="7" spans="1:55" ht="16" customHeight="1">
      <c r="A7" s="14" t="s">
        <v>424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</row>
    <row r="8" spans="1:55">
      <c r="A8" s="18" t="s">
        <v>425</v>
      </c>
      <c r="B8" s="16" t="s">
        <v>426</v>
      </c>
      <c r="C8" s="20">
        <f>'Cash Flow'!$C$28</f>
        <v>0</v>
      </c>
      <c r="D8" s="20">
        <f>'Cash Flow'!$D$28</f>
        <v>0</v>
      </c>
      <c r="E8" s="20">
        <f>'Cash Flow'!$E$28</f>
        <v>0</v>
      </c>
      <c r="F8" s="20">
        <f>'Cash Flow'!$F$28</f>
        <v>0</v>
      </c>
      <c r="G8" s="20">
        <f>'Cash Flow'!$G$28</f>
        <v>0</v>
      </c>
      <c r="H8" s="20">
        <f>'Cash Flow'!$H$28</f>
        <v>0</v>
      </c>
      <c r="I8" s="20">
        <f>'Cash Flow'!$I$28</f>
        <v>0</v>
      </c>
      <c r="J8" s="20">
        <f>'Cash Flow'!$J$28</f>
        <v>0</v>
      </c>
      <c r="K8" s="20">
        <f>'Cash Flow'!$K$28</f>
        <v>0</v>
      </c>
      <c r="L8" s="20">
        <f>'Cash Flow'!$L$28</f>
        <v>0</v>
      </c>
      <c r="M8" s="20">
        <f>'Cash Flow'!$M$28</f>
        <v>0</v>
      </c>
      <c r="N8" s="20">
        <f>'Cash Flow'!$N$28</f>
        <v>0</v>
      </c>
      <c r="O8" s="20">
        <f>'Cash Flow'!$O$28</f>
        <v>0</v>
      </c>
      <c r="P8" s="20">
        <f>'Cash Flow'!$P$28</f>
        <v>0</v>
      </c>
      <c r="Q8" s="20">
        <f>'Cash Flow'!$Q$28</f>
        <v>0</v>
      </c>
      <c r="R8" s="20">
        <f>'Cash Flow'!$R$28</f>
        <v>0</v>
      </c>
      <c r="S8" s="20">
        <f>'Cash Flow'!$S$28</f>
        <v>0</v>
      </c>
      <c r="T8" s="20">
        <f>'Cash Flow'!$T$28</f>
        <v>0</v>
      </c>
      <c r="U8" s="20">
        <f>'Cash Flow'!$U$28</f>
        <v>0</v>
      </c>
      <c r="V8" s="20">
        <f>'Cash Flow'!$V$28</f>
        <v>0</v>
      </c>
      <c r="W8" s="20">
        <f>'Cash Flow'!$W$28</f>
        <v>0</v>
      </c>
      <c r="X8" s="20">
        <f>'Cash Flow'!$X$28</f>
        <v>0</v>
      </c>
      <c r="Y8" s="20">
        <f>'Cash Flow'!$Y$28</f>
        <v>0</v>
      </c>
      <c r="Z8" s="20">
        <f>'Cash Flow'!$Z$28</f>
        <v>0</v>
      </c>
      <c r="AA8" s="20">
        <f>'Cash Flow'!$AA$28</f>
        <v>0</v>
      </c>
      <c r="AB8" s="20">
        <f>'Cash Flow'!$AB$28</f>
        <v>0</v>
      </c>
      <c r="AC8" s="20">
        <f>'Cash Flow'!$AC$28</f>
        <v>0</v>
      </c>
      <c r="AD8" s="20">
        <f>'Cash Flow'!$AD$28</f>
        <v>0</v>
      </c>
      <c r="AE8" s="20">
        <f>'Cash Flow'!$AE$28</f>
        <v>0</v>
      </c>
      <c r="AF8" s="20">
        <f>'Cash Flow'!$AF$28</f>
        <v>0</v>
      </c>
      <c r="AG8" s="20">
        <f>'Cash Flow'!$AG$28</f>
        <v>0</v>
      </c>
      <c r="AH8" s="20">
        <f>'Cash Flow'!$AH$28</f>
        <v>0</v>
      </c>
      <c r="AI8" s="20">
        <f>'Cash Flow'!$AI$28</f>
        <v>0</v>
      </c>
      <c r="AJ8" s="20">
        <f>'Cash Flow'!$AJ$28</f>
        <v>0</v>
      </c>
      <c r="AK8" s="20">
        <f>'Cash Flow'!$AK$28</f>
        <v>0</v>
      </c>
      <c r="AL8" s="20">
        <f>'Cash Flow'!$AL$28</f>
        <v>0</v>
      </c>
      <c r="AN8" s="20">
        <f>E8</f>
        <v>0</v>
      </c>
      <c r="AO8" s="20">
        <f>H8</f>
        <v>0</v>
      </c>
      <c r="AP8" s="20">
        <f>K8</f>
        <v>0</v>
      </c>
      <c r="AQ8" s="20">
        <f>N8</f>
        <v>0</v>
      </c>
      <c r="AR8" s="20">
        <f>Q8</f>
        <v>0</v>
      </c>
      <c r="AS8" s="20">
        <f>T8</f>
        <v>0</v>
      </c>
      <c r="AT8" s="20">
        <f>W8</f>
        <v>0</v>
      </c>
      <c r="AU8" s="20">
        <f>Z8</f>
        <v>0</v>
      </c>
      <c r="AV8" s="20">
        <f>AC8</f>
        <v>0</v>
      </c>
      <c r="AW8" s="20">
        <f>AF8</f>
        <v>0</v>
      </c>
      <c r="AX8" s="20">
        <f>AI8</f>
        <v>0</v>
      </c>
      <c r="AY8" s="20">
        <f>AL8</f>
        <v>0</v>
      </c>
      <c r="BA8" s="20">
        <f>N8</f>
        <v>0</v>
      </c>
      <c r="BB8" s="20">
        <f>Z8</f>
        <v>0</v>
      </c>
      <c r="BC8" s="20">
        <f>AL8</f>
        <v>0</v>
      </c>
    </row>
    <row r="9" spans="1:55">
      <c r="A9" s="18" t="s">
        <v>427</v>
      </c>
      <c r="B9" s="16"/>
      <c r="C9" s="20">
        <f>'Working Capital'!$C$8</f>
        <v>0</v>
      </c>
      <c r="D9" s="20">
        <f>'Working Capital'!$D$8</f>
        <v>0</v>
      </c>
      <c r="E9" s="20">
        <f>'Working Capital'!$E$8</f>
        <v>0</v>
      </c>
      <c r="F9" s="20">
        <f>'Working Capital'!$F$8</f>
        <v>0</v>
      </c>
      <c r="G9" s="20">
        <f>'Working Capital'!$G$8</f>
        <v>0</v>
      </c>
      <c r="H9" s="20">
        <f>'Working Capital'!$H$8</f>
        <v>0</v>
      </c>
      <c r="I9" s="20">
        <f>'Working Capital'!$I$8</f>
        <v>0</v>
      </c>
      <c r="J9" s="20">
        <f>'Working Capital'!$J$8</f>
        <v>0</v>
      </c>
      <c r="K9" s="20">
        <f>'Working Capital'!$K$8</f>
        <v>0</v>
      </c>
      <c r="L9" s="20">
        <f>'Working Capital'!$L$8</f>
        <v>0</v>
      </c>
      <c r="M9" s="20">
        <f>'Working Capital'!$M$8</f>
        <v>0</v>
      </c>
      <c r="N9" s="20">
        <f>'Working Capital'!$N$8</f>
        <v>0</v>
      </c>
      <c r="O9" s="20">
        <f>'Working Capital'!$O$8</f>
        <v>0</v>
      </c>
      <c r="P9" s="20">
        <f>'Working Capital'!$P$8</f>
        <v>0</v>
      </c>
      <c r="Q9" s="20">
        <f>'Working Capital'!$Q$8</f>
        <v>0</v>
      </c>
      <c r="R9" s="20">
        <f>'Working Capital'!$R$8</f>
        <v>0</v>
      </c>
      <c r="S9" s="20">
        <f>'Working Capital'!$S$8</f>
        <v>0</v>
      </c>
      <c r="T9" s="20">
        <f>'Working Capital'!$T$8</f>
        <v>0</v>
      </c>
      <c r="U9" s="20">
        <f>'Working Capital'!$U$8</f>
        <v>0</v>
      </c>
      <c r="V9" s="20">
        <f>'Working Capital'!$V$8</f>
        <v>0</v>
      </c>
      <c r="W9" s="20">
        <f>'Working Capital'!$W$8</f>
        <v>0</v>
      </c>
      <c r="X9" s="20">
        <f>'Working Capital'!$X$8</f>
        <v>0</v>
      </c>
      <c r="Y9" s="20">
        <f>'Working Capital'!$Y$8</f>
        <v>0</v>
      </c>
      <c r="Z9" s="20">
        <f>'Working Capital'!$Z$8</f>
        <v>0</v>
      </c>
      <c r="AA9" s="20">
        <f>'Working Capital'!$AA$8</f>
        <v>0</v>
      </c>
      <c r="AB9" s="20">
        <f>'Working Capital'!$AB$8</f>
        <v>0</v>
      </c>
      <c r="AC9" s="20">
        <f>'Working Capital'!$AC$8</f>
        <v>0</v>
      </c>
      <c r="AD9" s="20">
        <f>'Working Capital'!$AD$8</f>
        <v>0</v>
      </c>
      <c r="AE9" s="20">
        <f>'Working Capital'!$AE$8</f>
        <v>0</v>
      </c>
      <c r="AF9" s="20">
        <f>'Working Capital'!$AF$8</f>
        <v>0</v>
      </c>
      <c r="AG9" s="20">
        <f>'Working Capital'!$AG$8</f>
        <v>0</v>
      </c>
      <c r="AH9" s="20">
        <f>'Working Capital'!$AH$8</f>
        <v>0</v>
      </c>
      <c r="AI9" s="20">
        <f>'Working Capital'!$AI$8</f>
        <v>0</v>
      </c>
      <c r="AJ9" s="20">
        <f>'Working Capital'!$AJ$8</f>
        <v>0</v>
      </c>
      <c r="AK9" s="20">
        <f>'Working Capital'!$AK$8</f>
        <v>0</v>
      </c>
      <c r="AL9" s="20">
        <f>'Working Capital'!$AL$8</f>
        <v>0</v>
      </c>
      <c r="AN9" s="20">
        <f>E9</f>
        <v>0</v>
      </c>
      <c r="AO9" s="20">
        <f>H9</f>
        <v>0</v>
      </c>
      <c r="AP9" s="20">
        <f>K9</f>
        <v>0</v>
      </c>
      <c r="AQ9" s="20">
        <f>N9</f>
        <v>0</v>
      </c>
      <c r="AR9" s="20">
        <f>Q9</f>
        <v>0</v>
      </c>
      <c r="AS9" s="20">
        <f>T9</f>
        <v>0</v>
      </c>
      <c r="AT9" s="20">
        <f>W9</f>
        <v>0</v>
      </c>
      <c r="AU9" s="20">
        <f>Z9</f>
        <v>0</v>
      </c>
      <c r="AV9" s="20">
        <f>AC9</f>
        <v>0</v>
      </c>
      <c r="AW9" s="20">
        <f>AF9</f>
        <v>0</v>
      </c>
      <c r="AX9" s="20">
        <f>AI9</f>
        <v>0</v>
      </c>
      <c r="AY9" s="20">
        <f>AL9</f>
        <v>0</v>
      </c>
      <c r="BA9" s="20">
        <f>N9</f>
        <v>0</v>
      </c>
      <c r="BB9" s="20">
        <f>Z9</f>
        <v>0</v>
      </c>
      <c r="BC9" s="20">
        <f>AL9</f>
        <v>0</v>
      </c>
    </row>
    <row r="10" spans="1:55">
      <c r="A10" s="18" t="s">
        <v>428</v>
      </c>
      <c r="B10" s="16" t="s">
        <v>429</v>
      </c>
      <c r="C10" s="20">
        <f>'Working Capital'!C11</f>
        <v>0</v>
      </c>
      <c r="D10" s="20">
        <f>'Working Capital'!D11</f>
        <v>0</v>
      </c>
      <c r="E10" s="20">
        <f>'Working Capital'!E11</f>
        <v>0</v>
      </c>
      <c r="F10" s="20">
        <f>'Working Capital'!F11</f>
        <v>0</v>
      </c>
      <c r="G10" s="20">
        <f>'Working Capital'!G11</f>
        <v>0</v>
      </c>
      <c r="H10" s="20">
        <f>'Working Capital'!H11</f>
        <v>0</v>
      </c>
      <c r="I10" s="20">
        <f>'Working Capital'!I11</f>
        <v>0</v>
      </c>
      <c r="J10" s="20">
        <f>'Working Capital'!J11</f>
        <v>0</v>
      </c>
      <c r="K10" s="20">
        <f>'Working Capital'!K11</f>
        <v>0</v>
      </c>
      <c r="L10" s="20">
        <f>'Working Capital'!L11</f>
        <v>0</v>
      </c>
      <c r="M10" s="20">
        <f>'Working Capital'!M11</f>
        <v>0</v>
      </c>
      <c r="N10" s="20">
        <f>'Working Capital'!N11</f>
        <v>0</v>
      </c>
      <c r="O10" s="20">
        <f>'Working Capital'!O11</f>
        <v>0</v>
      </c>
      <c r="P10" s="20">
        <f>'Working Capital'!P11</f>
        <v>0</v>
      </c>
      <c r="Q10" s="20">
        <f>'Working Capital'!Q11</f>
        <v>0</v>
      </c>
      <c r="R10" s="20">
        <f>'Working Capital'!R11</f>
        <v>0</v>
      </c>
      <c r="S10" s="20">
        <f>'Working Capital'!S11</f>
        <v>0</v>
      </c>
      <c r="T10" s="20">
        <f>'Working Capital'!T11</f>
        <v>0</v>
      </c>
      <c r="U10" s="20">
        <f>'Working Capital'!U11</f>
        <v>0</v>
      </c>
      <c r="V10" s="20">
        <f>'Working Capital'!V11</f>
        <v>0</v>
      </c>
      <c r="W10" s="20">
        <f>'Working Capital'!W11</f>
        <v>0</v>
      </c>
      <c r="X10" s="20">
        <f>'Working Capital'!X11</f>
        <v>0</v>
      </c>
      <c r="Y10" s="20">
        <f>'Working Capital'!Y11</f>
        <v>0</v>
      </c>
      <c r="Z10" s="20">
        <f>'Working Capital'!Z11</f>
        <v>0</v>
      </c>
      <c r="AA10" s="20">
        <f>'Working Capital'!AA11</f>
        <v>0</v>
      </c>
      <c r="AB10" s="20">
        <f>'Working Capital'!AB11</f>
        <v>0</v>
      </c>
      <c r="AC10" s="20">
        <f>'Working Capital'!AC11</f>
        <v>0</v>
      </c>
      <c r="AD10" s="20">
        <f>'Working Capital'!AD11</f>
        <v>0</v>
      </c>
      <c r="AE10" s="20">
        <f>'Working Capital'!AE11</f>
        <v>0</v>
      </c>
      <c r="AF10" s="20">
        <f>'Working Capital'!AF11</f>
        <v>0</v>
      </c>
      <c r="AG10" s="20">
        <f>'Working Capital'!AG11</f>
        <v>0</v>
      </c>
      <c r="AH10" s="20">
        <f>'Working Capital'!AH11</f>
        <v>0</v>
      </c>
      <c r="AI10" s="20">
        <f>'Working Capital'!AI11</f>
        <v>0</v>
      </c>
      <c r="AJ10" s="20">
        <f>'Working Capital'!AJ11</f>
        <v>0</v>
      </c>
      <c r="AK10" s="20">
        <f>'Working Capital'!AK11</f>
        <v>0</v>
      </c>
      <c r="AL10" s="20">
        <f>'Working Capital'!AL11</f>
        <v>0</v>
      </c>
      <c r="AN10" s="20">
        <f>E10</f>
        <v>0</v>
      </c>
      <c r="AO10" s="20">
        <f>H10</f>
        <v>0</v>
      </c>
      <c r="AP10" s="20">
        <f>K10</f>
        <v>0</v>
      </c>
      <c r="AQ10" s="20">
        <f>N10</f>
        <v>0</v>
      </c>
      <c r="AR10" s="20">
        <f>Q10</f>
        <v>0</v>
      </c>
      <c r="AS10" s="20">
        <f>T10</f>
        <v>0</v>
      </c>
      <c r="AT10" s="20">
        <f>W10</f>
        <v>0</v>
      </c>
      <c r="AU10" s="20">
        <f>Z10</f>
        <v>0</v>
      </c>
      <c r="AV10" s="20">
        <f>AC10</f>
        <v>0</v>
      </c>
      <c r="AW10" s="20">
        <f>AF10</f>
        <v>0</v>
      </c>
      <c r="AX10" s="20">
        <f>AI10</f>
        <v>0</v>
      </c>
      <c r="AY10" s="20">
        <f>AL10</f>
        <v>0</v>
      </c>
      <c r="BA10" s="20">
        <f>N10</f>
        <v>0</v>
      </c>
      <c r="BB10" s="20">
        <f>Z10</f>
        <v>0</v>
      </c>
      <c r="BC10" s="20">
        <f>AL10</f>
        <v>0</v>
      </c>
    </row>
    <row r="11" spans="1:55">
      <c r="A11" s="18" t="s">
        <v>430</v>
      </c>
      <c r="B11" s="16"/>
      <c r="C11" s="20">
        <f>'Working Capital'!$C$20</f>
        <v>0</v>
      </c>
      <c r="D11" s="20">
        <f>'Working Capital'!$D$20</f>
        <v>0</v>
      </c>
      <c r="E11" s="20">
        <f>'Working Capital'!$E$20</f>
        <v>0</v>
      </c>
      <c r="F11" s="20">
        <f>'Working Capital'!$F$20</f>
        <v>0</v>
      </c>
      <c r="G11" s="20">
        <f>'Working Capital'!$G$20</f>
        <v>0</v>
      </c>
      <c r="H11" s="20">
        <f>'Working Capital'!$H$20</f>
        <v>0</v>
      </c>
      <c r="I11" s="20">
        <f>'Working Capital'!$I$20</f>
        <v>0</v>
      </c>
      <c r="J11" s="20">
        <f>'Working Capital'!$J$20</f>
        <v>0</v>
      </c>
      <c r="K11" s="20">
        <f>'Working Capital'!$K$20</f>
        <v>0</v>
      </c>
      <c r="L11" s="20">
        <f>'Working Capital'!$L$20</f>
        <v>0</v>
      </c>
      <c r="M11" s="20">
        <f>'Working Capital'!$M$20</f>
        <v>0</v>
      </c>
      <c r="N11" s="20">
        <f>'Working Capital'!$N$20</f>
        <v>0</v>
      </c>
      <c r="O11" s="20">
        <f>'Working Capital'!$O$20</f>
        <v>0</v>
      </c>
      <c r="P11" s="20">
        <f>'Working Capital'!$P$20</f>
        <v>0</v>
      </c>
      <c r="Q11" s="20">
        <f>'Working Capital'!$Q$20</f>
        <v>0</v>
      </c>
      <c r="R11" s="20">
        <f>'Working Capital'!$R$20</f>
        <v>0</v>
      </c>
      <c r="S11" s="20">
        <f>'Working Capital'!$S$20</f>
        <v>0</v>
      </c>
      <c r="T11" s="20">
        <f>'Working Capital'!$T$20</f>
        <v>0</v>
      </c>
      <c r="U11" s="20">
        <f>'Working Capital'!$U$20</f>
        <v>0</v>
      </c>
      <c r="V11" s="20">
        <f>'Working Capital'!$V$20</f>
        <v>0</v>
      </c>
      <c r="W11" s="20">
        <f>'Working Capital'!$W$20</f>
        <v>0</v>
      </c>
      <c r="X11" s="20">
        <f>'Working Capital'!$X$20</f>
        <v>0</v>
      </c>
      <c r="Y11" s="20">
        <f>'Working Capital'!$Y$20</f>
        <v>0</v>
      </c>
      <c r="Z11" s="20">
        <f>'Working Capital'!$Z$20</f>
        <v>0</v>
      </c>
      <c r="AA11" s="20">
        <f>'Working Capital'!$AA$20</f>
        <v>0</v>
      </c>
      <c r="AB11" s="20">
        <f>'Working Capital'!$AB$20</f>
        <v>0</v>
      </c>
      <c r="AC11" s="20">
        <f>'Working Capital'!$AC$20</f>
        <v>0</v>
      </c>
      <c r="AD11" s="20">
        <f>'Working Capital'!$AD$20</f>
        <v>0</v>
      </c>
      <c r="AE11" s="20">
        <f>'Working Capital'!$AE$20</f>
        <v>0</v>
      </c>
      <c r="AF11" s="20">
        <f>'Working Capital'!$AF$20</f>
        <v>0</v>
      </c>
      <c r="AG11" s="20">
        <f>'Working Capital'!$AG$20</f>
        <v>0</v>
      </c>
      <c r="AH11" s="20">
        <f>'Working Capital'!$AH$20</f>
        <v>0</v>
      </c>
      <c r="AI11" s="20">
        <f>'Working Capital'!$AI$20</f>
        <v>0</v>
      </c>
      <c r="AJ11" s="20">
        <f>'Working Capital'!$AJ$20</f>
        <v>0</v>
      </c>
      <c r="AK11" s="20">
        <f>'Working Capital'!$AK$20</f>
        <v>0</v>
      </c>
      <c r="AL11" s="20">
        <f>'Working Capital'!$AL$20</f>
        <v>0</v>
      </c>
      <c r="AN11" s="20">
        <f>E11</f>
        <v>0</v>
      </c>
      <c r="AO11" s="20">
        <f>H11</f>
        <v>0</v>
      </c>
      <c r="AP11" s="20">
        <f>K11</f>
        <v>0</v>
      </c>
      <c r="AQ11" s="20">
        <f>N11</f>
        <v>0</v>
      </c>
      <c r="AR11" s="20">
        <f>Q11</f>
        <v>0</v>
      </c>
      <c r="AS11" s="20">
        <f>T11</f>
        <v>0</v>
      </c>
      <c r="AT11" s="20">
        <f>W11</f>
        <v>0</v>
      </c>
      <c r="AU11" s="20">
        <f>Z11</f>
        <v>0</v>
      </c>
      <c r="AV11" s="20">
        <f>AC11</f>
        <v>0</v>
      </c>
      <c r="AW11" s="20">
        <f>AF11</f>
        <v>0</v>
      </c>
      <c r="AX11" s="20">
        <f>AI11</f>
        <v>0</v>
      </c>
      <c r="AY11" s="20">
        <f>AL11</f>
        <v>0</v>
      </c>
      <c r="BA11" s="20">
        <f>N11</f>
        <v>0</v>
      </c>
      <c r="BB11" s="20">
        <f>Z11</f>
        <v>0</v>
      </c>
      <c r="BC11" s="20">
        <f>AL11</f>
        <v>0</v>
      </c>
    </row>
    <row r="12" spans="1:55">
      <c r="A12" s="33" t="s">
        <v>431</v>
      </c>
      <c r="B12" s="16"/>
      <c r="C12" s="34">
        <f>C8+C9+C10+C11</f>
        <v>0</v>
      </c>
      <c r="D12" s="34">
        <f>D8+D9+D10+D11</f>
        <v>0</v>
      </c>
      <c r="E12" s="34">
        <f>E8+E9+E10+E11</f>
        <v>0</v>
      </c>
      <c r="F12" s="34">
        <f>F8+F9+F10+F11</f>
        <v>0</v>
      </c>
      <c r="G12" s="34">
        <f>G8+G9+G10+G11</f>
        <v>0</v>
      </c>
      <c r="H12" s="34">
        <f>H8+H9+H10+H11</f>
        <v>0</v>
      </c>
      <c r="I12" s="34">
        <f>I8+I9+I10+I11</f>
        <v>0</v>
      </c>
      <c r="J12" s="34">
        <f>J8+J9+J10+J11</f>
        <v>0</v>
      </c>
      <c r="K12" s="34">
        <f>K8+K9+K10+K11</f>
        <v>0</v>
      </c>
      <c r="L12" s="34">
        <f>L8+L9+L10+L11</f>
        <v>0</v>
      </c>
      <c r="M12" s="34">
        <f>M8+M9+M10+M11</f>
        <v>0</v>
      </c>
      <c r="N12" s="34">
        <f>N8+N9+N10+N11</f>
        <v>0</v>
      </c>
      <c r="O12" s="34">
        <f>O8+O9+O10+O11</f>
        <v>0</v>
      </c>
      <c r="P12" s="34">
        <f>P8+P9+P10+P11</f>
        <v>0</v>
      </c>
      <c r="Q12" s="34">
        <f>Q8+Q9+Q10+Q11</f>
        <v>0</v>
      </c>
      <c r="R12" s="34">
        <f>R8+R9+R10+R11</f>
        <v>0</v>
      </c>
      <c r="S12" s="34">
        <f>S8+S9+S10+S11</f>
        <v>0</v>
      </c>
      <c r="T12" s="34">
        <f>T8+T9+T10+T11</f>
        <v>0</v>
      </c>
      <c r="U12" s="34">
        <f>U8+U9+U10+U11</f>
        <v>0</v>
      </c>
      <c r="V12" s="34">
        <f>V8+V9+V10+V11</f>
        <v>0</v>
      </c>
      <c r="W12" s="34">
        <f>W8+W9+W10+W11</f>
        <v>0</v>
      </c>
      <c r="X12" s="34">
        <f>X8+X9+X10+X11</f>
        <v>0</v>
      </c>
      <c r="Y12" s="34">
        <f>Y8+Y9+Y10+Y11</f>
        <v>0</v>
      </c>
      <c r="Z12" s="34">
        <f>Z8+Z9+Z10+Z11</f>
        <v>0</v>
      </c>
      <c r="AA12" s="34">
        <f>AA8+AA9+AA10+AA11</f>
        <v>0</v>
      </c>
      <c r="AB12" s="34">
        <f>AB8+AB9+AB10+AB11</f>
        <v>0</v>
      </c>
      <c r="AC12" s="34">
        <f>AC8+AC9+AC10+AC11</f>
        <v>0</v>
      </c>
      <c r="AD12" s="34">
        <f>AD8+AD9+AD10+AD11</f>
        <v>0</v>
      </c>
      <c r="AE12" s="34">
        <f>AE8+AE9+AE10+AE11</f>
        <v>0</v>
      </c>
      <c r="AF12" s="34">
        <f>AF8+AF9+AF10+AF11</f>
        <v>0</v>
      </c>
      <c r="AG12" s="34">
        <f>AG8+AG9+AG10+AG11</f>
        <v>0</v>
      </c>
      <c r="AH12" s="34">
        <f>AH8+AH9+AH10+AH11</f>
        <v>0</v>
      </c>
      <c r="AI12" s="34">
        <f>AI8+AI9+AI10+AI11</f>
        <v>0</v>
      </c>
      <c r="AJ12" s="34">
        <f>AJ8+AJ9+AJ10+AJ11</f>
        <v>0</v>
      </c>
      <c r="AK12" s="34">
        <f>AK8+AK9+AK10+AK11</f>
        <v>0</v>
      </c>
      <c r="AL12" s="34">
        <f>AL8+AL9+AL10+AL11</f>
        <v>0</v>
      </c>
      <c r="AN12" s="34">
        <f>E12</f>
        <v>0</v>
      </c>
      <c r="AO12" s="34">
        <f>H12</f>
        <v>0</v>
      </c>
      <c r="AP12" s="34">
        <f>K12</f>
        <v>0</v>
      </c>
      <c r="AQ12" s="34">
        <f>N12</f>
        <v>0</v>
      </c>
      <c r="AR12" s="34">
        <f>Q12</f>
        <v>0</v>
      </c>
      <c r="AS12" s="34">
        <f>T12</f>
        <v>0</v>
      </c>
      <c r="AT12" s="34">
        <f>W12</f>
        <v>0</v>
      </c>
      <c r="AU12" s="34">
        <f>Z12</f>
        <v>0</v>
      </c>
      <c r="AV12" s="34">
        <f>AC12</f>
        <v>0</v>
      </c>
      <c r="AW12" s="34">
        <f>AF12</f>
        <v>0</v>
      </c>
      <c r="AX12" s="34">
        <f>AI12</f>
        <v>0</v>
      </c>
      <c r="AY12" s="34">
        <f>AL12</f>
        <v>0</v>
      </c>
      <c r="BA12" s="34">
        <f>N12</f>
        <v>0</v>
      </c>
      <c r="BB12" s="34">
        <f>Z12</f>
        <v>0</v>
      </c>
      <c r="BC12" s="34">
        <f>AL12</f>
        <v>0</v>
      </c>
    </row>
    <row r="13" spans="1:55" ht="5" customHeight="1"/>
    <row r="14" spans="1:55" ht="16" customHeight="1">
      <c r="A14" s="14" t="s">
        <v>432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</row>
    <row r="15" spans="1:55">
      <c r="A15" s="18" t="s">
        <v>433</v>
      </c>
      <c r="B15" s="16"/>
      <c r="C15" s="20">
        <f>'Working Capital'!$C$9</f>
        <v>0</v>
      </c>
      <c r="D15" s="20">
        <f>'Working Capital'!$D$9</f>
        <v>0</v>
      </c>
      <c r="E15" s="20">
        <f>'Working Capital'!$E$9</f>
        <v>0</v>
      </c>
      <c r="F15" s="20">
        <f>'Working Capital'!$F$9</f>
        <v>0</v>
      </c>
      <c r="G15" s="20">
        <f>'Working Capital'!$G$9</f>
        <v>0</v>
      </c>
      <c r="H15" s="20">
        <f>'Working Capital'!$H$9</f>
        <v>0</v>
      </c>
      <c r="I15" s="20">
        <f>'Working Capital'!$I$9</f>
        <v>0</v>
      </c>
      <c r="J15" s="20">
        <f>'Working Capital'!$J$9</f>
        <v>0</v>
      </c>
      <c r="K15" s="20">
        <f>'Working Capital'!$K$9</f>
        <v>0</v>
      </c>
      <c r="L15" s="20">
        <f>'Working Capital'!$L$9</f>
        <v>0</v>
      </c>
      <c r="M15" s="20">
        <f>'Working Capital'!$M$9</f>
        <v>0</v>
      </c>
      <c r="N15" s="20">
        <f>'Working Capital'!$N$9</f>
        <v>0</v>
      </c>
      <c r="O15" s="20">
        <f>'Working Capital'!$O$9</f>
        <v>0</v>
      </c>
      <c r="P15" s="20">
        <f>'Working Capital'!$P$9</f>
        <v>0</v>
      </c>
      <c r="Q15" s="20">
        <f>'Working Capital'!$Q$9</f>
        <v>0</v>
      </c>
      <c r="R15" s="20">
        <f>'Working Capital'!$R$9</f>
        <v>0</v>
      </c>
      <c r="S15" s="20">
        <f>'Working Capital'!$S$9</f>
        <v>0</v>
      </c>
      <c r="T15" s="20">
        <f>'Working Capital'!$T$9</f>
        <v>0</v>
      </c>
      <c r="U15" s="20">
        <f>'Working Capital'!$U$9</f>
        <v>0</v>
      </c>
      <c r="V15" s="20">
        <f>'Working Capital'!$V$9</f>
        <v>0</v>
      </c>
      <c r="W15" s="20">
        <f>'Working Capital'!$W$9</f>
        <v>0</v>
      </c>
      <c r="X15" s="20">
        <f>'Working Capital'!$X$9</f>
        <v>0</v>
      </c>
      <c r="Y15" s="20">
        <f>'Working Capital'!$Y$9</f>
        <v>0</v>
      </c>
      <c r="Z15" s="20">
        <f>'Working Capital'!$Z$9</f>
        <v>0</v>
      </c>
      <c r="AA15" s="20">
        <f>'Working Capital'!$AA$9</f>
        <v>0</v>
      </c>
      <c r="AB15" s="20">
        <f>'Working Capital'!$AB$9</f>
        <v>0</v>
      </c>
      <c r="AC15" s="20">
        <f>'Working Capital'!$AC$9</f>
        <v>0</v>
      </c>
      <c r="AD15" s="20">
        <f>'Working Capital'!$AD$9</f>
        <v>0</v>
      </c>
      <c r="AE15" s="20">
        <f>'Working Capital'!$AE$9</f>
        <v>0</v>
      </c>
      <c r="AF15" s="20">
        <f>'Working Capital'!$AF$9</f>
        <v>0</v>
      </c>
      <c r="AG15" s="20">
        <f>'Working Capital'!$AG$9</f>
        <v>0</v>
      </c>
      <c r="AH15" s="20">
        <f>'Working Capital'!$AH$9</f>
        <v>0</v>
      </c>
      <c r="AI15" s="20">
        <f>'Working Capital'!$AI$9</f>
        <v>0</v>
      </c>
      <c r="AJ15" s="20">
        <f>'Working Capital'!$AJ$9</f>
        <v>0</v>
      </c>
      <c r="AK15" s="20">
        <f>'Working Capital'!$AK$9</f>
        <v>0</v>
      </c>
      <c r="AL15" s="20">
        <f>'Working Capital'!$AL$9</f>
        <v>0</v>
      </c>
      <c r="AN15" s="20">
        <f>E15</f>
        <v>0</v>
      </c>
      <c r="AO15" s="20">
        <f>H15</f>
        <v>0</v>
      </c>
      <c r="AP15" s="20">
        <f>K15</f>
        <v>0</v>
      </c>
      <c r="AQ15" s="20">
        <f>N15</f>
        <v>0</v>
      </c>
      <c r="AR15" s="20">
        <f>Q15</f>
        <v>0</v>
      </c>
      <c r="AS15" s="20">
        <f>T15</f>
        <v>0</v>
      </c>
      <c r="AT15" s="20">
        <f>W15</f>
        <v>0</v>
      </c>
      <c r="AU15" s="20">
        <f>Z15</f>
        <v>0</v>
      </c>
      <c r="AV15" s="20">
        <f>AC15</f>
        <v>0</v>
      </c>
      <c r="AW15" s="20">
        <f>AF15</f>
        <v>0</v>
      </c>
      <c r="AX15" s="20">
        <f>AI15</f>
        <v>0</v>
      </c>
      <c r="AY15" s="20">
        <f>AL15</f>
        <v>0</v>
      </c>
      <c r="BA15" s="20">
        <f>N15</f>
        <v>0</v>
      </c>
      <c r="BB15" s="20">
        <f>Z15</f>
        <v>0</v>
      </c>
      <c r="BC15" s="20">
        <f>AL15</f>
        <v>0</v>
      </c>
    </row>
    <row r="16" spans="1:55">
      <c r="A16" s="18" t="s">
        <v>434</v>
      </c>
      <c r="B16" s="16"/>
      <c r="C16" s="20">
        <f>'Working Capital'!$C$10</f>
        <v>0</v>
      </c>
      <c r="D16" s="20">
        <f>'Working Capital'!$D$10</f>
        <v>0</v>
      </c>
      <c r="E16" s="20">
        <f>'Working Capital'!$E$10</f>
        <v>0</v>
      </c>
      <c r="F16" s="20">
        <f>'Working Capital'!$F$10</f>
        <v>0</v>
      </c>
      <c r="G16" s="20">
        <f>'Working Capital'!$G$10</f>
        <v>0</v>
      </c>
      <c r="H16" s="20">
        <f>'Working Capital'!$H$10</f>
        <v>0</v>
      </c>
      <c r="I16" s="20">
        <f>'Working Capital'!$I$10</f>
        <v>0</v>
      </c>
      <c r="J16" s="20">
        <f>'Working Capital'!$J$10</f>
        <v>0</v>
      </c>
      <c r="K16" s="20">
        <f>'Working Capital'!$K$10</f>
        <v>0</v>
      </c>
      <c r="L16" s="20">
        <f>'Working Capital'!$L$10</f>
        <v>0</v>
      </c>
      <c r="M16" s="20">
        <f>'Working Capital'!$M$10</f>
        <v>0</v>
      </c>
      <c r="N16" s="20">
        <f>'Working Capital'!$N$10</f>
        <v>0</v>
      </c>
      <c r="O16" s="20">
        <f>'Working Capital'!$O$10</f>
        <v>0</v>
      </c>
      <c r="P16" s="20">
        <f>'Working Capital'!$P$10</f>
        <v>0</v>
      </c>
      <c r="Q16" s="20">
        <f>'Working Capital'!$Q$10</f>
        <v>0</v>
      </c>
      <c r="R16" s="20">
        <f>'Working Capital'!$R$10</f>
        <v>0</v>
      </c>
      <c r="S16" s="20">
        <f>'Working Capital'!$S$10</f>
        <v>0</v>
      </c>
      <c r="T16" s="20">
        <f>'Working Capital'!$T$10</f>
        <v>0</v>
      </c>
      <c r="U16" s="20">
        <f>'Working Capital'!$U$10</f>
        <v>0</v>
      </c>
      <c r="V16" s="20">
        <f>'Working Capital'!$V$10</f>
        <v>0</v>
      </c>
      <c r="W16" s="20">
        <f>'Working Capital'!$W$10</f>
        <v>0</v>
      </c>
      <c r="X16" s="20">
        <f>'Working Capital'!$X$10</f>
        <v>0</v>
      </c>
      <c r="Y16" s="20">
        <f>'Working Capital'!$Y$10</f>
        <v>0</v>
      </c>
      <c r="Z16" s="20">
        <f>'Working Capital'!$Z$10</f>
        <v>0</v>
      </c>
      <c r="AA16" s="20">
        <f>'Working Capital'!$AA$10</f>
        <v>0</v>
      </c>
      <c r="AB16" s="20">
        <f>'Working Capital'!$AB$10</f>
        <v>0</v>
      </c>
      <c r="AC16" s="20">
        <f>'Working Capital'!$AC$10</f>
        <v>0</v>
      </c>
      <c r="AD16" s="20">
        <f>'Working Capital'!$AD$10</f>
        <v>0</v>
      </c>
      <c r="AE16" s="20">
        <f>'Working Capital'!$AE$10</f>
        <v>0</v>
      </c>
      <c r="AF16" s="20">
        <f>'Working Capital'!$AF$10</f>
        <v>0</v>
      </c>
      <c r="AG16" s="20">
        <f>'Working Capital'!$AG$10</f>
        <v>0</v>
      </c>
      <c r="AH16" s="20">
        <f>'Working Capital'!$AH$10</f>
        <v>0</v>
      </c>
      <c r="AI16" s="20">
        <f>'Working Capital'!$AI$10</f>
        <v>0</v>
      </c>
      <c r="AJ16" s="20">
        <f>'Working Capital'!$AJ$10</f>
        <v>0</v>
      </c>
      <c r="AK16" s="20">
        <f>'Working Capital'!$AK$10</f>
        <v>0</v>
      </c>
      <c r="AL16" s="20">
        <f>'Working Capital'!$AL$10</f>
        <v>0</v>
      </c>
      <c r="AN16" s="20">
        <f>E16</f>
        <v>0</v>
      </c>
      <c r="AO16" s="20">
        <f>H16</f>
        <v>0</v>
      </c>
      <c r="AP16" s="20">
        <f>K16</f>
        <v>0</v>
      </c>
      <c r="AQ16" s="20">
        <f>N16</f>
        <v>0</v>
      </c>
      <c r="AR16" s="20">
        <f>Q16</f>
        <v>0</v>
      </c>
      <c r="AS16" s="20">
        <f>T16</f>
        <v>0</v>
      </c>
      <c r="AT16" s="20">
        <f>W16</f>
        <v>0</v>
      </c>
      <c r="AU16" s="20">
        <f>Z16</f>
        <v>0</v>
      </c>
      <c r="AV16" s="20">
        <f>AC16</f>
        <v>0</v>
      </c>
      <c r="AW16" s="20">
        <f>AF16</f>
        <v>0</v>
      </c>
      <c r="AX16" s="20">
        <f>AI16</f>
        <v>0</v>
      </c>
      <c r="AY16" s="20">
        <f>AL16</f>
        <v>0</v>
      </c>
      <c r="BA16" s="20">
        <f>N16</f>
        <v>0</v>
      </c>
      <c r="BB16" s="20">
        <f>Z16</f>
        <v>0</v>
      </c>
      <c r="BC16" s="20">
        <f>AL16</f>
        <v>0</v>
      </c>
    </row>
    <row r="17" spans="1:55">
      <c r="A17" s="18" t="s">
        <v>435</v>
      </c>
      <c r="B17" s="16"/>
      <c r="C17" s="20">
        <f>'Working Capital'!$C$25</f>
        <v>0</v>
      </c>
      <c r="D17" s="20">
        <f>'Working Capital'!$D$25</f>
        <v>0</v>
      </c>
      <c r="E17" s="20">
        <f>'Working Capital'!$E$25</f>
        <v>0</v>
      </c>
      <c r="F17" s="20">
        <f>'Working Capital'!$F$25</f>
        <v>0</v>
      </c>
      <c r="G17" s="20">
        <f>'Working Capital'!$G$25</f>
        <v>0</v>
      </c>
      <c r="H17" s="20">
        <f>'Working Capital'!$H$25</f>
        <v>0</v>
      </c>
      <c r="I17" s="20">
        <f>'Working Capital'!$I$25</f>
        <v>0</v>
      </c>
      <c r="J17" s="20">
        <f>'Working Capital'!$J$25</f>
        <v>0</v>
      </c>
      <c r="K17" s="20">
        <f>'Working Capital'!$K$25</f>
        <v>0</v>
      </c>
      <c r="L17" s="20">
        <f>'Working Capital'!$L$25</f>
        <v>0</v>
      </c>
      <c r="M17" s="20">
        <f>'Working Capital'!$M$25</f>
        <v>0</v>
      </c>
      <c r="N17" s="20">
        <f>'Working Capital'!$N$25</f>
        <v>0</v>
      </c>
      <c r="O17" s="20">
        <f>'Working Capital'!$O$25</f>
        <v>0</v>
      </c>
      <c r="P17" s="20">
        <f>'Working Capital'!$P$25</f>
        <v>0</v>
      </c>
      <c r="Q17" s="20">
        <f>'Working Capital'!$Q$25</f>
        <v>0</v>
      </c>
      <c r="R17" s="20">
        <f>'Working Capital'!$R$25</f>
        <v>0</v>
      </c>
      <c r="S17" s="20">
        <f>'Working Capital'!$S$25</f>
        <v>0</v>
      </c>
      <c r="T17" s="20">
        <f>'Working Capital'!$T$25</f>
        <v>0</v>
      </c>
      <c r="U17" s="20">
        <f>'Working Capital'!$U$25</f>
        <v>0</v>
      </c>
      <c r="V17" s="20">
        <f>'Working Capital'!$V$25</f>
        <v>0</v>
      </c>
      <c r="W17" s="20">
        <f>'Working Capital'!$W$25</f>
        <v>0</v>
      </c>
      <c r="X17" s="20">
        <f>'Working Capital'!$X$25</f>
        <v>0</v>
      </c>
      <c r="Y17" s="20">
        <f>'Working Capital'!$Y$25</f>
        <v>0</v>
      </c>
      <c r="Z17" s="20">
        <f>'Working Capital'!$Z$25</f>
        <v>0</v>
      </c>
      <c r="AA17" s="20">
        <f>'Working Capital'!$AA$25</f>
        <v>0</v>
      </c>
      <c r="AB17" s="20">
        <f>'Working Capital'!$AB$25</f>
        <v>0</v>
      </c>
      <c r="AC17" s="20">
        <f>'Working Capital'!$AC$25</f>
        <v>0</v>
      </c>
      <c r="AD17" s="20">
        <f>'Working Capital'!$AD$25</f>
        <v>0</v>
      </c>
      <c r="AE17" s="20">
        <f>'Working Capital'!$AE$25</f>
        <v>0</v>
      </c>
      <c r="AF17" s="20">
        <f>'Working Capital'!$AF$25</f>
        <v>0</v>
      </c>
      <c r="AG17" s="20">
        <f>'Working Capital'!$AG$25</f>
        <v>0</v>
      </c>
      <c r="AH17" s="20">
        <f>'Working Capital'!$AH$25</f>
        <v>0</v>
      </c>
      <c r="AI17" s="20">
        <f>'Working Capital'!$AI$25</f>
        <v>0</v>
      </c>
      <c r="AJ17" s="20">
        <f>'Working Capital'!$AJ$25</f>
        <v>0</v>
      </c>
      <c r="AK17" s="20">
        <f>'Working Capital'!$AK$25</f>
        <v>0</v>
      </c>
      <c r="AL17" s="20">
        <f>'Working Capital'!$AL$25</f>
        <v>0</v>
      </c>
      <c r="AN17" s="20">
        <f>E17</f>
        <v>0</v>
      </c>
      <c r="AO17" s="20">
        <f>H17</f>
        <v>0</v>
      </c>
      <c r="AP17" s="20">
        <f>K17</f>
        <v>0</v>
      </c>
      <c r="AQ17" s="20">
        <f>N17</f>
        <v>0</v>
      </c>
      <c r="AR17" s="20">
        <f>Q17</f>
        <v>0</v>
      </c>
      <c r="AS17" s="20">
        <f>T17</f>
        <v>0</v>
      </c>
      <c r="AT17" s="20">
        <f>W17</f>
        <v>0</v>
      </c>
      <c r="AU17" s="20">
        <f>Z17</f>
        <v>0</v>
      </c>
      <c r="AV17" s="20">
        <f>AC17</f>
        <v>0</v>
      </c>
      <c r="AW17" s="20">
        <f>AF17</f>
        <v>0</v>
      </c>
      <c r="AX17" s="20">
        <f>AI17</f>
        <v>0</v>
      </c>
      <c r="AY17" s="20">
        <f>AL17</f>
        <v>0</v>
      </c>
      <c r="BA17" s="20">
        <f>N17</f>
        <v>0</v>
      </c>
      <c r="BB17" s="20">
        <f>Z17</f>
        <v>0</v>
      </c>
      <c r="BC17" s="20">
        <f>AL17</f>
        <v>0</v>
      </c>
    </row>
    <row r="18" spans="1:55">
      <c r="A18" s="30" t="s">
        <v>436</v>
      </c>
      <c r="B18" s="16"/>
      <c r="C18" s="31">
        <f>C15+C16+C17</f>
        <v>0</v>
      </c>
      <c r="D18" s="31">
        <f>D15+D16+D17</f>
        <v>0</v>
      </c>
      <c r="E18" s="31">
        <f>E15+E16+E17</f>
        <v>0</v>
      </c>
      <c r="F18" s="31">
        <f>F15+F16+F17</f>
        <v>0</v>
      </c>
      <c r="G18" s="31">
        <f>G15+G16+G17</f>
        <v>0</v>
      </c>
      <c r="H18" s="31">
        <f>H15+H16+H17</f>
        <v>0</v>
      </c>
      <c r="I18" s="31">
        <f>I15+I16+I17</f>
        <v>0</v>
      </c>
      <c r="J18" s="31">
        <f>J15+J16+J17</f>
        <v>0</v>
      </c>
      <c r="K18" s="31">
        <f>K15+K16+K17</f>
        <v>0</v>
      </c>
      <c r="L18" s="31">
        <f>L15+L16+L17</f>
        <v>0</v>
      </c>
      <c r="M18" s="31">
        <f>M15+M16+M17</f>
        <v>0</v>
      </c>
      <c r="N18" s="31">
        <f>N15+N16+N17</f>
        <v>0</v>
      </c>
      <c r="O18" s="31">
        <f>O15+O16+O17</f>
        <v>0</v>
      </c>
      <c r="P18" s="31">
        <f>P15+P16+P17</f>
        <v>0</v>
      </c>
      <c r="Q18" s="31">
        <f>Q15+Q16+Q17</f>
        <v>0</v>
      </c>
      <c r="R18" s="31">
        <f>R15+R16+R17</f>
        <v>0</v>
      </c>
      <c r="S18" s="31">
        <f>S15+S16+S17</f>
        <v>0</v>
      </c>
      <c r="T18" s="31">
        <f>T15+T16+T17</f>
        <v>0</v>
      </c>
      <c r="U18" s="31">
        <f>U15+U16+U17</f>
        <v>0</v>
      </c>
      <c r="V18" s="31">
        <f>V15+V16+V17</f>
        <v>0</v>
      </c>
      <c r="W18" s="31">
        <f>W15+W16+W17</f>
        <v>0</v>
      </c>
      <c r="X18" s="31">
        <f>X15+X16+X17</f>
        <v>0</v>
      </c>
      <c r="Y18" s="31">
        <f>Y15+Y16+Y17</f>
        <v>0</v>
      </c>
      <c r="Z18" s="31">
        <f>Z15+Z16+Z17</f>
        <v>0</v>
      </c>
      <c r="AA18" s="31">
        <f>AA15+AA16+AA17</f>
        <v>0</v>
      </c>
      <c r="AB18" s="31">
        <f>AB15+AB16+AB17</f>
        <v>0</v>
      </c>
      <c r="AC18" s="31">
        <f>AC15+AC16+AC17</f>
        <v>0</v>
      </c>
      <c r="AD18" s="31">
        <f>AD15+AD16+AD17</f>
        <v>0</v>
      </c>
      <c r="AE18" s="31">
        <f>AE15+AE16+AE17</f>
        <v>0</v>
      </c>
      <c r="AF18" s="31">
        <f>AF15+AF16+AF17</f>
        <v>0</v>
      </c>
      <c r="AG18" s="31">
        <f>AG15+AG16+AG17</f>
        <v>0</v>
      </c>
      <c r="AH18" s="31">
        <f>AH15+AH16+AH17</f>
        <v>0</v>
      </c>
      <c r="AI18" s="31">
        <f>AI15+AI16+AI17</f>
        <v>0</v>
      </c>
      <c r="AJ18" s="31">
        <f>AJ15+AJ16+AJ17</f>
        <v>0</v>
      </c>
      <c r="AK18" s="31">
        <f>AK15+AK16+AK17</f>
        <v>0</v>
      </c>
      <c r="AL18" s="31">
        <f>AL15+AL16+AL17</f>
        <v>0</v>
      </c>
      <c r="AN18" s="31">
        <f>E18</f>
        <v>0</v>
      </c>
      <c r="AO18" s="31">
        <f>H18</f>
        <v>0</v>
      </c>
      <c r="AP18" s="31">
        <f>K18</f>
        <v>0</v>
      </c>
      <c r="AQ18" s="31">
        <f>N18</f>
        <v>0</v>
      </c>
      <c r="AR18" s="31">
        <f>Q18</f>
        <v>0</v>
      </c>
      <c r="AS18" s="31">
        <f>T18</f>
        <v>0</v>
      </c>
      <c r="AT18" s="31">
        <f>W18</f>
        <v>0</v>
      </c>
      <c r="AU18" s="31">
        <f>Z18</f>
        <v>0</v>
      </c>
      <c r="AV18" s="31">
        <f>AC18</f>
        <v>0</v>
      </c>
      <c r="AW18" s="31">
        <f>AF18</f>
        <v>0</v>
      </c>
      <c r="AX18" s="31">
        <f>AI18</f>
        <v>0</v>
      </c>
      <c r="AY18" s="31">
        <f>AL18</f>
        <v>0</v>
      </c>
      <c r="BA18" s="31">
        <f>N18</f>
        <v>0</v>
      </c>
      <c r="BB18" s="31">
        <f>Z18</f>
        <v>0</v>
      </c>
      <c r="BC18" s="31">
        <f>AL18</f>
        <v>0</v>
      </c>
    </row>
    <row r="19" spans="1:55" ht="5" customHeight="1"/>
    <row r="20" spans="1:55" ht="16" customHeight="1">
      <c r="A20" s="14" t="s">
        <v>437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</row>
    <row r="21" spans="1:55">
      <c r="A21" s="18" t="s">
        <v>438</v>
      </c>
      <c r="B21" s="16" t="s">
        <v>439</v>
      </c>
      <c r="C21" s="20">
        <f>'Assumptions'!$F$9+'Working Capital'!C30</f>
        <v>0</v>
      </c>
      <c r="D21" s="20">
        <f>'Assumptions'!$F$9+'Working Capital'!D30</f>
        <v>0</v>
      </c>
      <c r="E21" s="20">
        <f>'Assumptions'!$F$9+'Working Capital'!E30</f>
        <v>0</v>
      </c>
      <c r="F21" s="20">
        <f>'Assumptions'!$F$9+'Working Capital'!F30</f>
        <v>0</v>
      </c>
      <c r="G21" s="20">
        <f>'Assumptions'!$F$9+'Working Capital'!G30</f>
        <v>0</v>
      </c>
      <c r="H21" s="20">
        <f>'Assumptions'!$F$9+'Working Capital'!H30</f>
        <v>0</v>
      </c>
      <c r="I21" s="20">
        <f>'Assumptions'!$F$9+'Working Capital'!I30</f>
        <v>0</v>
      </c>
      <c r="J21" s="20">
        <f>'Assumptions'!$F$9+'Working Capital'!J30</f>
        <v>0</v>
      </c>
      <c r="K21" s="20">
        <f>'Assumptions'!$F$9+'Working Capital'!K30</f>
        <v>0</v>
      </c>
      <c r="L21" s="20">
        <f>'Assumptions'!$F$9+'Working Capital'!L30</f>
        <v>0</v>
      </c>
      <c r="M21" s="20">
        <f>'Assumptions'!$F$9+'Working Capital'!M30</f>
        <v>0</v>
      </c>
      <c r="N21" s="20">
        <f>'Assumptions'!$F$9+'Working Capital'!N30</f>
        <v>0</v>
      </c>
      <c r="O21" s="20">
        <f>'Assumptions'!$F$9+'Working Capital'!O30</f>
        <v>0</v>
      </c>
      <c r="P21" s="20">
        <f>'Assumptions'!$F$9+'Working Capital'!P30</f>
        <v>0</v>
      </c>
      <c r="Q21" s="20">
        <f>'Assumptions'!$F$9+'Working Capital'!Q30</f>
        <v>0</v>
      </c>
      <c r="R21" s="20">
        <f>'Assumptions'!$F$9+'Working Capital'!R30</f>
        <v>0</v>
      </c>
      <c r="S21" s="20">
        <f>'Assumptions'!$F$9+'Working Capital'!S30</f>
        <v>0</v>
      </c>
      <c r="T21" s="20">
        <f>'Assumptions'!$F$9+'Working Capital'!T30</f>
        <v>0</v>
      </c>
      <c r="U21" s="20">
        <f>'Assumptions'!$F$9+'Working Capital'!U30</f>
        <v>0</v>
      </c>
      <c r="V21" s="20">
        <f>'Assumptions'!$F$9+'Working Capital'!V30</f>
        <v>0</v>
      </c>
      <c r="W21" s="20">
        <f>'Assumptions'!$F$9+'Working Capital'!W30</f>
        <v>0</v>
      </c>
      <c r="X21" s="20">
        <f>'Assumptions'!$F$9+'Working Capital'!X30</f>
        <v>0</v>
      </c>
      <c r="Y21" s="20">
        <f>'Assumptions'!$F$9+'Working Capital'!Y30</f>
        <v>0</v>
      </c>
      <c r="Z21" s="20">
        <f>'Assumptions'!$F$9+'Working Capital'!Z30</f>
        <v>0</v>
      </c>
      <c r="AA21" s="20">
        <f>'Assumptions'!$F$9+'Working Capital'!AA30</f>
        <v>0</v>
      </c>
      <c r="AB21" s="20">
        <f>'Assumptions'!$F$9+'Working Capital'!AB30</f>
        <v>0</v>
      </c>
      <c r="AC21" s="20">
        <f>'Assumptions'!$F$9+'Working Capital'!AC30</f>
        <v>0</v>
      </c>
      <c r="AD21" s="20">
        <f>'Assumptions'!$F$9+'Working Capital'!AD30</f>
        <v>0</v>
      </c>
      <c r="AE21" s="20">
        <f>'Assumptions'!$F$9+'Working Capital'!AE30</f>
        <v>0</v>
      </c>
      <c r="AF21" s="20">
        <f>'Assumptions'!$F$9+'Working Capital'!AF30</f>
        <v>0</v>
      </c>
      <c r="AG21" s="20">
        <f>'Assumptions'!$F$9+'Working Capital'!AG30</f>
        <v>0</v>
      </c>
      <c r="AH21" s="20">
        <f>'Assumptions'!$F$9+'Working Capital'!AH30</f>
        <v>0</v>
      </c>
      <c r="AI21" s="20">
        <f>'Assumptions'!$F$9+'Working Capital'!AI30</f>
        <v>0</v>
      </c>
      <c r="AJ21" s="20">
        <f>'Assumptions'!$F$9+'Working Capital'!AJ30</f>
        <v>0</v>
      </c>
      <c r="AK21" s="20">
        <f>'Assumptions'!$F$9+'Working Capital'!AK30</f>
        <v>0</v>
      </c>
      <c r="AL21" s="20">
        <f>'Assumptions'!$F$9+'Working Capital'!AL30</f>
        <v>0</v>
      </c>
      <c r="AN21" s="20">
        <f>E21</f>
        <v>0</v>
      </c>
      <c r="AO21" s="20">
        <f>H21</f>
        <v>0</v>
      </c>
      <c r="AP21" s="20">
        <f>K21</f>
        <v>0</v>
      </c>
      <c r="AQ21" s="20">
        <f>N21</f>
        <v>0</v>
      </c>
      <c r="AR21" s="20">
        <f>Q21</f>
        <v>0</v>
      </c>
      <c r="AS21" s="20">
        <f>T21</f>
        <v>0</v>
      </c>
      <c r="AT21" s="20">
        <f>W21</f>
        <v>0</v>
      </c>
      <c r="AU21" s="20">
        <f>Z21</f>
        <v>0</v>
      </c>
      <c r="AV21" s="20">
        <f>AC21</f>
        <v>0</v>
      </c>
      <c r="AW21" s="20">
        <f>AF21</f>
        <v>0</v>
      </c>
      <c r="AX21" s="20">
        <f>AI21</f>
        <v>0</v>
      </c>
      <c r="AY21" s="20">
        <f>AL21</f>
        <v>0</v>
      </c>
      <c r="BA21" s="20">
        <f>N21</f>
        <v>0</v>
      </c>
      <c r="BB21" s="20">
        <f>Z21</f>
        <v>0</v>
      </c>
      <c r="BC21" s="20">
        <f>AL21</f>
        <v>0</v>
      </c>
    </row>
    <row r="22" spans="1:55">
      <c r="A22" s="18" t="s">
        <v>440</v>
      </c>
      <c r="B22" s="16" t="s">
        <v>441</v>
      </c>
      <c r="C22" s="20">
        <f>('Assumptions'!$F$8-'Assumptions'!$F$9)+'P&amp;L'!C24</f>
        <v>0</v>
      </c>
      <c r="D22" s="20">
        <f>C22+'P&amp;L'!D24</f>
        <v>0</v>
      </c>
      <c r="E22" s="20">
        <f>D22+'P&amp;L'!E24</f>
        <v>0</v>
      </c>
      <c r="F22" s="20">
        <f>E22+'P&amp;L'!F24</f>
        <v>0</v>
      </c>
      <c r="G22" s="20">
        <f>F22+'P&amp;L'!G24</f>
        <v>0</v>
      </c>
      <c r="H22" s="20">
        <f>G22+'P&amp;L'!H24</f>
        <v>0</v>
      </c>
      <c r="I22" s="20">
        <f>H22+'P&amp;L'!I24</f>
        <v>0</v>
      </c>
      <c r="J22" s="20">
        <f>I22+'P&amp;L'!J24</f>
        <v>0</v>
      </c>
      <c r="K22" s="20">
        <f>J22+'P&amp;L'!K24</f>
        <v>0</v>
      </c>
      <c r="L22" s="20">
        <f>K22+'P&amp;L'!L24</f>
        <v>0</v>
      </c>
      <c r="M22" s="20">
        <f>L22+'P&amp;L'!M24</f>
        <v>0</v>
      </c>
      <c r="N22" s="20">
        <f>M22+'P&amp;L'!N24</f>
        <v>0</v>
      </c>
      <c r="O22" s="20">
        <f>N22+'P&amp;L'!O24</f>
        <v>0</v>
      </c>
      <c r="P22" s="20">
        <f>O22+'P&amp;L'!P24</f>
        <v>0</v>
      </c>
      <c r="Q22" s="20">
        <f>P22+'P&amp;L'!Q24</f>
        <v>0</v>
      </c>
      <c r="R22" s="20">
        <f>Q22+'P&amp;L'!R24</f>
        <v>0</v>
      </c>
      <c r="S22" s="20">
        <f>R22+'P&amp;L'!S24</f>
        <v>0</v>
      </c>
      <c r="T22" s="20">
        <f>S22+'P&amp;L'!T24</f>
        <v>0</v>
      </c>
      <c r="U22" s="20">
        <f>T22+'P&amp;L'!U24</f>
        <v>0</v>
      </c>
      <c r="V22" s="20">
        <f>U22+'P&amp;L'!V24</f>
        <v>0</v>
      </c>
      <c r="W22" s="20">
        <f>V22+'P&amp;L'!W24</f>
        <v>0</v>
      </c>
      <c r="X22" s="20">
        <f>W22+'P&amp;L'!X24</f>
        <v>0</v>
      </c>
      <c r="Y22" s="20">
        <f>X22+'P&amp;L'!Y24</f>
        <v>0</v>
      </c>
      <c r="Z22" s="20">
        <f>Y22+'P&amp;L'!Z24</f>
        <v>0</v>
      </c>
      <c r="AA22" s="20">
        <f>Z22+'P&amp;L'!AA24</f>
        <v>0</v>
      </c>
      <c r="AB22" s="20">
        <f>AA22+'P&amp;L'!AB24</f>
        <v>0</v>
      </c>
      <c r="AC22" s="20">
        <f>AB22+'P&amp;L'!AC24</f>
        <v>0</v>
      </c>
      <c r="AD22" s="20">
        <f>AC22+'P&amp;L'!AD24</f>
        <v>0</v>
      </c>
      <c r="AE22" s="20">
        <f>AD22+'P&amp;L'!AE24</f>
        <v>0</v>
      </c>
      <c r="AF22" s="20">
        <f>AE22+'P&amp;L'!AF24</f>
        <v>0</v>
      </c>
      <c r="AG22" s="20">
        <f>AF22+'P&amp;L'!AG24</f>
        <v>0</v>
      </c>
      <c r="AH22" s="20">
        <f>AG22+'P&amp;L'!AH24</f>
        <v>0</v>
      </c>
      <c r="AI22" s="20">
        <f>AH22+'P&amp;L'!AI24</f>
        <v>0</v>
      </c>
      <c r="AJ22" s="20">
        <f>AI22+'P&amp;L'!AJ24</f>
        <v>0</v>
      </c>
      <c r="AK22" s="20">
        <f>AJ22+'P&amp;L'!AK24</f>
        <v>0</v>
      </c>
      <c r="AL22" s="20">
        <f>AK22+'P&amp;L'!AL24</f>
        <v>0</v>
      </c>
      <c r="AN22" s="20">
        <f>E22</f>
        <v>0</v>
      </c>
      <c r="AO22" s="20">
        <f>H22</f>
        <v>0</v>
      </c>
      <c r="AP22" s="20">
        <f>K22</f>
        <v>0</v>
      </c>
      <c r="AQ22" s="20">
        <f>N22</f>
        <v>0</v>
      </c>
      <c r="AR22" s="20">
        <f>Q22</f>
        <v>0</v>
      </c>
      <c r="AS22" s="20">
        <f>T22</f>
        <v>0</v>
      </c>
      <c r="AT22" s="20">
        <f>W22</f>
        <v>0</v>
      </c>
      <c r="AU22" s="20">
        <f>Z22</f>
        <v>0</v>
      </c>
      <c r="AV22" s="20">
        <f>AC22</f>
        <v>0</v>
      </c>
      <c r="AW22" s="20">
        <f>AF22</f>
        <v>0</v>
      </c>
      <c r="AX22" s="20">
        <f>AI22</f>
        <v>0</v>
      </c>
      <c r="AY22" s="20">
        <f>AL22</f>
        <v>0</v>
      </c>
      <c r="BA22" s="20">
        <f>N22</f>
        <v>0</v>
      </c>
      <c r="BB22" s="20">
        <f>Z22</f>
        <v>0</v>
      </c>
      <c r="BC22" s="20">
        <f>AL22</f>
        <v>0</v>
      </c>
    </row>
    <row r="23" spans="1:55">
      <c r="A23" s="30" t="s">
        <v>442</v>
      </c>
      <c r="B23" s="16"/>
      <c r="C23" s="31">
        <f>C21+C22</f>
        <v>0</v>
      </c>
      <c r="D23" s="31">
        <f>D21+D22</f>
        <v>0</v>
      </c>
      <c r="E23" s="31">
        <f>E21+E22</f>
        <v>0</v>
      </c>
      <c r="F23" s="31">
        <f>F21+F22</f>
        <v>0</v>
      </c>
      <c r="G23" s="31">
        <f>G21+G22</f>
        <v>0</v>
      </c>
      <c r="H23" s="31">
        <f>H21+H22</f>
        <v>0</v>
      </c>
      <c r="I23" s="31">
        <f>I21+I22</f>
        <v>0</v>
      </c>
      <c r="J23" s="31">
        <f>J21+J22</f>
        <v>0</v>
      </c>
      <c r="K23" s="31">
        <f>K21+K22</f>
        <v>0</v>
      </c>
      <c r="L23" s="31">
        <f>L21+L22</f>
        <v>0</v>
      </c>
      <c r="M23" s="31">
        <f>M21+M22</f>
        <v>0</v>
      </c>
      <c r="N23" s="31">
        <f>N21+N22</f>
        <v>0</v>
      </c>
      <c r="O23" s="31">
        <f>O21+O22</f>
        <v>0</v>
      </c>
      <c r="P23" s="31">
        <f>P21+P22</f>
        <v>0</v>
      </c>
      <c r="Q23" s="31">
        <f>Q21+Q22</f>
        <v>0</v>
      </c>
      <c r="R23" s="31">
        <f>R21+R22</f>
        <v>0</v>
      </c>
      <c r="S23" s="31">
        <f>S21+S22</f>
        <v>0</v>
      </c>
      <c r="T23" s="31">
        <f>T21+T22</f>
        <v>0</v>
      </c>
      <c r="U23" s="31">
        <f>U21+U22</f>
        <v>0</v>
      </c>
      <c r="V23" s="31">
        <f>V21+V22</f>
        <v>0</v>
      </c>
      <c r="W23" s="31">
        <f>W21+W22</f>
        <v>0</v>
      </c>
      <c r="X23" s="31">
        <f>X21+X22</f>
        <v>0</v>
      </c>
      <c r="Y23" s="31">
        <f>Y21+Y22</f>
        <v>0</v>
      </c>
      <c r="Z23" s="31">
        <f>Z21+Z22</f>
        <v>0</v>
      </c>
      <c r="AA23" s="31">
        <f>AA21+AA22</f>
        <v>0</v>
      </c>
      <c r="AB23" s="31">
        <f>AB21+AB22</f>
        <v>0</v>
      </c>
      <c r="AC23" s="31">
        <f>AC21+AC22</f>
        <v>0</v>
      </c>
      <c r="AD23" s="31">
        <f>AD21+AD22</f>
        <v>0</v>
      </c>
      <c r="AE23" s="31">
        <f>AE21+AE22</f>
        <v>0</v>
      </c>
      <c r="AF23" s="31">
        <f>AF21+AF22</f>
        <v>0</v>
      </c>
      <c r="AG23" s="31">
        <f>AG21+AG22</f>
        <v>0</v>
      </c>
      <c r="AH23" s="31">
        <f>AH21+AH22</f>
        <v>0</v>
      </c>
      <c r="AI23" s="31">
        <f>AI21+AI22</f>
        <v>0</v>
      </c>
      <c r="AJ23" s="31">
        <f>AJ21+AJ22</f>
        <v>0</v>
      </c>
      <c r="AK23" s="31">
        <f>AK21+AK22</f>
        <v>0</v>
      </c>
      <c r="AL23" s="31">
        <f>AL21+AL22</f>
        <v>0</v>
      </c>
      <c r="AN23" s="31">
        <f>E23</f>
        <v>0</v>
      </c>
      <c r="AO23" s="31">
        <f>H23</f>
        <v>0</v>
      </c>
      <c r="AP23" s="31">
        <f>K23</f>
        <v>0</v>
      </c>
      <c r="AQ23" s="31">
        <f>N23</f>
        <v>0</v>
      </c>
      <c r="AR23" s="31">
        <f>Q23</f>
        <v>0</v>
      </c>
      <c r="AS23" s="31">
        <f>T23</f>
        <v>0</v>
      </c>
      <c r="AT23" s="31">
        <f>W23</f>
        <v>0</v>
      </c>
      <c r="AU23" s="31">
        <f>Z23</f>
        <v>0</v>
      </c>
      <c r="AV23" s="31">
        <f>AC23</f>
        <v>0</v>
      </c>
      <c r="AW23" s="31">
        <f>AF23</f>
        <v>0</v>
      </c>
      <c r="AX23" s="31">
        <f>AI23</f>
        <v>0</v>
      </c>
      <c r="AY23" s="31">
        <f>AL23</f>
        <v>0</v>
      </c>
      <c r="BA23" s="31">
        <f>N23</f>
        <v>0</v>
      </c>
      <c r="BB23" s="31">
        <f>Z23</f>
        <v>0</v>
      </c>
      <c r="BC23" s="31">
        <f>AL23</f>
        <v>0</v>
      </c>
    </row>
    <row r="24" spans="1:55">
      <c r="A24" s="33" t="s">
        <v>443</v>
      </c>
      <c r="B24" s="16"/>
      <c r="C24" s="34">
        <f>C18+C23</f>
        <v>0</v>
      </c>
      <c r="D24" s="34">
        <f>D18+D23</f>
        <v>0</v>
      </c>
      <c r="E24" s="34">
        <f>E18+E23</f>
        <v>0</v>
      </c>
      <c r="F24" s="34">
        <f>F18+F23</f>
        <v>0</v>
      </c>
      <c r="G24" s="34">
        <f>G18+G23</f>
        <v>0</v>
      </c>
      <c r="H24" s="34">
        <f>H18+H23</f>
        <v>0</v>
      </c>
      <c r="I24" s="34">
        <f>I18+I23</f>
        <v>0</v>
      </c>
      <c r="J24" s="34">
        <f>J18+J23</f>
        <v>0</v>
      </c>
      <c r="K24" s="34">
        <f>K18+K23</f>
        <v>0</v>
      </c>
      <c r="L24" s="34">
        <f>L18+L23</f>
        <v>0</v>
      </c>
      <c r="M24" s="34">
        <f>M18+M23</f>
        <v>0</v>
      </c>
      <c r="N24" s="34">
        <f>N18+N23</f>
        <v>0</v>
      </c>
      <c r="O24" s="34">
        <f>O18+O23</f>
        <v>0</v>
      </c>
      <c r="P24" s="34">
        <f>P18+P23</f>
        <v>0</v>
      </c>
      <c r="Q24" s="34">
        <f>Q18+Q23</f>
        <v>0</v>
      </c>
      <c r="R24" s="34">
        <f>R18+R23</f>
        <v>0</v>
      </c>
      <c r="S24" s="34">
        <f>S18+S23</f>
        <v>0</v>
      </c>
      <c r="T24" s="34">
        <f>T18+T23</f>
        <v>0</v>
      </c>
      <c r="U24" s="34">
        <f>U18+U23</f>
        <v>0</v>
      </c>
      <c r="V24" s="34">
        <f>V18+V23</f>
        <v>0</v>
      </c>
      <c r="W24" s="34">
        <f>W18+W23</f>
        <v>0</v>
      </c>
      <c r="X24" s="34">
        <f>X18+X23</f>
        <v>0</v>
      </c>
      <c r="Y24" s="34">
        <f>Y18+Y23</f>
        <v>0</v>
      </c>
      <c r="Z24" s="34">
        <f>Z18+Z23</f>
        <v>0</v>
      </c>
      <c r="AA24" s="34">
        <f>AA18+AA23</f>
        <v>0</v>
      </c>
      <c r="AB24" s="34">
        <f>AB18+AB23</f>
        <v>0</v>
      </c>
      <c r="AC24" s="34">
        <f>AC18+AC23</f>
        <v>0</v>
      </c>
      <c r="AD24" s="34">
        <f>AD18+AD23</f>
        <v>0</v>
      </c>
      <c r="AE24" s="34">
        <f>AE18+AE23</f>
        <v>0</v>
      </c>
      <c r="AF24" s="34">
        <f>AF18+AF23</f>
        <v>0</v>
      </c>
      <c r="AG24" s="34">
        <f>AG18+AG23</f>
        <v>0</v>
      </c>
      <c r="AH24" s="34">
        <f>AH18+AH23</f>
        <v>0</v>
      </c>
      <c r="AI24" s="34">
        <f>AI18+AI23</f>
        <v>0</v>
      </c>
      <c r="AJ24" s="34">
        <f>AJ18+AJ23</f>
        <v>0</v>
      </c>
      <c r="AK24" s="34">
        <f>AK18+AK23</f>
        <v>0</v>
      </c>
      <c r="AL24" s="34">
        <f>AL18+AL23</f>
        <v>0</v>
      </c>
      <c r="AN24" s="34">
        <f>E24</f>
        <v>0</v>
      </c>
      <c r="AO24" s="34">
        <f>H24</f>
        <v>0</v>
      </c>
      <c r="AP24" s="34">
        <f>K24</f>
        <v>0</v>
      </c>
      <c r="AQ24" s="34">
        <f>N24</f>
        <v>0</v>
      </c>
      <c r="AR24" s="34">
        <f>Q24</f>
        <v>0</v>
      </c>
      <c r="AS24" s="34">
        <f>T24</f>
        <v>0</v>
      </c>
      <c r="AT24" s="34">
        <f>W24</f>
        <v>0</v>
      </c>
      <c r="AU24" s="34">
        <f>Z24</f>
        <v>0</v>
      </c>
      <c r="AV24" s="34">
        <f>AC24</f>
        <v>0</v>
      </c>
      <c r="AW24" s="34">
        <f>AF24</f>
        <v>0</v>
      </c>
      <c r="AX24" s="34">
        <f>AI24</f>
        <v>0</v>
      </c>
      <c r="AY24" s="34">
        <f>AL24</f>
        <v>0</v>
      </c>
      <c r="BA24" s="34">
        <f>N24</f>
        <v>0</v>
      </c>
      <c r="BB24" s="34">
        <f>Z24</f>
        <v>0</v>
      </c>
      <c r="BC24" s="34">
        <f>AL24</f>
        <v>0</v>
      </c>
    </row>
    <row r="25" spans="1:55" ht="5" customHeight="1"/>
    <row r="26" spans="1:55">
      <c r="A26" s="18" t="s">
        <v>444</v>
      </c>
      <c r="B26" s="16" t="s">
        <v>445</v>
      </c>
      <c r="C26" s="32">
        <f>C12-C24</f>
        <v>0</v>
      </c>
      <c r="D26" s="32">
        <f>D12-D24</f>
        <v>0</v>
      </c>
      <c r="E26" s="32">
        <f>E12-E24</f>
        <v>0</v>
      </c>
      <c r="F26" s="32">
        <f>F12-F24</f>
        <v>0</v>
      </c>
      <c r="G26" s="32">
        <f>G12-G24</f>
        <v>0</v>
      </c>
      <c r="H26" s="32">
        <f>H12-H24</f>
        <v>0</v>
      </c>
      <c r="I26" s="32">
        <f>I12-I24</f>
        <v>0</v>
      </c>
      <c r="J26" s="32">
        <f>J12-J24</f>
        <v>0</v>
      </c>
      <c r="K26" s="32">
        <f>K12-K24</f>
        <v>0</v>
      </c>
      <c r="L26" s="32">
        <f>L12-L24</f>
        <v>0</v>
      </c>
      <c r="M26" s="32">
        <f>M12-M24</f>
        <v>0</v>
      </c>
      <c r="N26" s="32">
        <f>N12-N24</f>
        <v>0</v>
      </c>
      <c r="O26" s="32">
        <f>O12-O24</f>
        <v>0</v>
      </c>
      <c r="P26" s="32">
        <f>P12-P24</f>
        <v>0</v>
      </c>
      <c r="Q26" s="32">
        <f>Q12-Q24</f>
        <v>0</v>
      </c>
      <c r="R26" s="32">
        <f>R12-R24</f>
        <v>0</v>
      </c>
      <c r="S26" s="32">
        <f>S12-S24</f>
        <v>0</v>
      </c>
      <c r="T26" s="32">
        <f>T12-T24</f>
        <v>0</v>
      </c>
      <c r="U26" s="32">
        <f>U12-U24</f>
        <v>0</v>
      </c>
      <c r="V26" s="32">
        <f>V12-V24</f>
        <v>0</v>
      </c>
      <c r="W26" s="32">
        <f>W12-W24</f>
        <v>0</v>
      </c>
      <c r="X26" s="32">
        <f>X12-X24</f>
        <v>0</v>
      </c>
      <c r="Y26" s="32">
        <f>Y12-Y24</f>
        <v>0</v>
      </c>
      <c r="Z26" s="32">
        <f>Z12-Z24</f>
        <v>0</v>
      </c>
      <c r="AA26" s="32">
        <f>AA12-AA24</f>
        <v>0</v>
      </c>
      <c r="AB26" s="32">
        <f>AB12-AB24</f>
        <v>0</v>
      </c>
      <c r="AC26" s="32">
        <f>AC12-AC24</f>
        <v>0</v>
      </c>
      <c r="AD26" s="32">
        <f>AD12-AD24</f>
        <v>0</v>
      </c>
      <c r="AE26" s="32">
        <f>AE12-AE24</f>
        <v>0</v>
      </c>
      <c r="AF26" s="32">
        <f>AF12-AF24</f>
        <v>0</v>
      </c>
      <c r="AG26" s="32">
        <f>AG12-AG24</f>
        <v>0</v>
      </c>
      <c r="AH26" s="32">
        <f>AH12-AH24</f>
        <v>0</v>
      </c>
      <c r="AI26" s="32">
        <f>AI12-AI24</f>
        <v>0</v>
      </c>
      <c r="AJ26" s="32">
        <f>AJ12-AJ24</f>
        <v>0</v>
      </c>
      <c r="AK26" s="32">
        <f>AK12-AK24</f>
        <v>0</v>
      </c>
      <c r="AL26" s="32">
        <f>AL12-AL24</f>
        <v>0</v>
      </c>
      <c r="AN26" s="32">
        <f>E26</f>
        <v>0</v>
      </c>
      <c r="AO26" s="32">
        <f>H26</f>
        <v>0</v>
      </c>
      <c r="AP26" s="32">
        <f>K26</f>
        <v>0</v>
      </c>
      <c r="AQ26" s="32">
        <f>N26</f>
        <v>0</v>
      </c>
      <c r="AR26" s="32">
        <f>Q26</f>
        <v>0</v>
      </c>
      <c r="AS26" s="32">
        <f>T26</f>
        <v>0</v>
      </c>
      <c r="AT26" s="32">
        <f>W26</f>
        <v>0</v>
      </c>
      <c r="AU26" s="32">
        <f>Z26</f>
        <v>0</v>
      </c>
      <c r="AV26" s="32">
        <f>AC26</f>
        <v>0</v>
      </c>
      <c r="AW26" s="32">
        <f>AF26</f>
        <v>0</v>
      </c>
      <c r="AX26" s="32">
        <f>AI26</f>
        <v>0</v>
      </c>
      <c r="AY26" s="32">
        <f>AL26</f>
        <v>0</v>
      </c>
      <c r="BA26" s="32">
        <f>N26</f>
        <v>0</v>
      </c>
      <c r="BB26" s="32">
        <f>Z26</f>
        <v>0</v>
      </c>
      <c r="BC26" s="32">
        <f>AL26</f>
        <v>0</v>
      </c>
    </row>
  </sheetData>
  <mergeCells count="8">
    <mergeCell ref="A1:BC1"/>
    <mergeCell ref="A2:BC2"/>
    <mergeCell ref="C5:AL5"/>
    <mergeCell ref="AN5:AY5"/>
    <mergeCell ref="BA5:BC5"/>
    <mergeCell ref="A7:BC7"/>
    <mergeCell ref="A14:BC14"/>
    <mergeCell ref="A20:BC20"/>
  </mergeCells>
  <pageMargins left="0.7" right="0.7" top="0.75" bottom="0.75" header="0.3" footer="0.3"/>
  <pageSetup paperSize="9" scale="55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C14"/>
  <sheetViews>
    <sheetView showGridLines="0" zoomScale="110" zoomScaleNormal="11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40.7109375" customWidth="1"/>
    <col min="2" max="2" width="30.7109375" customWidth="1"/>
    <col min="3" max="38" width="11.7109375" customWidth="1"/>
    <col min="39" max="39" width="2.7109375" customWidth="1"/>
    <col min="40" max="51" width="12.7109375" customWidth="1"/>
    <col min="52" max="52" width="2.7109375" customWidth="1"/>
    <col min="53" max="55" width="12.7109375" customWidth="1"/>
  </cols>
  <sheetData>
    <row r="1" spans="1:55" ht="22" customHeight="1">
      <c r="A1" s="1" t="s">
        <v>446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ht="16" customHeight="1">
      <c r="A2" s="2" t="s">
        <v>447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</row>
    <row r="5" spans="1:55">
      <c r="A5" s="14" t="s">
        <v>191</v>
      </c>
      <c r="B5" s="14" t="s">
        <v>192</v>
      </c>
      <c r="C5" s="14" t="s">
        <v>188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N5" s="14" t="s">
        <v>189</v>
      </c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BA5" s="14" t="s">
        <v>190</v>
      </c>
      <c r="BB5" s="14"/>
      <c r="BC5" s="14"/>
    </row>
    <row r="6" spans="1:55">
      <c r="A6" s="17"/>
      <c r="B6" s="17"/>
      <c r="C6" s="28">
        <v>46023</v>
      </c>
      <c r="D6" s="28">
        <v>46054</v>
      </c>
      <c r="E6" s="28">
        <v>46082</v>
      </c>
      <c r="F6" s="28">
        <v>46113</v>
      </c>
      <c r="G6" s="28">
        <v>46143</v>
      </c>
      <c r="H6" s="28">
        <v>46174</v>
      </c>
      <c r="I6" s="28">
        <v>46204</v>
      </c>
      <c r="J6" s="28">
        <v>46235</v>
      </c>
      <c r="K6" s="28">
        <v>46266</v>
      </c>
      <c r="L6" s="28">
        <v>46296</v>
      </c>
      <c r="M6" s="28">
        <v>46327</v>
      </c>
      <c r="N6" s="28">
        <v>46357</v>
      </c>
      <c r="O6" s="28">
        <v>46388</v>
      </c>
      <c r="P6" s="28">
        <v>46419</v>
      </c>
      <c r="Q6" s="28">
        <v>46447</v>
      </c>
      <c r="R6" s="28">
        <v>46478</v>
      </c>
      <c r="S6" s="28">
        <v>46508</v>
      </c>
      <c r="T6" s="28">
        <v>46539</v>
      </c>
      <c r="U6" s="28">
        <v>46569</v>
      </c>
      <c r="V6" s="28">
        <v>46600</v>
      </c>
      <c r="W6" s="28">
        <v>46631</v>
      </c>
      <c r="X6" s="28">
        <v>46661</v>
      </c>
      <c r="Y6" s="28">
        <v>46692</v>
      </c>
      <c r="Z6" s="28">
        <v>46722</v>
      </c>
      <c r="AA6" s="28">
        <v>46753</v>
      </c>
      <c r="AB6" s="28">
        <v>46784</v>
      </c>
      <c r="AC6" s="28">
        <v>46813</v>
      </c>
      <c r="AD6" s="28">
        <v>46844</v>
      </c>
      <c r="AE6" s="28">
        <v>46874</v>
      </c>
      <c r="AF6" s="28">
        <v>46905</v>
      </c>
      <c r="AG6" s="28">
        <v>46935</v>
      </c>
      <c r="AH6" s="28">
        <v>46966</v>
      </c>
      <c r="AI6" s="28">
        <v>46997</v>
      </c>
      <c r="AJ6" s="28">
        <v>47027</v>
      </c>
      <c r="AK6" s="28">
        <v>47058</v>
      </c>
      <c r="AL6" s="28">
        <v>47088</v>
      </c>
      <c r="AN6" s="17" t="s">
        <v>193</v>
      </c>
      <c r="AO6" s="17" t="s">
        <v>194</v>
      </c>
      <c r="AP6" s="17" t="s">
        <v>195</v>
      </c>
      <c r="AQ6" s="17" t="s">
        <v>196</v>
      </c>
      <c r="AR6" s="17" t="s">
        <v>197</v>
      </c>
      <c r="AS6" s="17" t="s">
        <v>198</v>
      </c>
      <c r="AT6" s="17" t="s">
        <v>199</v>
      </c>
      <c r="AU6" s="17" t="s">
        <v>200</v>
      </c>
      <c r="AV6" s="17" t="s">
        <v>201</v>
      </c>
      <c r="AW6" s="17" t="s">
        <v>202</v>
      </c>
      <c r="AX6" s="17" t="s">
        <v>203</v>
      </c>
      <c r="AY6" s="17" t="s">
        <v>204</v>
      </c>
      <c r="BA6" s="17" t="s">
        <v>205</v>
      </c>
      <c r="BB6" s="17" t="s">
        <v>206</v>
      </c>
      <c r="BC6" s="17" t="s">
        <v>207</v>
      </c>
    </row>
    <row r="7" spans="1:55" ht="16" customHeight="1">
      <c r="A7" s="14" t="s">
        <v>448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</row>
    <row r="8" spans="1:55">
      <c r="A8" s="18" t="s">
        <v>449</v>
      </c>
      <c r="B8" s="16"/>
      <c r="C8" s="20">
        <f>'Cash Flow'!$C$28</f>
        <v>0</v>
      </c>
      <c r="D8" s="20">
        <f>'Cash Flow'!$D$28</f>
        <v>0</v>
      </c>
      <c r="E8" s="20">
        <f>'Cash Flow'!$E$28</f>
        <v>0</v>
      </c>
      <c r="F8" s="20">
        <f>'Cash Flow'!$F$28</f>
        <v>0</v>
      </c>
      <c r="G8" s="20">
        <f>'Cash Flow'!$G$28</f>
        <v>0</v>
      </c>
      <c r="H8" s="20">
        <f>'Cash Flow'!$H$28</f>
        <v>0</v>
      </c>
      <c r="I8" s="20">
        <f>'Cash Flow'!$I$28</f>
        <v>0</v>
      </c>
      <c r="J8" s="20">
        <f>'Cash Flow'!$J$28</f>
        <v>0</v>
      </c>
      <c r="K8" s="20">
        <f>'Cash Flow'!$K$28</f>
        <v>0</v>
      </c>
      <c r="L8" s="20">
        <f>'Cash Flow'!$L$28</f>
        <v>0</v>
      </c>
      <c r="M8" s="20">
        <f>'Cash Flow'!$M$28</f>
        <v>0</v>
      </c>
      <c r="N8" s="20">
        <f>'Cash Flow'!$N$28</f>
        <v>0</v>
      </c>
      <c r="O8" s="20">
        <f>'Cash Flow'!$O$28</f>
        <v>0</v>
      </c>
      <c r="P8" s="20">
        <f>'Cash Flow'!$P$28</f>
        <v>0</v>
      </c>
      <c r="Q8" s="20">
        <f>'Cash Flow'!$Q$28</f>
        <v>0</v>
      </c>
      <c r="R8" s="20">
        <f>'Cash Flow'!$R$28</f>
        <v>0</v>
      </c>
      <c r="S8" s="20">
        <f>'Cash Flow'!$S$28</f>
        <v>0</v>
      </c>
      <c r="T8" s="20">
        <f>'Cash Flow'!$T$28</f>
        <v>0</v>
      </c>
      <c r="U8" s="20">
        <f>'Cash Flow'!$U$28</f>
        <v>0</v>
      </c>
      <c r="V8" s="20">
        <f>'Cash Flow'!$V$28</f>
        <v>0</v>
      </c>
      <c r="W8" s="20">
        <f>'Cash Flow'!$W$28</f>
        <v>0</v>
      </c>
      <c r="X8" s="20">
        <f>'Cash Flow'!$X$28</f>
        <v>0</v>
      </c>
      <c r="Y8" s="20">
        <f>'Cash Flow'!$Y$28</f>
        <v>0</v>
      </c>
      <c r="Z8" s="20">
        <f>'Cash Flow'!$Z$28</f>
        <v>0</v>
      </c>
      <c r="AA8" s="20">
        <f>'Cash Flow'!$AA$28</f>
        <v>0</v>
      </c>
      <c r="AB8" s="20">
        <f>'Cash Flow'!$AB$28</f>
        <v>0</v>
      </c>
      <c r="AC8" s="20">
        <f>'Cash Flow'!$AC$28</f>
        <v>0</v>
      </c>
      <c r="AD8" s="20">
        <f>'Cash Flow'!$AD$28</f>
        <v>0</v>
      </c>
      <c r="AE8" s="20">
        <f>'Cash Flow'!$AE$28</f>
        <v>0</v>
      </c>
      <c r="AF8" s="20">
        <f>'Cash Flow'!$AF$28</f>
        <v>0</v>
      </c>
      <c r="AG8" s="20">
        <f>'Cash Flow'!$AG$28</f>
        <v>0</v>
      </c>
      <c r="AH8" s="20">
        <f>'Cash Flow'!$AH$28</f>
        <v>0</v>
      </c>
      <c r="AI8" s="20">
        <f>'Cash Flow'!$AI$28</f>
        <v>0</v>
      </c>
      <c r="AJ8" s="20">
        <f>'Cash Flow'!$AJ$28</f>
        <v>0</v>
      </c>
      <c r="AK8" s="20">
        <f>'Cash Flow'!$AK$28</f>
        <v>0</v>
      </c>
      <c r="AL8" s="20">
        <f>'Cash Flow'!$AL$28</f>
        <v>0</v>
      </c>
      <c r="AN8" s="20">
        <f>E8</f>
        <v>0</v>
      </c>
      <c r="AO8" s="20">
        <f>H8</f>
        <v>0</v>
      </c>
      <c r="AP8" s="20">
        <f>K8</f>
        <v>0</v>
      </c>
      <c r="AQ8" s="20">
        <f>N8</f>
        <v>0</v>
      </c>
      <c r="AR8" s="20">
        <f>Q8</f>
        <v>0</v>
      </c>
      <c r="AS8" s="20">
        <f>T8</f>
        <v>0</v>
      </c>
      <c r="AT8" s="20">
        <f>W8</f>
        <v>0</v>
      </c>
      <c r="AU8" s="20">
        <f>Z8</f>
        <v>0</v>
      </c>
      <c r="AV8" s="20">
        <f>AC8</f>
        <v>0</v>
      </c>
      <c r="AW8" s="20">
        <f>AF8</f>
        <v>0</v>
      </c>
      <c r="AX8" s="20">
        <f>AI8</f>
        <v>0</v>
      </c>
      <c r="AY8" s="20">
        <f>AL8</f>
        <v>0</v>
      </c>
      <c r="BA8" s="20">
        <f>N8</f>
        <v>0</v>
      </c>
      <c r="BB8" s="20">
        <f>Z8</f>
        <v>0</v>
      </c>
      <c r="BC8" s="20">
        <f>AL8</f>
        <v>0</v>
      </c>
    </row>
    <row r="9" spans="1:55">
      <c r="A9" s="18" t="s">
        <v>450</v>
      </c>
      <c r="B9" s="16" t="s">
        <v>451</v>
      </c>
      <c r="C9" s="20">
        <f>MAX(0,-('Cash Flow'!C14+'Cash Flow'!C18))</f>
        <v>0</v>
      </c>
      <c r="D9" s="20">
        <f>MAX(0,-('Cash Flow'!D14+'Cash Flow'!D18))</f>
        <v>0</v>
      </c>
      <c r="E9" s="20">
        <f>MAX(0,-('Cash Flow'!E14+'Cash Flow'!E18))</f>
        <v>0</v>
      </c>
      <c r="F9" s="20">
        <f>MAX(0,-('Cash Flow'!F14+'Cash Flow'!F18))</f>
        <v>0</v>
      </c>
      <c r="G9" s="20">
        <f>MAX(0,-('Cash Flow'!G14+'Cash Flow'!G18))</f>
        <v>0</v>
      </c>
      <c r="H9" s="20">
        <f>MAX(0,-('Cash Flow'!H14+'Cash Flow'!H18))</f>
        <v>0</v>
      </c>
      <c r="I9" s="20">
        <f>MAX(0,-('Cash Flow'!I14+'Cash Flow'!I18))</f>
        <v>0</v>
      </c>
      <c r="J9" s="20">
        <f>MAX(0,-('Cash Flow'!J14+'Cash Flow'!J18))</f>
        <v>0</v>
      </c>
      <c r="K9" s="20">
        <f>MAX(0,-('Cash Flow'!K14+'Cash Flow'!K18))</f>
        <v>0</v>
      </c>
      <c r="L9" s="20">
        <f>MAX(0,-('Cash Flow'!L14+'Cash Flow'!L18))</f>
        <v>0</v>
      </c>
      <c r="M9" s="20">
        <f>MAX(0,-('Cash Flow'!M14+'Cash Flow'!M18))</f>
        <v>0</v>
      </c>
      <c r="N9" s="20">
        <f>MAX(0,-('Cash Flow'!N14+'Cash Flow'!N18))</f>
        <v>0</v>
      </c>
      <c r="O9" s="20">
        <f>MAX(0,-('Cash Flow'!O14+'Cash Flow'!O18))</f>
        <v>0</v>
      </c>
      <c r="P9" s="20">
        <f>MAX(0,-('Cash Flow'!P14+'Cash Flow'!P18))</f>
        <v>0</v>
      </c>
      <c r="Q9" s="20">
        <f>MAX(0,-('Cash Flow'!Q14+'Cash Flow'!Q18))</f>
        <v>0</v>
      </c>
      <c r="R9" s="20">
        <f>MAX(0,-('Cash Flow'!R14+'Cash Flow'!R18))</f>
        <v>0</v>
      </c>
      <c r="S9" s="20">
        <f>MAX(0,-('Cash Flow'!S14+'Cash Flow'!S18))</f>
        <v>0</v>
      </c>
      <c r="T9" s="20">
        <f>MAX(0,-('Cash Flow'!T14+'Cash Flow'!T18))</f>
        <v>0</v>
      </c>
      <c r="U9" s="20">
        <f>MAX(0,-('Cash Flow'!U14+'Cash Flow'!U18))</f>
        <v>0</v>
      </c>
      <c r="V9" s="20">
        <f>MAX(0,-('Cash Flow'!V14+'Cash Flow'!V18))</f>
        <v>0</v>
      </c>
      <c r="W9" s="20">
        <f>MAX(0,-('Cash Flow'!W14+'Cash Flow'!W18))</f>
        <v>0</v>
      </c>
      <c r="X9" s="20">
        <f>MAX(0,-('Cash Flow'!X14+'Cash Flow'!X18))</f>
        <v>0</v>
      </c>
      <c r="Y9" s="20">
        <f>MAX(0,-('Cash Flow'!Y14+'Cash Flow'!Y18))</f>
        <v>0</v>
      </c>
      <c r="Z9" s="20">
        <f>MAX(0,-('Cash Flow'!Z14+'Cash Flow'!Z18))</f>
        <v>0</v>
      </c>
      <c r="AA9" s="20">
        <f>MAX(0,-('Cash Flow'!AA14+'Cash Flow'!AA18))</f>
        <v>0</v>
      </c>
      <c r="AB9" s="20">
        <f>MAX(0,-('Cash Flow'!AB14+'Cash Flow'!AB18))</f>
        <v>0</v>
      </c>
      <c r="AC9" s="20">
        <f>MAX(0,-('Cash Flow'!AC14+'Cash Flow'!AC18))</f>
        <v>0</v>
      </c>
      <c r="AD9" s="20">
        <f>MAX(0,-('Cash Flow'!AD14+'Cash Flow'!AD18))</f>
        <v>0</v>
      </c>
      <c r="AE9" s="20">
        <f>MAX(0,-('Cash Flow'!AE14+'Cash Flow'!AE18))</f>
        <v>0</v>
      </c>
      <c r="AF9" s="20">
        <f>MAX(0,-('Cash Flow'!AF14+'Cash Flow'!AF18))</f>
        <v>0</v>
      </c>
      <c r="AG9" s="20">
        <f>MAX(0,-('Cash Flow'!AG14+'Cash Flow'!AG18))</f>
        <v>0</v>
      </c>
      <c r="AH9" s="20">
        <f>MAX(0,-('Cash Flow'!AH14+'Cash Flow'!AH18))</f>
        <v>0</v>
      </c>
      <c r="AI9" s="20">
        <f>MAX(0,-('Cash Flow'!AI14+'Cash Flow'!AI18))</f>
        <v>0</v>
      </c>
      <c r="AJ9" s="20">
        <f>MAX(0,-('Cash Flow'!AJ14+'Cash Flow'!AJ18))</f>
        <v>0</v>
      </c>
      <c r="AK9" s="20">
        <f>MAX(0,-('Cash Flow'!AK14+'Cash Flow'!AK18))</f>
        <v>0</v>
      </c>
      <c r="AL9" s="20">
        <f>MAX(0,-('Cash Flow'!AL14+'Cash Flow'!AL18))</f>
        <v>0</v>
      </c>
      <c r="AN9" s="20">
        <f>SUM(C9:E9)</f>
        <v>0</v>
      </c>
      <c r="AO9" s="20">
        <f>SUM(F9:H9)</f>
        <v>0</v>
      </c>
      <c r="AP9" s="20">
        <f>SUM(I9:K9)</f>
        <v>0</v>
      </c>
      <c r="AQ9" s="20">
        <f>SUM(L9:N9)</f>
        <v>0</v>
      </c>
      <c r="AR9" s="20">
        <f>SUM(O9:Q9)</f>
        <v>0</v>
      </c>
      <c r="AS9" s="20">
        <f>SUM(R9:T9)</f>
        <v>0</v>
      </c>
      <c r="AT9" s="20">
        <f>SUM(U9:W9)</f>
        <v>0</v>
      </c>
      <c r="AU9" s="20">
        <f>SUM(X9:Z9)</f>
        <v>0</v>
      </c>
      <c r="AV9" s="20">
        <f>SUM(AA9:AC9)</f>
        <v>0</v>
      </c>
      <c r="AW9" s="20">
        <f>SUM(AD9:AF9)</f>
        <v>0</v>
      </c>
      <c r="AX9" s="20">
        <f>SUM(AG9:AI9)</f>
        <v>0</v>
      </c>
      <c r="AY9" s="20">
        <f>SUM(AJ9:AL9)</f>
        <v>0</v>
      </c>
      <c r="BA9" s="20">
        <f>SUM(C9:N9)</f>
        <v>0</v>
      </c>
      <c r="BB9" s="20">
        <f>SUM(O9:Z9)</f>
        <v>0</v>
      </c>
      <c r="BC9" s="20">
        <f>SUM(AA9:AL9)</f>
        <v>0</v>
      </c>
    </row>
    <row r="10" spans="1:55">
      <c r="A10" s="18" t="s">
        <v>452</v>
      </c>
      <c r="B10" s="16"/>
      <c r="C10" s="20">
        <f>AVERAGE(C9:C9)</f>
        <v>0</v>
      </c>
      <c r="D10" s="20">
        <f>AVERAGE(C9:D9)</f>
        <v>0</v>
      </c>
      <c r="E10" s="20">
        <f>AVERAGE(C9:E9)</f>
        <v>0</v>
      </c>
      <c r="F10" s="20">
        <f>AVERAGE(D9:F9)</f>
        <v>0</v>
      </c>
      <c r="G10" s="20">
        <f>AVERAGE(E9:G9)</f>
        <v>0</v>
      </c>
      <c r="H10" s="20">
        <f>AVERAGE(F9:H9)</f>
        <v>0</v>
      </c>
      <c r="I10" s="20">
        <f>AVERAGE(G9:I9)</f>
        <v>0</v>
      </c>
      <c r="J10" s="20">
        <f>AVERAGE(H9:J9)</f>
        <v>0</v>
      </c>
      <c r="K10" s="20">
        <f>AVERAGE(I9:K9)</f>
        <v>0</v>
      </c>
      <c r="L10" s="20">
        <f>AVERAGE(J9:L9)</f>
        <v>0</v>
      </c>
      <c r="M10" s="20">
        <f>AVERAGE(K9:M9)</f>
        <v>0</v>
      </c>
      <c r="N10" s="20">
        <f>AVERAGE(L9:N9)</f>
        <v>0</v>
      </c>
      <c r="O10" s="20">
        <f>AVERAGE(M9:O9)</f>
        <v>0</v>
      </c>
      <c r="P10" s="20">
        <f>AVERAGE(N9:P9)</f>
        <v>0</v>
      </c>
      <c r="Q10" s="20">
        <f>AVERAGE(O9:Q9)</f>
        <v>0</v>
      </c>
      <c r="R10" s="20">
        <f>AVERAGE(P9:R9)</f>
        <v>0</v>
      </c>
      <c r="S10" s="20">
        <f>AVERAGE(Q9:S9)</f>
        <v>0</v>
      </c>
      <c r="T10" s="20">
        <f>AVERAGE(R9:T9)</f>
        <v>0</v>
      </c>
      <c r="U10" s="20">
        <f>AVERAGE(S9:U9)</f>
        <v>0</v>
      </c>
      <c r="V10" s="20">
        <f>AVERAGE(T9:V9)</f>
        <v>0</v>
      </c>
      <c r="W10" s="20">
        <f>AVERAGE(U9:W9)</f>
        <v>0</v>
      </c>
      <c r="X10" s="20">
        <f>AVERAGE(V9:X9)</f>
        <v>0</v>
      </c>
      <c r="Y10" s="20">
        <f>AVERAGE(W9:Y9)</f>
        <v>0</v>
      </c>
      <c r="Z10" s="20">
        <f>AVERAGE(X9:Z9)</f>
        <v>0</v>
      </c>
      <c r="AA10" s="20">
        <f>AVERAGE(Y9:AA9)</f>
        <v>0</v>
      </c>
      <c r="AB10" s="20">
        <f>AVERAGE(Z9:AB9)</f>
        <v>0</v>
      </c>
      <c r="AC10" s="20">
        <f>AVERAGE(AA9:AC9)</f>
        <v>0</v>
      </c>
      <c r="AD10" s="20">
        <f>AVERAGE(AB9:AD9)</f>
        <v>0</v>
      </c>
      <c r="AE10" s="20">
        <f>AVERAGE(AC9:AE9)</f>
        <v>0</v>
      </c>
      <c r="AF10" s="20">
        <f>AVERAGE(AD9:AF9)</f>
        <v>0</v>
      </c>
      <c r="AG10" s="20">
        <f>AVERAGE(AE9:AG9)</f>
        <v>0</v>
      </c>
      <c r="AH10" s="20">
        <f>AVERAGE(AF9:AH9)</f>
        <v>0</v>
      </c>
      <c r="AI10" s="20">
        <f>AVERAGE(AG9:AI9)</f>
        <v>0</v>
      </c>
      <c r="AJ10" s="20">
        <f>AVERAGE(AH9:AJ9)</f>
        <v>0</v>
      </c>
      <c r="AK10" s="20">
        <f>AVERAGE(AI9:AK9)</f>
        <v>0</v>
      </c>
      <c r="AL10" s="20">
        <f>AVERAGE(AJ9:AL9)</f>
        <v>0</v>
      </c>
      <c r="AN10" s="20">
        <f>AVERAGE(C10:E10)</f>
        <v>0</v>
      </c>
      <c r="AO10" s="20">
        <f>AVERAGE(F10:H10)</f>
        <v>0</v>
      </c>
      <c r="AP10" s="20">
        <f>AVERAGE(I10:K10)</f>
        <v>0</v>
      </c>
      <c r="AQ10" s="20">
        <f>AVERAGE(L10:N10)</f>
        <v>0</v>
      </c>
      <c r="AR10" s="20">
        <f>AVERAGE(O10:Q10)</f>
        <v>0</v>
      </c>
      <c r="AS10" s="20">
        <f>AVERAGE(R10:T10)</f>
        <v>0</v>
      </c>
      <c r="AT10" s="20">
        <f>AVERAGE(U10:W10)</f>
        <v>0</v>
      </c>
      <c r="AU10" s="20">
        <f>AVERAGE(X10:Z10)</f>
        <v>0</v>
      </c>
      <c r="AV10" s="20">
        <f>AVERAGE(AA10:AC10)</f>
        <v>0</v>
      </c>
      <c r="AW10" s="20">
        <f>AVERAGE(AD10:AF10)</f>
        <v>0</v>
      </c>
      <c r="AX10" s="20">
        <f>AVERAGE(AG10:AI10)</f>
        <v>0</v>
      </c>
      <c r="AY10" s="20">
        <f>AVERAGE(AJ10:AL10)</f>
        <v>0</v>
      </c>
      <c r="BA10" s="20">
        <f>AVERAGE(C10:N10)</f>
        <v>0</v>
      </c>
      <c r="BB10" s="20">
        <f>AVERAGE(O10:Z10)</f>
        <v>0</v>
      </c>
      <c r="BC10" s="20">
        <f>AVERAGE(AA10:AL10)</f>
        <v>0</v>
      </c>
    </row>
    <row r="11" spans="1:55">
      <c r="A11" s="18" t="s">
        <v>325</v>
      </c>
      <c r="B11" s="16" t="s">
        <v>453</v>
      </c>
      <c r="C11" s="35">
        <f>IF(C8&lt;=0,0,IF(C10&lt;=0,999,C8/C10))</f>
        <v>0</v>
      </c>
      <c r="D11" s="35">
        <f>IF(D8&lt;=0,0,IF(D10&lt;=0,999,D8/D10))</f>
        <v>0</v>
      </c>
      <c r="E11" s="35">
        <f>IF(E8&lt;=0,0,IF(E10&lt;=0,999,E8/E10))</f>
        <v>0</v>
      </c>
      <c r="F11" s="35">
        <f>IF(F8&lt;=0,0,IF(F10&lt;=0,999,F8/F10))</f>
        <v>0</v>
      </c>
      <c r="G11" s="35">
        <f>IF(G8&lt;=0,0,IF(G10&lt;=0,999,G8/G10))</f>
        <v>0</v>
      </c>
      <c r="H11" s="35">
        <f>IF(H8&lt;=0,0,IF(H10&lt;=0,999,H8/H10))</f>
        <v>0</v>
      </c>
      <c r="I11" s="35">
        <f>IF(I8&lt;=0,0,IF(I10&lt;=0,999,I8/I10))</f>
        <v>0</v>
      </c>
      <c r="J11" s="35">
        <f>IF(J8&lt;=0,0,IF(J10&lt;=0,999,J8/J10))</f>
        <v>0</v>
      </c>
      <c r="K11" s="35">
        <f>IF(K8&lt;=0,0,IF(K10&lt;=0,999,K8/K10))</f>
        <v>0</v>
      </c>
      <c r="L11" s="35">
        <f>IF(L8&lt;=0,0,IF(L10&lt;=0,999,L8/L10))</f>
        <v>0</v>
      </c>
      <c r="M11" s="35">
        <f>IF(M8&lt;=0,0,IF(M10&lt;=0,999,M8/M10))</f>
        <v>0</v>
      </c>
      <c r="N11" s="35">
        <f>IF(N8&lt;=0,0,IF(N10&lt;=0,999,N8/N10))</f>
        <v>0</v>
      </c>
      <c r="O11" s="35">
        <f>IF(O8&lt;=0,0,IF(O10&lt;=0,999,O8/O10))</f>
        <v>0</v>
      </c>
      <c r="P11" s="35">
        <f>IF(P8&lt;=0,0,IF(P10&lt;=0,999,P8/P10))</f>
        <v>0</v>
      </c>
      <c r="Q11" s="35">
        <f>IF(Q8&lt;=0,0,IF(Q10&lt;=0,999,Q8/Q10))</f>
        <v>0</v>
      </c>
      <c r="R11" s="35">
        <f>IF(R8&lt;=0,0,IF(R10&lt;=0,999,R8/R10))</f>
        <v>0</v>
      </c>
      <c r="S11" s="35">
        <f>IF(S8&lt;=0,0,IF(S10&lt;=0,999,S8/S10))</f>
        <v>0</v>
      </c>
      <c r="T11" s="35">
        <f>IF(T8&lt;=0,0,IF(T10&lt;=0,999,T8/T10))</f>
        <v>0</v>
      </c>
      <c r="U11" s="35">
        <f>IF(U8&lt;=0,0,IF(U10&lt;=0,999,U8/U10))</f>
        <v>0</v>
      </c>
      <c r="V11" s="35">
        <f>IF(V8&lt;=0,0,IF(V10&lt;=0,999,V8/V10))</f>
        <v>0</v>
      </c>
      <c r="W11" s="35">
        <f>IF(W8&lt;=0,0,IF(W10&lt;=0,999,W8/W10))</f>
        <v>0</v>
      </c>
      <c r="X11" s="35">
        <f>IF(X8&lt;=0,0,IF(X10&lt;=0,999,X8/X10))</f>
        <v>0</v>
      </c>
      <c r="Y11" s="35">
        <f>IF(Y8&lt;=0,0,IF(Y10&lt;=0,999,Y8/Y10))</f>
        <v>0</v>
      </c>
      <c r="Z11" s="35">
        <f>IF(Z8&lt;=0,0,IF(Z10&lt;=0,999,Z8/Z10))</f>
        <v>0</v>
      </c>
      <c r="AA11" s="35">
        <f>IF(AA8&lt;=0,0,IF(AA10&lt;=0,999,AA8/AA10))</f>
        <v>0</v>
      </c>
      <c r="AB11" s="35">
        <f>IF(AB8&lt;=0,0,IF(AB10&lt;=0,999,AB8/AB10))</f>
        <v>0</v>
      </c>
      <c r="AC11" s="35">
        <f>IF(AC8&lt;=0,0,IF(AC10&lt;=0,999,AC8/AC10))</f>
        <v>0</v>
      </c>
      <c r="AD11" s="35">
        <f>IF(AD8&lt;=0,0,IF(AD10&lt;=0,999,AD8/AD10))</f>
        <v>0</v>
      </c>
      <c r="AE11" s="35">
        <f>IF(AE8&lt;=0,0,IF(AE10&lt;=0,999,AE8/AE10))</f>
        <v>0</v>
      </c>
      <c r="AF11" s="35">
        <f>IF(AF8&lt;=0,0,IF(AF10&lt;=0,999,AF8/AF10))</f>
        <v>0</v>
      </c>
      <c r="AG11" s="35">
        <f>IF(AG8&lt;=0,0,IF(AG10&lt;=0,999,AG8/AG10))</f>
        <v>0</v>
      </c>
      <c r="AH11" s="35">
        <f>IF(AH8&lt;=0,0,IF(AH10&lt;=0,999,AH8/AH10))</f>
        <v>0</v>
      </c>
      <c r="AI11" s="35">
        <f>IF(AI8&lt;=0,0,IF(AI10&lt;=0,999,AI8/AI10))</f>
        <v>0</v>
      </c>
      <c r="AJ11" s="35">
        <f>IF(AJ8&lt;=0,0,IF(AJ10&lt;=0,999,AJ8/AJ10))</f>
        <v>0</v>
      </c>
      <c r="AK11" s="35">
        <f>IF(AK8&lt;=0,0,IF(AK10&lt;=0,999,AK8/AK10))</f>
        <v>0</v>
      </c>
      <c r="AL11" s="35">
        <f>IF(AL8&lt;=0,0,IF(AL10&lt;=0,999,AL8/AL10))</f>
        <v>0</v>
      </c>
      <c r="AN11" s="35">
        <f>E11</f>
        <v>0</v>
      </c>
      <c r="AO11" s="35">
        <f>H11</f>
        <v>0</v>
      </c>
      <c r="AP11" s="35">
        <f>K11</f>
        <v>0</v>
      </c>
      <c r="AQ11" s="35">
        <f>N11</f>
        <v>0</v>
      </c>
      <c r="AR11" s="35">
        <f>Q11</f>
        <v>0</v>
      </c>
      <c r="AS11" s="35">
        <f>T11</f>
        <v>0</v>
      </c>
      <c r="AT11" s="35">
        <f>W11</f>
        <v>0</v>
      </c>
      <c r="AU11" s="35">
        <f>Z11</f>
        <v>0</v>
      </c>
      <c r="AV11" s="35">
        <f>AC11</f>
        <v>0</v>
      </c>
      <c r="AW11" s="35">
        <f>AF11</f>
        <v>0</v>
      </c>
      <c r="AX11" s="35">
        <f>AI11</f>
        <v>0</v>
      </c>
      <c r="AY11" s="35">
        <f>AL11</f>
        <v>0</v>
      </c>
      <c r="BA11" s="35">
        <f>N11</f>
        <v>0</v>
      </c>
      <c r="BB11" s="35">
        <f>Z11</f>
        <v>0</v>
      </c>
      <c r="BC11" s="35">
        <f>AL11</f>
        <v>0</v>
      </c>
    </row>
    <row r="12" spans="1:55" ht="5" customHeight="1"/>
    <row r="13" spans="1:55" ht="16" customHeight="1">
      <c r="A13" s="14" t="s">
        <v>454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</row>
    <row r="14" spans="1:55">
      <c r="A14" s="36" t="s">
        <v>455</v>
      </c>
      <c r="C14" s="35">
        <f>IF(AL8&lt;=0,0,IF(AL10&lt;=0,"Cash-flow positive",AL11))</f>
        <v>0</v>
      </c>
    </row>
  </sheetData>
  <mergeCells count="7">
    <mergeCell ref="A1:BC1"/>
    <mergeCell ref="A2:BC2"/>
    <mergeCell ref="C5:AL5"/>
    <mergeCell ref="AN5:AY5"/>
    <mergeCell ref="BA5:BC5"/>
    <mergeCell ref="A7:BC7"/>
    <mergeCell ref="A13:BC13"/>
  </mergeCells>
  <pageMargins left="0.7" right="0.7" top="0.75" bottom="0.75" header="0.3" footer="0.3"/>
  <pageSetup paperSize="9" scale="55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5"/>
  <sheetViews>
    <sheetView showGridLines="0" zoomScale="110" zoomScaleNormal="110" workbookViewId="0"/>
  </sheetViews>
  <sheetFormatPr defaultRowHeight="15"/>
  <cols>
    <col min="1" max="1" width="34.7109375" customWidth="1"/>
    <col min="2" max="2" width="42.7109375" customWidth="1"/>
    <col min="3" max="6" width="18.7109375" customWidth="1"/>
  </cols>
  <sheetData>
    <row r="1" spans="1:6" ht="22" customHeight="1">
      <c r="A1" s="1" t="s">
        <v>456</v>
      </c>
      <c r="B1" s="1"/>
      <c r="C1" s="1"/>
      <c r="D1" s="1"/>
      <c r="E1" s="1"/>
      <c r="F1" s="1"/>
    </row>
    <row r="2" spans="1:6" ht="28" customHeight="1">
      <c r="A2" s="2" t="s">
        <v>457</v>
      </c>
      <c r="B2" s="2"/>
      <c r="C2" s="2"/>
      <c r="D2" s="2"/>
      <c r="E2" s="2"/>
      <c r="F2" s="2"/>
    </row>
    <row r="4" spans="1:6">
      <c r="A4" s="14" t="s">
        <v>458</v>
      </c>
      <c r="C4" s="15">
        <f>'Assumptions'!$C$4</f>
        <v>0</v>
      </c>
    </row>
    <row r="6" spans="1:6">
      <c r="A6" s="17" t="s">
        <v>459</v>
      </c>
      <c r="B6" s="17" t="s">
        <v>460</v>
      </c>
      <c r="C6" s="17" t="s">
        <v>29</v>
      </c>
      <c r="D6" s="17" t="s">
        <v>33</v>
      </c>
      <c r="E6" s="17" t="s">
        <v>34</v>
      </c>
      <c r="F6" s="17" t="s">
        <v>461</v>
      </c>
    </row>
    <row r="7" spans="1:6">
      <c r="A7" s="36" t="s">
        <v>462</v>
      </c>
      <c r="B7" s="21" t="s">
        <v>463</v>
      </c>
      <c r="C7" s="20">
        <f>((('Assumptions'!$C$13+'Assumptions'!$C$14-'Assumptions'!$C$13*'Assumptions'!$C$16)*'Assumptions'!$C$17+('Assumptions'!$C$19+'Assumptions'!$C$20-'Assumptions'!$C$19*'Assumptions'!$C$22)*'Assumptions'!$C$23+('Assumptions'!$C$25+'Assumptions'!$C$26-'Assumptions'!$C$25*'Assumptions'!$C$28)*'Assumptions'!$C$29))*((1-'Assumptions'!$C$41*'Assumptions'!$C$42)*(1-'Assumptions'!$C$43))</f>
        <v>0</v>
      </c>
      <c r="D7" s="20">
        <f>((('Assumptions'!$D$13+'Assumptions'!$D$14-'Assumptions'!$D$13*'Assumptions'!$D$16)*'Assumptions'!$D$17+('Assumptions'!$D$19+'Assumptions'!$D$20-'Assumptions'!$D$19*'Assumptions'!$D$22)*'Assumptions'!$D$23+('Assumptions'!$D$25+'Assumptions'!$D$26-'Assumptions'!$D$25*'Assumptions'!$D$28)*'Assumptions'!$D$29))*((1-'Assumptions'!$D$41*'Assumptions'!$D$42)*(1-'Assumptions'!$D$43))</f>
        <v>0</v>
      </c>
      <c r="E7" s="20">
        <f>((('Assumptions'!$E$13+'Assumptions'!$E$14-'Assumptions'!$E$13*'Assumptions'!$E$16)*'Assumptions'!$E$17+('Assumptions'!$E$19+'Assumptions'!$E$20-'Assumptions'!$E$19*'Assumptions'!$E$22)*'Assumptions'!$E$23+('Assumptions'!$E$25+'Assumptions'!$E$26-'Assumptions'!$E$25*'Assumptions'!$E$28)*'Assumptions'!$E$29))*((1-'Assumptions'!$E$41*'Assumptions'!$E$42)*(1-'Assumptions'!$E$43))</f>
        <v>0</v>
      </c>
      <c r="F7" s="20">
        <f>'Revenue'!C56</f>
        <v>0</v>
      </c>
    </row>
    <row r="8" spans="1:6">
      <c r="A8" s="36" t="s">
        <v>464</v>
      </c>
      <c r="B8" s="21" t="s">
        <v>465</v>
      </c>
      <c r="C8" s="20">
        <f>((((('Assumptions'!$C$13+'Assumptions'!$C$14-'Assumptions'!$C$13*'Assumptions'!$C$16)*'Assumptions'!$C$17)*((1-'Assumptions'!$C$41*'Assumptions'!$C$42)*(1-'Assumptions'!$C$43))*((('Assumptions'!$C$33*(1-'Assumptions'!$C$35)+'Assumptions'!$C$34*'Assumptions'!$C$35))*(1-'Assumptions'!$C$40)*'Assumptions'!$C$37)+(('Assumptions'!$C$19+'Assumptions'!$C$20-'Assumptions'!$C$19*'Assumptions'!$C$22)*'Assumptions'!$C$23)*((1-'Assumptions'!$C$41*'Assumptions'!$C$42)*(1-'Assumptions'!$C$43))*((('Assumptions'!$C$33*(1-'Assumptions'!$C$35)+'Assumptions'!$C$34*'Assumptions'!$C$35))*(1-'Assumptions'!$C$40)*'Assumptions'!$C$38)+(('Assumptions'!$C$25+'Assumptions'!$C$26-'Assumptions'!$C$25*'Assumptions'!$C$28)*'Assumptions'!$C$29)*((1-'Assumptions'!$C$41*'Assumptions'!$C$42)*(1-'Assumptions'!$C$43))*((('Assumptions'!$C$33*(1-'Assumptions'!$C$35)+'Assumptions'!$C$34*'Assumptions'!$C$35))*(1-'Assumptions'!$C$40)*'Assumptions'!$C$39)))+((('Assumptions'!$C$13+'Assumptions'!$C$14-'Assumptions'!$C$13*'Assumptions'!$C$16)*'Assumptions'!$C$44+('Assumptions'!$C$19+'Assumptions'!$C$20-'Assumptions'!$C$19*'Assumptions'!$C$22)*'Assumptions'!$C$45+('Assumptions'!$C$25+'Assumptions'!$C$26-'Assumptions'!$C$25*'Assumptions'!$C$28)*'Assumptions'!$C$46)))*12</f>
        <v>0</v>
      </c>
      <c r="D8" s="20">
        <f>((((('Assumptions'!$D$13+'Assumptions'!$D$14-'Assumptions'!$D$13*'Assumptions'!$D$16)*'Assumptions'!$D$17)*((1-'Assumptions'!$D$41*'Assumptions'!$D$42)*(1-'Assumptions'!$D$43))*((('Assumptions'!$D$33*(1-'Assumptions'!$D$35)+'Assumptions'!$D$34*'Assumptions'!$D$35))*(1-'Assumptions'!$D$40)*'Assumptions'!$D$37)+(('Assumptions'!$D$19+'Assumptions'!$D$20-'Assumptions'!$D$19*'Assumptions'!$D$22)*'Assumptions'!$D$23)*((1-'Assumptions'!$D$41*'Assumptions'!$D$42)*(1-'Assumptions'!$D$43))*((('Assumptions'!$D$33*(1-'Assumptions'!$D$35)+'Assumptions'!$D$34*'Assumptions'!$D$35))*(1-'Assumptions'!$D$40)*'Assumptions'!$D$38)+(('Assumptions'!$D$25+'Assumptions'!$D$26-'Assumptions'!$D$25*'Assumptions'!$D$28)*'Assumptions'!$D$29)*((1-'Assumptions'!$D$41*'Assumptions'!$D$42)*(1-'Assumptions'!$D$43))*((('Assumptions'!$D$33*(1-'Assumptions'!$D$35)+'Assumptions'!$D$34*'Assumptions'!$D$35))*(1-'Assumptions'!$D$40)*'Assumptions'!$D$39)))+((('Assumptions'!$D$13+'Assumptions'!$D$14-'Assumptions'!$D$13*'Assumptions'!$D$16)*'Assumptions'!$D$44+('Assumptions'!$D$19+'Assumptions'!$D$20-'Assumptions'!$D$19*'Assumptions'!$D$22)*'Assumptions'!$D$45+('Assumptions'!$D$25+'Assumptions'!$D$26-'Assumptions'!$D$25*'Assumptions'!$D$28)*'Assumptions'!$D$46)))*12</f>
        <v>0</v>
      </c>
      <c r="E8" s="20">
        <f>((((('Assumptions'!$E$13+'Assumptions'!$E$14-'Assumptions'!$E$13*'Assumptions'!$E$16)*'Assumptions'!$E$17)*((1-'Assumptions'!$E$41*'Assumptions'!$E$42)*(1-'Assumptions'!$E$43))*((('Assumptions'!$E$33*(1-'Assumptions'!$E$35)+'Assumptions'!$E$34*'Assumptions'!$E$35))*(1-'Assumptions'!$E$40)*'Assumptions'!$E$37)+(('Assumptions'!$E$19+'Assumptions'!$E$20-'Assumptions'!$E$19*'Assumptions'!$E$22)*'Assumptions'!$E$23)*((1-'Assumptions'!$E$41*'Assumptions'!$E$42)*(1-'Assumptions'!$E$43))*((('Assumptions'!$E$33*(1-'Assumptions'!$E$35)+'Assumptions'!$E$34*'Assumptions'!$E$35))*(1-'Assumptions'!$E$40)*'Assumptions'!$E$38)+(('Assumptions'!$E$25+'Assumptions'!$E$26-'Assumptions'!$E$25*'Assumptions'!$E$28)*'Assumptions'!$E$29)*((1-'Assumptions'!$E$41*'Assumptions'!$E$42)*(1-'Assumptions'!$E$43))*((('Assumptions'!$E$33*(1-'Assumptions'!$E$35)+'Assumptions'!$E$34*'Assumptions'!$E$35))*(1-'Assumptions'!$E$40)*'Assumptions'!$E$39)))+((('Assumptions'!$E$13+'Assumptions'!$E$14-'Assumptions'!$E$13*'Assumptions'!$E$16)*'Assumptions'!$E$44+('Assumptions'!$E$19+'Assumptions'!$E$20-'Assumptions'!$E$19*'Assumptions'!$E$22)*'Assumptions'!$E$45+('Assumptions'!$E$25+'Assumptions'!$E$26-'Assumptions'!$E$25*'Assumptions'!$E$28)*'Assumptions'!$E$46)))*12</f>
        <v>0</v>
      </c>
      <c r="F8" s="20">
        <f>'Revenue'!C60*12</f>
        <v>0</v>
      </c>
    </row>
    <row r="9" spans="1:6">
      <c r="A9" s="36" t="s">
        <v>466</v>
      </c>
      <c r="B9" s="21" t="s">
        <v>467</v>
      </c>
      <c r="C9" s="20">
        <f>((((('Assumptions'!$C$13+'Assumptions'!$C$14-'Assumptions'!$C$13*'Assumptions'!$C$16)*'Assumptions'!$C$17)*((1-'Assumptions'!$C$41*'Assumptions'!$C$42)*(1-'Assumptions'!$C$43))*((('Assumptions'!$C$33*(1-'Assumptions'!$C$35)+'Assumptions'!$C$34*'Assumptions'!$C$35))*(1-'Assumptions'!$C$40)*'Assumptions'!$C$37)+(('Assumptions'!$C$19+'Assumptions'!$C$20-'Assumptions'!$C$19*'Assumptions'!$C$22)*'Assumptions'!$C$23)*((1-'Assumptions'!$C$41*'Assumptions'!$C$42)*(1-'Assumptions'!$C$43))*((('Assumptions'!$C$33*(1-'Assumptions'!$C$35)+'Assumptions'!$C$34*'Assumptions'!$C$35))*(1-'Assumptions'!$C$40)*'Assumptions'!$C$38)+(('Assumptions'!$C$25+'Assumptions'!$C$26-'Assumptions'!$C$25*'Assumptions'!$C$28)*'Assumptions'!$C$29)*((1-'Assumptions'!$C$41*'Assumptions'!$C$42)*(1-'Assumptions'!$C$43))*((('Assumptions'!$C$33*(1-'Assumptions'!$C$35)+'Assumptions'!$C$34*'Assumptions'!$C$35))*(1-'Assumptions'!$C$40)*'Assumptions'!$C$39)))+((('Assumptions'!$C$13+'Assumptions'!$C$14-'Assumptions'!$C$13*'Assumptions'!$C$16)*'Assumptions'!$C$44+('Assumptions'!$C$19+'Assumptions'!$C$20-'Assumptions'!$C$19*'Assumptions'!$C$22)*'Assumptions'!$C$45+('Assumptions'!$C$25+'Assumptions'!$C$26-'Assumptions'!$C$25*'Assumptions'!$C$28)*'Assumptions'!$C$46)))*(1+(('Assumptions'!$C$15+'Assumptions'!$C$21+'Assumptions'!$C$27)/3+('Assumptions'!$C$18+'Assumptions'!$C$24+'Assumptions'!$C$30)/3-('Assumptions'!$C$16+'Assumptions'!$C$22+'Assumptions'!$C$28)/3+'Assumptions'!$C$36*0.5))^35</f>
        <v>0</v>
      </c>
      <c r="D9" s="20">
        <f>((((('Assumptions'!$D$13+'Assumptions'!$D$14-'Assumptions'!$D$13*'Assumptions'!$D$16)*'Assumptions'!$D$17)*((1-'Assumptions'!$D$41*'Assumptions'!$D$42)*(1-'Assumptions'!$D$43))*((('Assumptions'!$D$33*(1-'Assumptions'!$D$35)+'Assumptions'!$D$34*'Assumptions'!$D$35))*(1-'Assumptions'!$D$40)*'Assumptions'!$D$37)+(('Assumptions'!$D$19+'Assumptions'!$D$20-'Assumptions'!$D$19*'Assumptions'!$D$22)*'Assumptions'!$D$23)*((1-'Assumptions'!$D$41*'Assumptions'!$D$42)*(1-'Assumptions'!$D$43))*((('Assumptions'!$D$33*(1-'Assumptions'!$D$35)+'Assumptions'!$D$34*'Assumptions'!$D$35))*(1-'Assumptions'!$D$40)*'Assumptions'!$D$38)+(('Assumptions'!$D$25+'Assumptions'!$D$26-'Assumptions'!$D$25*'Assumptions'!$D$28)*'Assumptions'!$D$29)*((1-'Assumptions'!$D$41*'Assumptions'!$D$42)*(1-'Assumptions'!$D$43))*((('Assumptions'!$D$33*(1-'Assumptions'!$D$35)+'Assumptions'!$D$34*'Assumptions'!$D$35))*(1-'Assumptions'!$D$40)*'Assumptions'!$D$39)))+((('Assumptions'!$D$13+'Assumptions'!$D$14-'Assumptions'!$D$13*'Assumptions'!$D$16)*'Assumptions'!$D$44+('Assumptions'!$D$19+'Assumptions'!$D$20-'Assumptions'!$D$19*'Assumptions'!$D$22)*'Assumptions'!$D$45+('Assumptions'!$D$25+'Assumptions'!$D$26-'Assumptions'!$D$25*'Assumptions'!$D$28)*'Assumptions'!$D$46)))*(1+(('Assumptions'!$D$15+'Assumptions'!$D$21+'Assumptions'!$D$27)/3+('Assumptions'!$D$18+'Assumptions'!$D$24+'Assumptions'!$D$30)/3-('Assumptions'!$D$16+'Assumptions'!$D$22+'Assumptions'!$D$28)/3+'Assumptions'!$D$36*0.5))^35</f>
        <v>0</v>
      </c>
      <c r="E9" s="20">
        <f>((((('Assumptions'!$E$13+'Assumptions'!$E$14-'Assumptions'!$E$13*'Assumptions'!$E$16)*'Assumptions'!$E$17)*((1-'Assumptions'!$E$41*'Assumptions'!$E$42)*(1-'Assumptions'!$E$43))*((('Assumptions'!$E$33*(1-'Assumptions'!$E$35)+'Assumptions'!$E$34*'Assumptions'!$E$35))*(1-'Assumptions'!$E$40)*'Assumptions'!$E$37)+(('Assumptions'!$E$19+'Assumptions'!$E$20-'Assumptions'!$E$19*'Assumptions'!$E$22)*'Assumptions'!$E$23)*((1-'Assumptions'!$E$41*'Assumptions'!$E$42)*(1-'Assumptions'!$E$43))*((('Assumptions'!$E$33*(1-'Assumptions'!$E$35)+'Assumptions'!$E$34*'Assumptions'!$E$35))*(1-'Assumptions'!$E$40)*'Assumptions'!$E$38)+(('Assumptions'!$E$25+'Assumptions'!$E$26-'Assumptions'!$E$25*'Assumptions'!$E$28)*'Assumptions'!$E$29)*((1-'Assumptions'!$E$41*'Assumptions'!$E$42)*(1-'Assumptions'!$E$43))*((('Assumptions'!$E$33*(1-'Assumptions'!$E$35)+'Assumptions'!$E$34*'Assumptions'!$E$35))*(1-'Assumptions'!$E$40)*'Assumptions'!$E$39)))+((('Assumptions'!$E$13+'Assumptions'!$E$14-'Assumptions'!$E$13*'Assumptions'!$E$16)*'Assumptions'!$E$44+('Assumptions'!$E$19+'Assumptions'!$E$20-'Assumptions'!$E$19*'Assumptions'!$E$22)*'Assumptions'!$E$45+('Assumptions'!$E$25+'Assumptions'!$E$26-'Assumptions'!$E$25*'Assumptions'!$E$28)*'Assumptions'!$E$46)))*(1+(('Assumptions'!$E$15+'Assumptions'!$E$21+'Assumptions'!$E$27)/3+('Assumptions'!$E$18+'Assumptions'!$E$24+'Assumptions'!$E$30)/3-('Assumptions'!$E$16+'Assumptions'!$E$22+'Assumptions'!$E$28)/3+'Assumptions'!$E$36*0.5))^35</f>
        <v>0</v>
      </c>
      <c r="F9" s="20">
        <f>'Revenue'!AL60</f>
        <v>0</v>
      </c>
    </row>
    <row r="10" spans="1:6">
      <c r="A10" s="36" t="s">
        <v>468</v>
      </c>
      <c r="B10" s="21" t="s">
        <v>469</v>
      </c>
      <c r="C10" s="25">
        <f>IFERROR((((((('Assumptions'!$C$13+'Assumptions'!$C$14-'Assumptions'!$C$13*'Assumptions'!$C$16)*'Assumptions'!$C$17)*((1-'Assumptions'!$C$41*'Assumptions'!$C$42)*(1-'Assumptions'!$C$43))*((('Assumptions'!$C$33*(1-'Assumptions'!$C$35)+'Assumptions'!$C$34*'Assumptions'!$C$35))*(1-'Assumptions'!$C$40)*'Assumptions'!$C$37)+(('Assumptions'!$C$19+'Assumptions'!$C$20-'Assumptions'!$C$19*'Assumptions'!$C$22)*'Assumptions'!$C$23)*((1-'Assumptions'!$C$41*'Assumptions'!$C$42)*(1-'Assumptions'!$C$43))*((('Assumptions'!$C$33*(1-'Assumptions'!$C$35)+'Assumptions'!$C$34*'Assumptions'!$C$35))*(1-'Assumptions'!$C$40)*'Assumptions'!$C$38)+(('Assumptions'!$C$25+'Assumptions'!$C$26-'Assumptions'!$C$25*'Assumptions'!$C$28)*'Assumptions'!$C$29)*((1-'Assumptions'!$C$41*'Assumptions'!$C$42)*(1-'Assumptions'!$C$43))*((('Assumptions'!$C$33*(1-'Assumptions'!$C$35)+'Assumptions'!$C$34*'Assumptions'!$C$35))*(1-'Assumptions'!$C$40)*'Assumptions'!$C$39)))+((('Assumptions'!$C$13+'Assumptions'!$C$14-'Assumptions'!$C$13*'Assumptions'!$C$16)*'Assumptions'!$C$44+('Assumptions'!$C$19+'Assumptions'!$C$20-'Assumptions'!$C$19*'Assumptions'!$C$22)*'Assumptions'!$C$45+('Assumptions'!$C$25+'Assumptions'!$C$26-'Assumptions'!$C$25*'Assumptions'!$C$28)*'Assumptions'!$C$46)))-((((('Assumptions'!$C$13+'Assumptions'!$C$14-'Assumptions'!$C$13*'Assumptions'!$C$16)*'Assumptions'!$C$17+('Assumptions'!$C$19+'Assumptions'!$C$20-'Assumptions'!$C$19*'Assumptions'!$C$22)*'Assumptions'!$C$23+('Assumptions'!$C$25+'Assumptions'!$C$26-'Assumptions'!$C$25*'Assumptions'!$C$28)*'Assumptions'!$C$29))*((1-'Assumptions'!$C$41)*(1-'Assumptions'!$C$43))*((('Assumptions'!$C$55*'Assumptions'!$C$49/MAX(0.35,'Assumptions'!$C$56)+(1-'Assumptions'!$C$55)*'Assumptions'!$C$50))+(('Assumptions'!$C$51*(1-'Assumptions'!$C$35)+'Assumptions'!$C$52*'Assumptions'!$C$35)))+((('Assumptions'!$C$13+'Assumptions'!$C$14-'Assumptions'!$C$13*'Assumptions'!$C$16)*'Assumptions'!$C$17+('Assumptions'!$C$19+'Assumptions'!$C$20-'Assumptions'!$C$19*'Assumptions'!$C$22)*'Assumptions'!$C$23+('Assumptions'!$C$25+'Assumptions'!$C$26-'Assumptions'!$C$25*'Assumptions'!$C$28)*'Assumptions'!$C$29))*'Assumptions'!$C$53+((('Assumptions'!$C$13+'Assumptions'!$C$14-'Assumptions'!$C$13*'Assumptions'!$C$16)*'Assumptions'!$C$17+('Assumptions'!$C$19+'Assumptions'!$C$20-'Assumptions'!$C$19*'Assumptions'!$C$22)*'Assumptions'!$C$23+('Assumptions'!$C$25+'Assumptions'!$C$26-'Assumptions'!$C$25*'Assumptions'!$C$28)*'Assumptions'!$C$29))*'Assumptions'!$C$54)+('Assumptions'!$C$60*'Assumptions'!$C$62)))/((((('Assumptions'!$C$13+'Assumptions'!$C$14-'Assumptions'!$C$13*'Assumptions'!$C$16)*'Assumptions'!$C$17)*((1-'Assumptions'!$C$41*'Assumptions'!$C$42)*(1-'Assumptions'!$C$43))*((('Assumptions'!$C$33*(1-'Assumptions'!$C$35)+'Assumptions'!$C$34*'Assumptions'!$C$35))*(1-'Assumptions'!$C$40)*'Assumptions'!$C$37)+(('Assumptions'!$C$19+'Assumptions'!$C$20-'Assumptions'!$C$19*'Assumptions'!$C$22)*'Assumptions'!$C$23)*((1-'Assumptions'!$C$41*'Assumptions'!$C$42)*(1-'Assumptions'!$C$43))*((('Assumptions'!$C$33*(1-'Assumptions'!$C$35)+'Assumptions'!$C$34*'Assumptions'!$C$35))*(1-'Assumptions'!$C$40)*'Assumptions'!$C$38)+(('Assumptions'!$C$25+'Assumptions'!$C$26-'Assumptions'!$C$25*'Assumptions'!$C$28)*'Assumptions'!$C$29)*((1-'Assumptions'!$C$41*'Assumptions'!$C$42)*(1-'Assumptions'!$C$43))*((('Assumptions'!$C$33*(1-'Assumptions'!$C$35)+'Assumptions'!$C$34*'Assumptions'!$C$35))*(1-'Assumptions'!$C$40)*'Assumptions'!$C$39)))+((('Assumptions'!$C$13+'Assumptions'!$C$14-'Assumptions'!$C$13*'Assumptions'!$C$16)*'Assumptions'!$C$44+('Assumptions'!$C$19+'Assumptions'!$C$20-'Assumptions'!$C$19*'Assumptions'!$C$22)*'Assumptions'!$C$45+('Assumptions'!$C$25+'Assumptions'!$C$26-'Assumptions'!$C$25*'Assumptions'!$C$28)*'Assumptions'!$C$46))),0)</f>
        <v>0</v>
      </c>
      <c r="D10" s="25">
        <f>IFERROR((((((('Assumptions'!$D$13+'Assumptions'!$D$14-'Assumptions'!$D$13*'Assumptions'!$D$16)*'Assumptions'!$D$17)*((1-'Assumptions'!$D$41*'Assumptions'!$D$42)*(1-'Assumptions'!$D$43))*((('Assumptions'!$D$33*(1-'Assumptions'!$D$35)+'Assumptions'!$D$34*'Assumptions'!$D$35))*(1-'Assumptions'!$D$40)*'Assumptions'!$D$37)+(('Assumptions'!$D$19+'Assumptions'!$D$20-'Assumptions'!$D$19*'Assumptions'!$D$22)*'Assumptions'!$D$23)*((1-'Assumptions'!$D$41*'Assumptions'!$D$42)*(1-'Assumptions'!$D$43))*((('Assumptions'!$D$33*(1-'Assumptions'!$D$35)+'Assumptions'!$D$34*'Assumptions'!$D$35))*(1-'Assumptions'!$D$40)*'Assumptions'!$D$38)+(('Assumptions'!$D$25+'Assumptions'!$D$26-'Assumptions'!$D$25*'Assumptions'!$D$28)*'Assumptions'!$D$29)*((1-'Assumptions'!$D$41*'Assumptions'!$D$42)*(1-'Assumptions'!$D$43))*((('Assumptions'!$D$33*(1-'Assumptions'!$D$35)+'Assumptions'!$D$34*'Assumptions'!$D$35))*(1-'Assumptions'!$D$40)*'Assumptions'!$D$39)))+((('Assumptions'!$D$13+'Assumptions'!$D$14-'Assumptions'!$D$13*'Assumptions'!$D$16)*'Assumptions'!$D$44+('Assumptions'!$D$19+'Assumptions'!$D$20-'Assumptions'!$D$19*'Assumptions'!$D$22)*'Assumptions'!$D$45+('Assumptions'!$D$25+'Assumptions'!$D$26-'Assumptions'!$D$25*'Assumptions'!$D$28)*'Assumptions'!$D$46)))-((((('Assumptions'!$D$13+'Assumptions'!$D$14-'Assumptions'!$D$13*'Assumptions'!$D$16)*'Assumptions'!$D$17+('Assumptions'!$D$19+'Assumptions'!$D$20-'Assumptions'!$D$19*'Assumptions'!$D$22)*'Assumptions'!$D$23+('Assumptions'!$D$25+'Assumptions'!$D$26-'Assumptions'!$D$25*'Assumptions'!$D$28)*'Assumptions'!$D$29))*((1-'Assumptions'!$D$41)*(1-'Assumptions'!$D$43))*((('Assumptions'!$D$55*'Assumptions'!$D$49/MAX(0.35,'Assumptions'!$D$56)+(1-'Assumptions'!$D$55)*'Assumptions'!$D$50))+(('Assumptions'!$D$51*(1-'Assumptions'!$D$35)+'Assumptions'!$D$52*'Assumptions'!$D$35)))+((('Assumptions'!$D$13+'Assumptions'!$D$14-'Assumptions'!$D$13*'Assumptions'!$D$16)*'Assumptions'!$D$17+('Assumptions'!$D$19+'Assumptions'!$D$20-'Assumptions'!$D$19*'Assumptions'!$D$22)*'Assumptions'!$D$23+('Assumptions'!$D$25+'Assumptions'!$D$26-'Assumptions'!$D$25*'Assumptions'!$D$28)*'Assumptions'!$D$29))*'Assumptions'!$D$53+((('Assumptions'!$D$13+'Assumptions'!$D$14-'Assumptions'!$D$13*'Assumptions'!$D$16)*'Assumptions'!$D$17+('Assumptions'!$D$19+'Assumptions'!$D$20-'Assumptions'!$D$19*'Assumptions'!$D$22)*'Assumptions'!$D$23+('Assumptions'!$D$25+'Assumptions'!$D$26-'Assumptions'!$D$25*'Assumptions'!$D$28)*'Assumptions'!$D$29))*'Assumptions'!$D$54)+('Assumptions'!$D$60*'Assumptions'!$D$62)))/((((('Assumptions'!$D$13+'Assumptions'!$D$14-'Assumptions'!$D$13*'Assumptions'!$D$16)*'Assumptions'!$D$17)*((1-'Assumptions'!$D$41*'Assumptions'!$D$42)*(1-'Assumptions'!$D$43))*((('Assumptions'!$D$33*(1-'Assumptions'!$D$35)+'Assumptions'!$D$34*'Assumptions'!$D$35))*(1-'Assumptions'!$D$40)*'Assumptions'!$D$37)+(('Assumptions'!$D$19+'Assumptions'!$D$20-'Assumptions'!$D$19*'Assumptions'!$D$22)*'Assumptions'!$D$23)*((1-'Assumptions'!$D$41*'Assumptions'!$D$42)*(1-'Assumptions'!$D$43))*((('Assumptions'!$D$33*(1-'Assumptions'!$D$35)+'Assumptions'!$D$34*'Assumptions'!$D$35))*(1-'Assumptions'!$D$40)*'Assumptions'!$D$38)+(('Assumptions'!$D$25+'Assumptions'!$D$26-'Assumptions'!$D$25*'Assumptions'!$D$28)*'Assumptions'!$D$29)*((1-'Assumptions'!$D$41*'Assumptions'!$D$42)*(1-'Assumptions'!$D$43))*((('Assumptions'!$D$33*(1-'Assumptions'!$D$35)+'Assumptions'!$D$34*'Assumptions'!$D$35))*(1-'Assumptions'!$D$40)*'Assumptions'!$D$39)))+((('Assumptions'!$D$13+'Assumptions'!$D$14-'Assumptions'!$D$13*'Assumptions'!$D$16)*'Assumptions'!$D$44+('Assumptions'!$D$19+'Assumptions'!$D$20-'Assumptions'!$D$19*'Assumptions'!$D$22)*'Assumptions'!$D$45+('Assumptions'!$D$25+'Assumptions'!$D$26-'Assumptions'!$D$25*'Assumptions'!$D$28)*'Assumptions'!$D$46))),0)</f>
        <v>0</v>
      </c>
      <c r="E10" s="25">
        <f>IFERROR((((((('Assumptions'!$E$13+'Assumptions'!$E$14-'Assumptions'!$E$13*'Assumptions'!$E$16)*'Assumptions'!$E$17)*((1-'Assumptions'!$E$41*'Assumptions'!$E$42)*(1-'Assumptions'!$E$43))*((('Assumptions'!$E$33*(1-'Assumptions'!$E$35)+'Assumptions'!$E$34*'Assumptions'!$E$35))*(1-'Assumptions'!$E$40)*'Assumptions'!$E$37)+(('Assumptions'!$E$19+'Assumptions'!$E$20-'Assumptions'!$E$19*'Assumptions'!$E$22)*'Assumptions'!$E$23)*((1-'Assumptions'!$E$41*'Assumptions'!$E$42)*(1-'Assumptions'!$E$43))*((('Assumptions'!$E$33*(1-'Assumptions'!$E$35)+'Assumptions'!$E$34*'Assumptions'!$E$35))*(1-'Assumptions'!$E$40)*'Assumptions'!$E$38)+(('Assumptions'!$E$25+'Assumptions'!$E$26-'Assumptions'!$E$25*'Assumptions'!$E$28)*'Assumptions'!$E$29)*((1-'Assumptions'!$E$41*'Assumptions'!$E$42)*(1-'Assumptions'!$E$43))*((('Assumptions'!$E$33*(1-'Assumptions'!$E$35)+'Assumptions'!$E$34*'Assumptions'!$E$35))*(1-'Assumptions'!$E$40)*'Assumptions'!$E$39)))+((('Assumptions'!$E$13+'Assumptions'!$E$14-'Assumptions'!$E$13*'Assumptions'!$E$16)*'Assumptions'!$E$44+('Assumptions'!$E$19+'Assumptions'!$E$20-'Assumptions'!$E$19*'Assumptions'!$E$22)*'Assumptions'!$E$45+('Assumptions'!$E$25+'Assumptions'!$E$26-'Assumptions'!$E$25*'Assumptions'!$E$28)*'Assumptions'!$E$46)))-((((('Assumptions'!$E$13+'Assumptions'!$E$14-'Assumptions'!$E$13*'Assumptions'!$E$16)*'Assumptions'!$E$17+('Assumptions'!$E$19+'Assumptions'!$E$20-'Assumptions'!$E$19*'Assumptions'!$E$22)*'Assumptions'!$E$23+('Assumptions'!$E$25+'Assumptions'!$E$26-'Assumptions'!$E$25*'Assumptions'!$E$28)*'Assumptions'!$E$29))*((1-'Assumptions'!$E$41)*(1-'Assumptions'!$E$43))*((('Assumptions'!$E$55*'Assumptions'!$E$49/MAX(0.35,'Assumptions'!$E$56)+(1-'Assumptions'!$E$55)*'Assumptions'!$E$50))+(('Assumptions'!$E$51*(1-'Assumptions'!$E$35)+'Assumptions'!$E$52*'Assumptions'!$E$35)))+((('Assumptions'!$E$13+'Assumptions'!$E$14-'Assumptions'!$E$13*'Assumptions'!$E$16)*'Assumptions'!$E$17+('Assumptions'!$E$19+'Assumptions'!$E$20-'Assumptions'!$E$19*'Assumptions'!$E$22)*'Assumptions'!$E$23+('Assumptions'!$E$25+'Assumptions'!$E$26-'Assumptions'!$E$25*'Assumptions'!$E$28)*'Assumptions'!$E$29))*'Assumptions'!$E$53+((('Assumptions'!$E$13+'Assumptions'!$E$14-'Assumptions'!$E$13*'Assumptions'!$E$16)*'Assumptions'!$E$17+('Assumptions'!$E$19+'Assumptions'!$E$20-'Assumptions'!$E$19*'Assumptions'!$E$22)*'Assumptions'!$E$23+('Assumptions'!$E$25+'Assumptions'!$E$26-'Assumptions'!$E$25*'Assumptions'!$E$28)*'Assumptions'!$E$29))*'Assumptions'!$E$54)+('Assumptions'!$E$60*'Assumptions'!$E$62)))/((((('Assumptions'!$E$13+'Assumptions'!$E$14-'Assumptions'!$E$13*'Assumptions'!$E$16)*'Assumptions'!$E$17)*((1-'Assumptions'!$E$41*'Assumptions'!$E$42)*(1-'Assumptions'!$E$43))*((('Assumptions'!$E$33*(1-'Assumptions'!$E$35)+'Assumptions'!$E$34*'Assumptions'!$E$35))*(1-'Assumptions'!$E$40)*'Assumptions'!$E$37)+(('Assumptions'!$E$19+'Assumptions'!$E$20-'Assumptions'!$E$19*'Assumptions'!$E$22)*'Assumptions'!$E$23)*((1-'Assumptions'!$E$41*'Assumptions'!$E$42)*(1-'Assumptions'!$E$43))*((('Assumptions'!$E$33*(1-'Assumptions'!$E$35)+'Assumptions'!$E$34*'Assumptions'!$E$35))*(1-'Assumptions'!$E$40)*'Assumptions'!$E$38)+(('Assumptions'!$E$25+'Assumptions'!$E$26-'Assumptions'!$E$25*'Assumptions'!$E$28)*'Assumptions'!$E$29)*((1-'Assumptions'!$E$41*'Assumptions'!$E$42)*(1-'Assumptions'!$E$43))*((('Assumptions'!$E$33*(1-'Assumptions'!$E$35)+'Assumptions'!$E$34*'Assumptions'!$E$35))*(1-'Assumptions'!$E$40)*'Assumptions'!$E$39)))+((('Assumptions'!$E$13+'Assumptions'!$E$14-'Assumptions'!$E$13*'Assumptions'!$E$16)*'Assumptions'!$E$44+('Assumptions'!$E$19+'Assumptions'!$E$20-'Assumptions'!$E$19*'Assumptions'!$E$22)*'Assumptions'!$E$45+('Assumptions'!$E$25+'Assumptions'!$E$26-'Assumptions'!$E$25*'Assumptions'!$E$28)*'Assumptions'!$E$46))),0)</f>
        <v>0</v>
      </c>
      <c r="F10" s="25">
        <f>'COGS &amp; GM'!C25</f>
        <v>0</v>
      </c>
    </row>
    <row r="11" spans="1:6">
      <c r="A11" s="36" t="s">
        <v>470</v>
      </c>
      <c r="B11" s="21" t="s">
        <v>471</v>
      </c>
      <c r="C11" s="20">
        <f>MAX(0,((((('Assumptions'!$C$13+'Assumptions'!$C$14-'Assumptions'!$C$13*'Assumptions'!$C$16)*'Assumptions'!$C$17+('Assumptions'!$C$19+'Assumptions'!$C$20-'Assumptions'!$C$19*'Assumptions'!$C$22)*'Assumptions'!$C$23+('Assumptions'!$C$25+'Assumptions'!$C$26-'Assumptions'!$C$25*'Assumptions'!$C$28)*'Assumptions'!$C$29))*((1-'Assumptions'!$C$41)*(1-'Assumptions'!$C$43))*((('Assumptions'!$C$55*'Assumptions'!$C$49/MAX(0.35,'Assumptions'!$C$56)+(1-'Assumptions'!$C$55)*'Assumptions'!$C$50))+(('Assumptions'!$C$51*(1-'Assumptions'!$C$35)+'Assumptions'!$C$52*'Assumptions'!$C$35)))+((('Assumptions'!$C$13+'Assumptions'!$C$14-'Assumptions'!$C$13*'Assumptions'!$C$16)*'Assumptions'!$C$17+('Assumptions'!$C$19+'Assumptions'!$C$20-'Assumptions'!$C$19*'Assumptions'!$C$22)*'Assumptions'!$C$23+('Assumptions'!$C$25+'Assumptions'!$C$26-'Assumptions'!$C$25*'Assumptions'!$C$28)*'Assumptions'!$C$29))*'Assumptions'!$C$53+((('Assumptions'!$C$13+'Assumptions'!$C$14-'Assumptions'!$C$13*'Assumptions'!$C$16)*'Assumptions'!$C$17+('Assumptions'!$C$19+'Assumptions'!$C$20-'Assumptions'!$C$19*'Assumptions'!$C$22)*'Assumptions'!$C$23+('Assumptions'!$C$25+'Assumptions'!$C$26-'Assumptions'!$C$25*'Assumptions'!$C$28)*'Assumptions'!$C$29))*'Assumptions'!$C$54)+('Assumptions'!$C$60*'Assumptions'!$C$62))+('Assumptions'!$C$65*'Assumptions'!$C$67+'Assumptions'!$C$70*'Assumptions'!$C$72+'Assumptions'!$C$75*'Assumptions'!$C$77)+((('Assumptions'!$C$14*'Assumptions'!$C$17*((1-'Assumptions'!$C$41*'Assumptions'!$C$42)*(1-'Assumptions'!$C$43))*((('Assumptions'!$C$33*(1-'Assumptions'!$C$35)+'Assumptions'!$C$34*'Assumptions'!$C$35))*(1-'Assumptions'!$C$40)*'Assumptions'!$C$37)+'Assumptions'!$C$14*'Assumptions'!$C$44+'Assumptions'!$C$20*'Assumptions'!$C$23*((1-'Assumptions'!$C$41*'Assumptions'!$C$42)*(1-'Assumptions'!$C$43))*((('Assumptions'!$C$33*(1-'Assumptions'!$C$35)+'Assumptions'!$C$34*'Assumptions'!$C$35))*(1-'Assumptions'!$C$40)*'Assumptions'!$C$38)+'Assumptions'!$C$20*'Assumptions'!$C$45+'Assumptions'!$C$26*'Assumptions'!$C$29*((1-'Assumptions'!$C$41*'Assumptions'!$C$42)*(1-'Assumptions'!$C$43))*((('Assumptions'!$C$33*(1-'Assumptions'!$C$35)+'Assumptions'!$C$34*'Assumptions'!$C$35))*(1-'Assumptions'!$C$40)*'Assumptions'!$C$39)+'Assumptions'!$C$26*'Assumptions'!$C$46))*'Assumptions'!$C$80+(((('Assumptions'!$C$13+'Assumptions'!$C$14-'Assumptions'!$C$13*'Assumptions'!$C$16)*'Assumptions'!$C$17)*((1-'Assumptions'!$C$41*'Assumptions'!$C$42)*(1-'Assumptions'!$C$43))*((('Assumptions'!$C$33*(1-'Assumptions'!$C$35)+'Assumptions'!$C$34*'Assumptions'!$C$35))*(1-'Assumptions'!$C$40)*'Assumptions'!$C$37)+(('Assumptions'!$C$19+'Assumptions'!$C$20-'Assumptions'!$C$19*'Assumptions'!$C$22)*'Assumptions'!$C$23)*((1-'Assumptions'!$C$41*'Assumptions'!$C$42)*(1-'Assumptions'!$C$43))*((('Assumptions'!$C$33*(1-'Assumptions'!$C$35)+'Assumptions'!$C$34*'Assumptions'!$C$35))*(1-'Assumptions'!$C$40)*'Assumptions'!$C$38)+(('Assumptions'!$C$25+'Assumptions'!$C$26-'Assumptions'!$C$25*'Assumptions'!$C$28)*'Assumptions'!$C$29)*((1-'Assumptions'!$C$41*'Assumptions'!$C$42)*(1-'Assumptions'!$C$43))*((('Assumptions'!$C$33*(1-'Assumptions'!$C$35)+'Assumptions'!$C$34*'Assumptions'!$C$35))*(1-'Assumptions'!$C$40)*'Assumptions'!$C$39)))*'Assumptions'!$C$81+((((('Assumptions'!$C$13+'Assumptions'!$C$14-'Assumptions'!$C$13*'Assumptions'!$C$16)*'Assumptions'!$C$17)*((1-'Assumptions'!$C$41*'Assumptions'!$C$42)*(1-'Assumptions'!$C$43))*((('Assumptions'!$C$33*(1-'Assumptions'!$C$35)+'Assumptions'!$C$34*'Assumptions'!$C$35))*(1-'Assumptions'!$C$40)*'Assumptions'!$C$37)+(('Assumptions'!$C$19+'Assumptions'!$C$20-'Assumptions'!$C$19*'Assumptions'!$C$22)*'Assumptions'!$C$23)*((1-'Assumptions'!$C$41*'Assumptions'!$C$42)*(1-'Assumptions'!$C$43))*((('Assumptions'!$C$33*(1-'Assumptions'!$C$35)+'Assumptions'!$C$34*'Assumptions'!$C$35))*(1-'Assumptions'!$C$40)*'Assumptions'!$C$38)+(('Assumptions'!$C$25+'Assumptions'!$C$26-'Assumptions'!$C$25*'Assumptions'!$C$28)*'Assumptions'!$C$29)*((1-'Assumptions'!$C$41*'Assumptions'!$C$42)*(1-'Assumptions'!$C$43))*((('Assumptions'!$C$33*(1-'Assumptions'!$C$35)+'Assumptions'!$C$34*'Assumptions'!$C$35))*(1-'Assumptions'!$C$40)*'Assumptions'!$C$39)))+((('Assumptions'!$C$13+'Assumptions'!$C$14-'Assumptions'!$C$13*'Assumptions'!$C$16)*'Assumptions'!$C$44+('Assumptions'!$C$19+'Assumptions'!$C$20-'Assumptions'!$C$19*'Assumptions'!$C$22)*'Assumptions'!$C$45+('Assumptions'!$C$25+'Assumptions'!$C$26-'Assumptions'!$C$25*'Assumptions'!$C$28)*'Assumptions'!$C$46)))*'Assumptions'!$C$82+'Assumptions'!$C$83+'Assumptions'!$C$84)-((((('Assumptions'!$C$13+'Assumptions'!$C$14-'Assumptions'!$C$13*'Assumptions'!$C$16)*'Assumptions'!$C$17)*((1-'Assumptions'!$C$41*'Assumptions'!$C$42)*(1-'Assumptions'!$C$43))*((('Assumptions'!$C$33*(1-'Assumptions'!$C$35)+'Assumptions'!$C$34*'Assumptions'!$C$35))*(1-'Assumptions'!$C$40)*'Assumptions'!$C$37)+(('Assumptions'!$C$19+'Assumptions'!$C$20-'Assumptions'!$C$19*'Assumptions'!$C$22)*'Assumptions'!$C$23)*((1-'Assumptions'!$C$41*'Assumptions'!$C$42)*(1-'Assumptions'!$C$43))*((('Assumptions'!$C$33*(1-'Assumptions'!$C$35)+'Assumptions'!$C$34*'Assumptions'!$C$35))*(1-'Assumptions'!$C$40)*'Assumptions'!$C$38)+(('Assumptions'!$C$25+'Assumptions'!$C$26-'Assumptions'!$C$25*'Assumptions'!$C$28)*'Assumptions'!$C$29)*((1-'Assumptions'!$C$41*'Assumptions'!$C$42)*(1-'Assumptions'!$C$43))*((('Assumptions'!$C$33*(1-'Assumptions'!$C$35)+'Assumptions'!$C$34*'Assumptions'!$C$35))*(1-'Assumptions'!$C$40)*'Assumptions'!$C$39)))+((('Assumptions'!$C$13+'Assumptions'!$C$14-'Assumptions'!$C$13*'Assumptions'!$C$16)*'Assumptions'!$C$44+('Assumptions'!$C$19+'Assumptions'!$C$20-'Assumptions'!$C$19*'Assumptions'!$C$22)*'Assumptions'!$C$45+('Assumptions'!$C$25+'Assumptions'!$C$26-'Assumptions'!$C$25*'Assumptions'!$C$28)*'Assumptions'!$C$46))))</f>
        <v>0</v>
      </c>
      <c r="D11" s="20">
        <f>MAX(0,((((('Assumptions'!$D$13+'Assumptions'!$D$14-'Assumptions'!$D$13*'Assumptions'!$D$16)*'Assumptions'!$D$17+('Assumptions'!$D$19+'Assumptions'!$D$20-'Assumptions'!$D$19*'Assumptions'!$D$22)*'Assumptions'!$D$23+('Assumptions'!$D$25+'Assumptions'!$D$26-'Assumptions'!$D$25*'Assumptions'!$D$28)*'Assumptions'!$D$29))*((1-'Assumptions'!$D$41)*(1-'Assumptions'!$D$43))*((('Assumptions'!$D$55*'Assumptions'!$D$49/MAX(0.35,'Assumptions'!$D$56)+(1-'Assumptions'!$D$55)*'Assumptions'!$D$50))+(('Assumptions'!$D$51*(1-'Assumptions'!$D$35)+'Assumptions'!$D$52*'Assumptions'!$D$35)))+((('Assumptions'!$D$13+'Assumptions'!$D$14-'Assumptions'!$D$13*'Assumptions'!$D$16)*'Assumptions'!$D$17+('Assumptions'!$D$19+'Assumptions'!$D$20-'Assumptions'!$D$19*'Assumptions'!$D$22)*'Assumptions'!$D$23+('Assumptions'!$D$25+'Assumptions'!$D$26-'Assumptions'!$D$25*'Assumptions'!$D$28)*'Assumptions'!$D$29))*'Assumptions'!$D$53+((('Assumptions'!$D$13+'Assumptions'!$D$14-'Assumptions'!$D$13*'Assumptions'!$D$16)*'Assumptions'!$D$17+('Assumptions'!$D$19+'Assumptions'!$D$20-'Assumptions'!$D$19*'Assumptions'!$D$22)*'Assumptions'!$D$23+('Assumptions'!$D$25+'Assumptions'!$D$26-'Assumptions'!$D$25*'Assumptions'!$D$28)*'Assumptions'!$D$29))*'Assumptions'!$D$54)+('Assumptions'!$D$60*'Assumptions'!$D$62))+('Assumptions'!$D$65*'Assumptions'!$D$67+'Assumptions'!$D$70*'Assumptions'!$D$72+'Assumptions'!$D$75*'Assumptions'!$D$77)+((('Assumptions'!$D$14*'Assumptions'!$D$17*((1-'Assumptions'!$D$41*'Assumptions'!$D$42)*(1-'Assumptions'!$D$43))*((('Assumptions'!$D$33*(1-'Assumptions'!$D$35)+'Assumptions'!$D$34*'Assumptions'!$D$35))*(1-'Assumptions'!$D$40)*'Assumptions'!$D$37)+'Assumptions'!$D$14*'Assumptions'!$D$44+'Assumptions'!$D$20*'Assumptions'!$D$23*((1-'Assumptions'!$D$41*'Assumptions'!$D$42)*(1-'Assumptions'!$D$43))*((('Assumptions'!$D$33*(1-'Assumptions'!$D$35)+'Assumptions'!$D$34*'Assumptions'!$D$35))*(1-'Assumptions'!$D$40)*'Assumptions'!$D$38)+'Assumptions'!$D$20*'Assumptions'!$D$45+'Assumptions'!$D$26*'Assumptions'!$D$29*((1-'Assumptions'!$D$41*'Assumptions'!$D$42)*(1-'Assumptions'!$D$43))*((('Assumptions'!$D$33*(1-'Assumptions'!$D$35)+'Assumptions'!$D$34*'Assumptions'!$D$35))*(1-'Assumptions'!$D$40)*'Assumptions'!$D$39)+'Assumptions'!$D$26*'Assumptions'!$D$46))*'Assumptions'!$D$80+(((('Assumptions'!$D$13+'Assumptions'!$D$14-'Assumptions'!$D$13*'Assumptions'!$D$16)*'Assumptions'!$D$17)*((1-'Assumptions'!$D$41*'Assumptions'!$D$42)*(1-'Assumptions'!$D$43))*((('Assumptions'!$D$33*(1-'Assumptions'!$D$35)+'Assumptions'!$D$34*'Assumptions'!$D$35))*(1-'Assumptions'!$D$40)*'Assumptions'!$D$37)+(('Assumptions'!$D$19+'Assumptions'!$D$20-'Assumptions'!$D$19*'Assumptions'!$D$22)*'Assumptions'!$D$23)*((1-'Assumptions'!$D$41*'Assumptions'!$D$42)*(1-'Assumptions'!$D$43))*((('Assumptions'!$D$33*(1-'Assumptions'!$D$35)+'Assumptions'!$D$34*'Assumptions'!$D$35))*(1-'Assumptions'!$D$40)*'Assumptions'!$D$38)+(('Assumptions'!$D$25+'Assumptions'!$D$26-'Assumptions'!$D$25*'Assumptions'!$D$28)*'Assumptions'!$D$29)*((1-'Assumptions'!$D$41*'Assumptions'!$D$42)*(1-'Assumptions'!$D$43))*((('Assumptions'!$D$33*(1-'Assumptions'!$D$35)+'Assumptions'!$D$34*'Assumptions'!$D$35))*(1-'Assumptions'!$D$40)*'Assumptions'!$D$39)))*'Assumptions'!$D$81+((((('Assumptions'!$D$13+'Assumptions'!$D$14-'Assumptions'!$D$13*'Assumptions'!$D$16)*'Assumptions'!$D$17)*((1-'Assumptions'!$D$41*'Assumptions'!$D$42)*(1-'Assumptions'!$D$43))*((('Assumptions'!$D$33*(1-'Assumptions'!$D$35)+'Assumptions'!$D$34*'Assumptions'!$D$35))*(1-'Assumptions'!$D$40)*'Assumptions'!$D$37)+(('Assumptions'!$D$19+'Assumptions'!$D$20-'Assumptions'!$D$19*'Assumptions'!$D$22)*'Assumptions'!$D$23)*((1-'Assumptions'!$D$41*'Assumptions'!$D$42)*(1-'Assumptions'!$D$43))*((('Assumptions'!$D$33*(1-'Assumptions'!$D$35)+'Assumptions'!$D$34*'Assumptions'!$D$35))*(1-'Assumptions'!$D$40)*'Assumptions'!$D$38)+(('Assumptions'!$D$25+'Assumptions'!$D$26-'Assumptions'!$D$25*'Assumptions'!$D$28)*'Assumptions'!$D$29)*((1-'Assumptions'!$D$41*'Assumptions'!$D$42)*(1-'Assumptions'!$D$43))*((('Assumptions'!$D$33*(1-'Assumptions'!$D$35)+'Assumptions'!$D$34*'Assumptions'!$D$35))*(1-'Assumptions'!$D$40)*'Assumptions'!$D$39)))+((('Assumptions'!$D$13+'Assumptions'!$D$14-'Assumptions'!$D$13*'Assumptions'!$D$16)*'Assumptions'!$D$44+('Assumptions'!$D$19+'Assumptions'!$D$20-'Assumptions'!$D$19*'Assumptions'!$D$22)*'Assumptions'!$D$45+('Assumptions'!$D$25+'Assumptions'!$D$26-'Assumptions'!$D$25*'Assumptions'!$D$28)*'Assumptions'!$D$46)))*'Assumptions'!$D$82+'Assumptions'!$D$83+'Assumptions'!$D$84)-((((('Assumptions'!$D$13+'Assumptions'!$D$14-'Assumptions'!$D$13*'Assumptions'!$D$16)*'Assumptions'!$D$17)*((1-'Assumptions'!$D$41*'Assumptions'!$D$42)*(1-'Assumptions'!$D$43))*((('Assumptions'!$D$33*(1-'Assumptions'!$D$35)+'Assumptions'!$D$34*'Assumptions'!$D$35))*(1-'Assumptions'!$D$40)*'Assumptions'!$D$37)+(('Assumptions'!$D$19+'Assumptions'!$D$20-'Assumptions'!$D$19*'Assumptions'!$D$22)*'Assumptions'!$D$23)*((1-'Assumptions'!$D$41*'Assumptions'!$D$42)*(1-'Assumptions'!$D$43))*((('Assumptions'!$D$33*(1-'Assumptions'!$D$35)+'Assumptions'!$D$34*'Assumptions'!$D$35))*(1-'Assumptions'!$D$40)*'Assumptions'!$D$38)+(('Assumptions'!$D$25+'Assumptions'!$D$26-'Assumptions'!$D$25*'Assumptions'!$D$28)*'Assumptions'!$D$29)*((1-'Assumptions'!$D$41*'Assumptions'!$D$42)*(1-'Assumptions'!$D$43))*((('Assumptions'!$D$33*(1-'Assumptions'!$D$35)+'Assumptions'!$D$34*'Assumptions'!$D$35))*(1-'Assumptions'!$D$40)*'Assumptions'!$D$39)))+((('Assumptions'!$D$13+'Assumptions'!$D$14-'Assumptions'!$D$13*'Assumptions'!$D$16)*'Assumptions'!$D$44+('Assumptions'!$D$19+'Assumptions'!$D$20-'Assumptions'!$D$19*'Assumptions'!$D$22)*'Assumptions'!$D$45+('Assumptions'!$D$25+'Assumptions'!$D$26-'Assumptions'!$D$25*'Assumptions'!$D$28)*'Assumptions'!$D$46))))</f>
        <v>0</v>
      </c>
      <c r="E11" s="20">
        <f>MAX(0,((((('Assumptions'!$E$13+'Assumptions'!$E$14-'Assumptions'!$E$13*'Assumptions'!$E$16)*'Assumptions'!$E$17+('Assumptions'!$E$19+'Assumptions'!$E$20-'Assumptions'!$E$19*'Assumptions'!$E$22)*'Assumptions'!$E$23+('Assumptions'!$E$25+'Assumptions'!$E$26-'Assumptions'!$E$25*'Assumptions'!$E$28)*'Assumptions'!$E$29))*((1-'Assumptions'!$E$41)*(1-'Assumptions'!$E$43))*((('Assumptions'!$E$55*'Assumptions'!$E$49/MAX(0.35,'Assumptions'!$E$56)+(1-'Assumptions'!$E$55)*'Assumptions'!$E$50))+(('Assumptions'!$E$51*(1-'Assumptions'!$E$35)+'Assumptions'!$E$52*'Assumptions'!$E$35)))+((('Assumptions'!$E$13+'Assumptions'!$E$14-'Assumptions'!$E$13*'Assumptions'!$E$16)*'Assumptions'!$E$17+('Assumptions'!$E$19+'Assumptions'!$E$20-'Assumptions'!$E$19*'Assumptions'!$E$22)*'Assumptions'!$E$23+('Assumptions'!$E$25+'Assumptions'!$E$26-'Assumptions'!$E$25*'Assumptions'!$E$28)*'Assumptions'!$E$29))*'Assumptions'!$E$53+((('Assumptions'!$E$13+'Assumptions'!$E$14-'Assumptions'!$E$13*'Assumptions'!$E$16)*'Assumptions'!$E$17+('Assumptions'!$E$19+'Assumptions'!$E$20-'Assumptions'!$E$19*'Assumptions'!$E$22)*'Assumptions'!$E$23+('Assumptions'!$E$25+'Assumptions'!$E$26-'Assumptions'!$E$25*'Assumptions'!$E$28)*'Assumptions'!$E$29))*'Assumptions'!$E$54)+('Assumptions'!$E$60*'Assumptions'!$E$62))+('Assumptions'!$E$65*'Assumptions'!$E$67+'Assumptions'!$E$70*'Assumptions'!$E$72+'Assumptions'!$E$75*'Assumptions'!$E$77)+((('Assumptions'!$E$14*'Assumptions'!$E$17*((1-'Assumptions'!$E$41*'Assumptions'!$E$42)*(1-'Assumptions'!$E$43))*((('Assumptions'!$E$33*(1-'Assumptions'!$E$35)+'Assumptions'!$E$34*'Assumptions'!$E$35))*(1-'Assumptions'!$E$40)*'Assumptions'!$E$37)+'Assumptions'!$E$14*'Assumptions'!$E$44+'Assumptions'!$E$20*'Assumptions'!$E$23*((1-'Assumptions'!$E$41*'Assumptions'!$E$42)*(1-'Assumptions'!$E$43))*((('Assumptions'!$E$33*(1-'Assumptions'!$E$35)+'Assumptions'!$E$34*'Assumptions'!$E$35))*(1-'Assumptions'!$E$40)*'Assumptions'!$E$38)+'Assumptions'!$E$20*'Assumptions'!$E$45+'Assumptions'!$E$26*'Assumptions'!$E$29*((1-'Assumptions'!$E$41*'Assumptions'!$E$42)*(1-'Assumptions'!$E$43))*((('Assumptions'!$E$33*(1-'Assumptions'!$E$35)+'Assumptions'!$E$34*'Assumptions'!$E$35))*(1-'Assumptions'!$E$40)*'Assumptions'!$E$39)+'Assumptions'!$E$26*'Assumptions'!$E$46))*'Assumptions'!$E$80+(((('Assumptions'!$E$13+'Assumptions'!$E$14-'Assumptions'!$E$13*'Assumptions'!$E$16)*'Assumptions'!$E$17)*((1-'Assumptions'!$E$41*'Assumptions'!$E$42)*(1-'Assumptions'!$E$43))*((('Assumptions'!$E$33*(1-'Assumptions'!$E$35)+'Assumptions'!$E$34*'Assumptions'!$E$35))*(1-'Assumptions'!$E$40)*'Assumptions'!$E$37)+(('Assumptions'!$E$19+'Assumptions'!$E$20-'Assumptions'!$E$19*'Assumptions'!$E$22)*'Assumptions'!$E$23)*((1-'Assumptions'!$E$41*'Assumptions'!$E$42)*(1-'Assumptions'!$E$43))*((('Assumptions'!$E$33*(1-'Assumptions'!$E$35)+'Assumptions'!$E$34*'Assumptions'!$E$35))*(1-'Assumptions'!$E$40)*'Assumptions'!$E$38)+(('Assumptions'!$E$25+'Assumptions'!$E$26-'Assumptions'!$E$25*'Assumptions'!$E$28)*'Assumptions'!$E$29)*((1-'Assumptions'!$E$41*'Assumptions'!$E$42)*(1-'Assumptions'!$E$43))*((('Assumptions'!$E$33*(1-'Assumptions'!$E$35)+'Assumptions'!$E$34*'Assumptions'!$E$35))*(1-'Assumptions'!$E$40)*'Assumptions'!$E$39)))*'Assumptions'!$E$81+((((('Assumptions'!$E$13+'Assumptions'!$E$14-'Assumptions'!$E$13*'Assumptions'!$E$16)*'Assumptions'!$E$17)*((1-'Assumptions'!$E$41*'Assumptions'!$E$42)*(1-'Assumptions'!$E$43))*((('Assumptions'!$E$33*(1-'Assumptions'!$E$35)+'Assumptions'!$E$34*'Assumptions'!$E$35))*(1-'Assumptions'!$E$40)*'Assumptions'!$E$37)+(('Assumptions'!$E$19+'Assumptions'!$E$20-'Assumptions'!$E$19*'Assumptions'!$E$22)*'Assumptions'!$E$23)*((1-'Assumptions'!$E$41*'Assumptions'!$E$42)*(1-'Assumptions'!$E$43))*((('Assumptions'!$E$33*(1-'Assumptions'!$E$35)+'Assumptions'!$E$34*'Assumptions'!$E$35))*(1-'Assumptions'!$E$40)*'Assumptions'!$E$38)+(('Assumptions'!$E$25+'Assumptions'!$E$26-'Assumptions'!$E$25*'Assumptions'!$E$28)*'Assumptions'!$E$29)*((1-'Assumptions'!$E$41*'Assumptions'!$E$42)*(1-'Assumptions'!$E$43))*((('Assumptions'!$E$33*(1-'Assumptions'!$E$35)+'Assumptions'!$E$34*'Assumptions'!$E$35))*(1-'Assumptions'!$E$40)*'Assumptions'!$E$39)))+((('Assumptions'!$E$13+'Assumptions'!$E$14-'Assumptions'!$E$13*'Assumptions'!$E$16)*'Assumptions'!$E$44+('Assumptions'!$E$19+'Assumptions'!$E$20-'Assumptions'!$E$19*'Assumptions'!$E$22)*'Assumptions'!$E$45+('Assumptions'!$E$25+'Assumptions'!$E$26-'Assumptions'!$E$25*'Assumptions'!$E$28)*'Assumptions'!$E$46)))*'Assumptions'!$E$82+'Assumptions'!$E$83+'Assumptions'!$E$84)-((((('Assumptions'!$E$13+'Assumptions'!$E$14-'Assumptions'!$E$13*'Assumptions'!$E$16)*'Assumptions'!$E$17)*((1-'Assumptions'!$E$41*'Assumptions'!$E$42)*(1-'Assumptions'!$E$43))*((('Assumptions'!$E$33*(1-'Assumptions'!$E$35)+'Assumptions'!$E$34*'Assumptions'!$E$35))*(1-'Assumptions'!$E$40)*'Assumptions'!$E$37)+(('Assumptions'!$E$19+'Assumptions'!$E$20-'Assumptions'!$E$19*'Assumptions'!$E$22)*'Assumptions'!$E$23)*((1-'Assumptions'!$E$41*'Assumptions'!$E$42)*(1-'Assumptions'!$E$43))*((('Assumptions'!$E$33*(1-'Assumptions'!$E$35)+'Assumptions'!$E$34*'Assumptions'!$E$35))*(1-'Assumptions'!$E$40)*'Assumptions'!$E$38)+(('Assumptions'!$E$25+'Assumptions'!$E$26-'Assumptions'!$E$25*'Assumptions'!$E$28)*'Assumptions'!$E$29)*((1-'Assumptions'!$E$41*'Assumptions'!$E$42)*(1-'Assumptions'!$E$43))*((('Assumptions'!$E$33*(1-'Assumptions'!$E$35)+'Assumptions'!$E$34*'Assumptions'!$E$35))*(1-'Assumptions'!$E$40)*'Assumptions'!$E$39)))+((('Assumptions'!$E$13+'Assumptions'!$E$14-'Assumptions'!$E$13*'Assumptions'!$E$16)*'Assumptions'!$E$44+('Assumptions'!$E$19+'Assumptions'!$E$20-'Assumptions'!$E$19*'Assumptions'!$E$22)*'Assumptions'!$E$45+('Assumptions'!$E$25+'Assumptions'!$E$26-'Assumptions'!$E$25*'Assumptions'!$E$28)*'Assumptions'!$E$46))))</f>
        <v>0</v>
      </c>
      <c r="F11" s="20">
        <f>'Cash &amp; Runway'!C9</f>
        <v>0</v>
      </c>
    </row>
    <row r="12" spans="1:6">
      <c r="A12" s="36" t="s">
        <v>472</v>
      </c>
      <c r="B12" s="21" t="s">
        <v>473</v>
      </c>
      <c r="C12" s="35">
        <f>IFERROR('Assumptions'!$C$8/MAX(1,MAX(0,((((('Assumptions'!$C$13+'Assumptions'!$C$14-'Assumptions'!$C$13*'Assumptions'!$C$16)*'Assumptions'!$C$17+('Assumptions'!$C$19+'Assumptions'!$C$20-'Assumptions'!$C$19*'Assumptions'!$C$22)*'Assumptions'!$C$23+('Assumptions'!$C$25+'Assumptions'!$C$26-'Assumptions'!$C$25*'Assumptions'!$C$28)*'Assumptions'!$C$29))*((1-'Assumptions'!$C$41)*(1-'Assumptions'!$C$43))*((('Assumptions'!$C$55*'Assumptions'!$C$49/MAX(0.35,'Assumptions'!$C$56)+(1-'Assumptions'!$C$55)*'Assumptions'!$C$50))+(('Assumptions'!$C$51*(1-'Assumptions'!$C$35)+'Assumptions'!$C$52*'Assumptions'!$C$35)))+((('Assumptions'!$C$13+'Assumptions'!$C$14-'Assumptions'!$C$13*'Assumptions'!$C$16)*'Assumptions'!$C$17+('Assumptions'!$C$19+'Assumptions'!$C$20-'Assumptions'!$C$19*'Assumptions'!$C$22)*'Assumptions'!$C$23+('Assumptions'!$C$25+'Assumptions'!$C$26-'Assumptions'!$C$25*'Assumptions'!$C$28)*'Assumptions'!$C$29))*'Assumptions'!$C$53+((('Assumptions'!$C$13+'Assumptions'!$C$14-'Assumptions'!$C$13*'Assumptions'!$C$16)*'Assumptions'!$C$17+('Assumptions'!$C$19+'Assumptions'!$C$20-'Assumptions'!$C$19*'Assumptions'!$C$22)*'Assumptions'!$C$23+('Assumptions'!$C$25+'Assumptions'!$C$26-'Assumptions'!$C$25*'Assumptions'!$C$28)*'Assumptions'!$C$29))*'Assumptions'!$C$54)+('Assumptions'!$C$60*'Assumptions'!$C$62))+('Assumptions'!$C$65*'Assumptions'!$C$67+'Assumptions'!$C$70*'Assumptions'!$C$72+'Assumptions'!$C$75*'Assumptions'!$C$77)+((('Assumptions'!$C$14*'Assumptions'!$C$17*((1-'Assumptions'!$C$41*'Assumptions'!$C$42)*(1-'Assumptions'!$C$43))*((('Assumptions'!$C$33*(1-'Assumptions'!$C$35)+'Assumptions'!$C$34*'Assumptions'!$C$35))*(1-'Assumptions'!$C$40)*'Assumptions'!$C$37)+'Assumptions'!$C$14*'Assumptions'!$C$44+'Assumptions'!$C$20*'Assumptions'!$C$23*((1-'Assumptions'!$C$41*'Assumptions'!$C$42)*(1-'Assumptions'!$C$43))*((('Assumptions'!$C$33*(1-'Assumptions'!$C$35)+'Assumptions'!$C$34*'Assumptions'!$C$35))*(1-'Assumptions'!$C$40)*'Assumptions'!$C$38)+'Assumptions'!$C$20*'Assumptions'!$C$45+'Assumptions'!$C$26*'Assumptions'!$C$29*((1-'Assumptions'!$C$41*'Assumptions'!$C$42)*(1-'Assumptions'!$C$43))*((('Assumptions'!$C$33*(1-'Assumptions'!$C$35)+'Assumptions'!$C$34*'Assumptions'!$C$35))*(1-'Assumptions'!$C$40)*'Assumptions'!$C$39)+'Assumptions'!$C$26*'Assumptions'!$C$46))*'Assumptions'!$C$80+(((('Assumptions'!$C$13+'Assumptions'!$C$14-'Assumptions'!$C$13*'Assumptions'!$C$16)*'Assumptions'!$C$17)*((1-'Assumptions'!$C$41*'Assumptions'!$C$42)*(1-'Assumptions'!$C$43))*((('Assumptions'!$C$33*(1-'Assumptions'!$C$35)+'Assumptions'!$C$34*'Assumptions'!$C$35))*(1-'Assumptions'!$C$40)*'Assumptions'!$C$37)+(('Assumptions'!$C$19+'Assumptions'!$C$20-'Assumptions'!$C$19*'Assumptions'!$C$22)*'Assumptions'!$C$23)*((1-'Assumptions'!$C$41*'Assumptions'!$C$42)*(1-'Assumptions'!$C$43))*((('Assumptions'!$C$33*(1-'Assumptions'!$C$35)+'Assumptions'!$C$34*'Assumptions'!$C$35))*(1-'Assumptions'!$C$40)*'Assumptions'!$C$38)+(('Assumptions'!$C$25+'Assumptions'!$C$26-'Assumptions'!$C$25*'Assumptions'!$C$28)*'Assumptions'!$C$29)*((1-'Assumptions'!$C$41*'Assumptions'!$C$42)*(1-'Assumptions'!$C$43))*((('Assumptions'!$C$33*(1-'Assumptions'!$C$35)+'Assumptions'!$C$34*'Assumptions'!$C$35))*(1-'Assumptions'!$C$40)*'Assumptions'!$C$39)))*'Assumptions'!$C$81+((((('Assumptions'!$C$13+'Assumptions'!$C$14-'Assumptions'!$C$13*'Assumptions'!$C$16)*'Assumptions'!$C$17)*((1-'Assumptions'!$C$41*'Assumptions'!$C$42)*(1-'Assumptions'!$C$43))*((('Assumptions'!$C$33*(1-'Assumptions'!$C$35)+'Assumptions'!$C$34*'Assumptions'!$C$35))*(1-'Assumptions'!$C$40)*'Assumptions'!$C$37)+(('Assumptions'!$C$19+'Assumptions'!$C$20-'Assumptions'!$C$19*'Assumptions'!$C$22)*'Assumptions'!$C$23)*((1-'Assumptions'!$C$41*'Assumptions'!$C$42)*(1-'Assumptions'!$C$43))*((('Assumptions'!$C$33*(1-'Assumptions'!$C$35)+'Assumptions'!$C$34*'Assumptions'!$C$35))*(1-'Assumptions'!$C$40)*'Assumptions'!$C$38)+(('Assumptions'!$C$25+'Assumptions'!$C$26-'Assumptions'!$C$25*'Assumptions'!$C$28)*'Assumptions'!$C$29)*((1-'Assumptions'!$C$41*'Assumptions'!$C$42)*(1-'Assumptions'!$C$43))*((('Assumptions'!$C$33*(1-'Assumptions'!$C$35)+'Assumptions'!$C$34*'Assumptions'!$C$35))*(1-'Assumptions'!$C$40)*'Assumptions'!$C$39)))+((('Assumptions'!$C$13+'Assumptions'!$C$14-'Assumptions'!$C$13*'Assumptions'!$C$16)*'Assumptions'!$C$44+('Assumptions'!$C$19+'Assumptions'!$C$20-'Assumptions'!$C$19*'Assumptions'!$C$22)*'Assumptions'!$C$45+('Assumptions'!$C$25+'Assumptions'!$C$26-'Assumptions'!$C$25*'Assumptions'!$C$28)*'Assumptions'!$C$46)))*'Assumptions'!$C$82+'Assumptions'!$C$83+'Assumptions'!$C$84)-((((('Assumptions'!$C$13+'Assumptions'!$C$14-'Assumptions'!$C$13*'Assumptions'!$C$16)*'Assumptions'!$C$17)*((1-'Assumptions'!$C$41*'Assumptions'!$C$42)*(1-'Assumptions'!$C$43))*((('Assumptions'!$C$33*(1-'Assumptions'!$C$35)+'Assumptions'!$C$34*'Assumptions'!$C$35))*(1-'Assumptions'!$C$40)*'Assumptions'!$C$37)+(('Assumptions'!$C$19+'Assumptions'!$C$20-'Assumptions'!$C$19*'Assumptions'!$C$22)*'Assumptions'!$C$23)*((1-'Assumptions'!$C$41*'Assumptions'!$C$42)*(1-'Assumptions'!$C$43))*((('Assumptions'!$C$33*(1-'Assumptions'!$C$35)+'Assumptions'!$C$34*'Assumptions'!$C$35))*(1-'Assumptions'!$C$40)*'Assumptions'!$C$38)+(('Assumptions'!$C$25+'Assumptions'!$C$26-'Assumptions'!$C$25*'Assumptions'!$C$28)*'Assumptions'!$C$29)*((1-'Assumptions'!$C$41*'Assumptions'!$C$42)*(1-'Assumptions'!$C$43))*((('Assumptions'!$C$33*(1-'Assumptions'!$C$35)+'Assumptions'!$C$34*'Assumptions'!$C$35))*(1-'Assumptions'!$C$40)*'Assumptions'!$C$39)))+((('Assumptions'!$C$13+'Assumptions'!$C$14-'Assumptions'!$C$13*'Assumptions'!$C$16)*'Assumptions'!$C$44+('Assumptions'!$C$19+'Assumptions'!$C$20-'Assumptions'!$C$19*'Assumptions'!$C$22)*'Assumptions'!$C$45+('Assumptions'!$C$25+'Assumptions'!$C$26-'Assumptions'!$C$25*'Assumptions'!$C$28)*'Assumptions'!$C$46))))),999)</f>
        <v>0</v>
      </c>
      <c r="D12" s="35">
        <f>IFERROR('Assumptions'!$D$8/MAX(1,MAX(0,((((('Assumptions'!$D$13+'Assumptions'!$D$14-'Assumptions'!$D$13*'Assumptions'!$D$16)*'Assumptions'!$D$17+('Assumptions'!$D$19+'Assumptions'!$D$20-'Assumptions'!$D$19*'Assumptions'!$D$22)*'Assumptions'!$D$23+('Assumptions'!$D$25+'Assumptions'!$D$26-'Assumptions'!$D$25*'Assumptions'!$D$28)*'Assumptions'!$D$29))*((1-'Assumptions'!$D$41)*(1-'Assumptions'!$D$43))*((('Assumptions'!$D$55*'Assumptions'!$D$49/MAX(0.35,'Assumptions'!$D$56)+(1-'Assumptions'!$D$55)*'Assumptions'!$D$50))+(('Assumptions'!$D$51*(1-'Assumptions'!$D$35)+'Assumptions'!$D$52*'Assumptions'!$D$35)))+((('Assumptions'!$D$13+'Assumptions'!$D$14-'Assumptions'!$D$13*'Assumptions'!$D$16)*'Assumptions'!$D$17+('Assumptions'!$D$19+'Assumptions'!$D$20-'Assumptions'!$D$19*'Assumptions'!$D$22)*'Assumptions'!$D$23+('Assumptions'!$D$25+'Assumptions'!$D$26-'Assumptions'!$D$25*'Assumptions'!$D$28)*'Assumptions'!$D$29))*'Assumptions'!$D$53+((('Assumptions'!$D$13+'Assumptions'!$D$14-'Assumptions'!$D$13*'Assumptions'!$D$16)*'Assumptions'!$D$17+('Assumptions'!$D$19+'Assumptions'!$D$20-'Assumptions'!$D$19*'Assumptions'!$D$22)*'Assumptions'!$D$23+('Assumptions'!$D$25+'Assumptions'!$D$26-'Assumptions'!$D$25*'Assumptions'!$D$28)*'Assumptions'!$D$29))*'Assumptions'!$D$54)+('Assumptions'!$D$60*'Assumptions'!$D$62))+('Assumptions'!$D$65*'Assumptions'!$D$67+'Assumptions'!$D$70*'Assumptions'!$D$72+'Assumptions'!$D$75*'Assumptions'!$D$77)+((('Assumptions'!$D$14*'Assumptions'!$D$17*((1-'Assumptions'!$D$41*'Assumptions'!$D$42)*(1-'Assumptions'!$D$43))*((('Assumptions'!$D$33*(1-'Assumptions'!$D$35)+'Assumptions'!$D$34*'Assumptions'!$D$35))*(1-'Assumptions'!$D$40)*'Assumptions'!$D$37)+'Assumptions'!$D$14*'Assumptions'!$D$44+'Assumptions'!$D$20*'Assumptions'!$D$23*((1-'Assumptions'!$D$41*'Assumptions'!$D$42)*(1-'Assumptions'!$D$43))*((('Assumptions'!$D$33*(1-'Assumptions'!$D$35)+'Assumptions'!$D$34*'Assumptions'!$D$35))*(1-'Assumptions'!$D$40)*'Assumptions'!$D$38)+'Assumptions'!$D$20*'Assumptions'!$D$45+'Assumptions'!$D$26*'Assumptions'!$D$29*((1-'Assumptions'!$D$41*'Assumptions'!$D$42)*(1-'Assumptions'!$D$43))*((('Assumptions'!$D$33*(1-'Assumptions'!$D$35)+'Assumptions'!$D$34*'Assumptions'!$D$35))*(1-'Assumptions'!$D$40)*'Assumptions'!$D$39)+'Assumptions'!$D$26*'Assumptions'!$D$46))*'Assumptions'!$D$80+(((('Assumptions'!$D$13+'Assumptions'!$D$14-'Assumptions'!$D$13*'Assumptions'!$D$16)*'Assumptions'!$D$17)*((1-'Assumptions'!$D$41*'Assumptions'!$D$42)*(1-'Assumptions'!$D$43))*((('Assumptions'!$D$33*(1-'Assumptions'!$D$35)+'Assumptions'!$D$34*'Assumptions'!$D$35))*(1-'Assumptions'!$D$40)*'Assumptions'!$D$37)+(('Assumptions'!$D$19+'Assumptions'!$D$20-'Assumptions'!$D$19*'Assumptions'!$D$22)*'Assumptions'!$D$23)*((1-'Assumptions'!$D$41*'Assumptions'!$D$42)*(1-'Assumptions'!$D$43))*((('Assumptions'!$D$33*(1-'Assumptions'!$D$35)+'Assumptions'!$D$34*'Assumptions'!$D$35))*(1-'Assumptions'!$D$40)*'Assumptions'!$D$38)+(('Assumptions'!$D$25+'Assumptions'!$D$26-'Assumptions'!$D$25*'Assumptions'!$D$28)*'Assumptions'!$D$29)*((1-'Assumptions'!$D$41*'Assumptions'!$D$42)*(1-'Assumptions'!$D$43))*((('Assumptions'!$D$33*(1-'Assumptions'!$D$35)+'Assumptions'!$D$34*'Assumptions'!$D$35))*(1-'Assumptions'!$D$40)*'Assumptions'!$D$39)))*'Assumptions'!$D$81+((((('Assumptions'!$D$13+'Assumptions'!$D$14-'Assumptions'!$D$13*'Assumptions'!$D$16)*'Assumptions'!$D$17)*((1-'Assumptions'!$D$41*'Assumptions'!$D$42)*(1-'Assumptions'!$D$43))*((('Assumptions'!$D$33*(1-'Assumptions'!$D$35)+'Assumptions'!$D$34*'Assumptions'!$D$35))*(1-'Assumptions'!$D$40)*'Assumptions'!$D$37)+(('Assumptions'!$D$19+'Assumptions'!$D$20-'Assumptions'!$D$19*'Assumptions'!$D$22)*'Assumptions'!$D$23)*((1-'Assumptions'!$D$41*'Assumptions'!$D$42)*(1-'Assumptions'!$D$43))*((('Assumptions'!$D$33*(1-'Assumptions'!$D$35)+'Assumptions'!$D$34*'Assumptions'!$D$35))*(1-'Assumptions'!$D$40)*'Assumptions'!$D$38)+(('Assumptions'!$D$25+'Assumptions'!$D$26-'Assumptions'!$D$25*'Assumptions'!$D$28)*'Assumptions'!$D$29)*((1-'Assumptions'!$D$41*'Assumptions'!$D$42)*(1-'Assumptions'!$D$43))*((('Assumptions'!$D$33*(1-'Assumptions'!$D$35)+'Assumptions'!$D$34*'Assumptions'!$D$35))*(1-'Assumptions'!$D$40)*'Assumptions'!$D$39)))+((('Assumptions'!$D$13+'Assumptions'!$D$14-'Assumptions'!$D$13*'Assumptions'!$D$16)*'Assumptions'!$D$44+('Assumptions'!$D$19+'Assumptions'!$D$20-'Assumptions'!$D$19*'Assumptions'!$D$22)*'Assumptions'!$D$45+('Assumptions'!$D$25+'Assumptions'!$D$26-'Assumptions'!$D$25*'Assumptions'!$D$28)*'Assumptions'!$D$46)))*'Assumptions'!$D$82+'Assumptions'!$D$83+'Assumptions'!$D$84)-((((('Assumptions'!$D$13+'Assumptions'!$D$14-'Assumptions'!$D$13*'Assumptions'!$D$16)*'Assumptions'!$D$17)*((1-'Assumptions'!$D$41*'Assumptions'!$D$42)*(1-'Assumptions'!$D$43))*((('Assumptions'!$D$33*(1-'Assumptions'!$D$35)+'Assumptions'!$D$34*'Assumptions'!$D$35))*(1-'Assumptions'!$D$40)*'Assumptions'!$D$37)+(('Assumptions'!$D$19+'Assumptions'!$D$20-'Assumptions'!$D$19*'Assumptions'!$D$22)*'Assumptions'!$D$23)*((1-'Assumptions'!$D$41*'Assumptions'!$D$42)*(1-'Assumptions'!$D$43))*((('Assumptions'!$D$33*(1-'Assumptions'!$D$35)+'Assumptions'!$D$34*'Assumptions'!$D$35))*(1-'Assumptions'!$D$40)*'Assumptions'!$D$38)+(('Assumptions'!$D$25+'Assumptions'!$D$26-'Assumptions'!$D$25*'Assumptions'!$D$28)*'Assumptions'!$D$29)*((1-'Assumptions'!$D$41*'Assumptions'!$D$42)*(1-'Assumptions'!$D$43))*((('Assumptions'!$D$33*(1-'Assumptions'!$D$35)+'Assumptions'!$D$34*'Assumptions'!$D$35))*(1-'Assumptions'!$D$40)*'Assumptions'!$D$39)))+((('Assumptions'!$D$13+'Assumptions'!$D$14-'Assumptions'!$D$13*'Assumptions'!$D$16)*'Assumptions'!$D$44+('Assumptions'!$D$19+'Assumptions'!$D$20-'Assumptions'!$D$19*'Assumptions'!$D$22)*'Assumptions'!$D$45+('Assumptions'!$D$25+'Assumptions'!$D$26-'Assumptions'!$D$25*'Assumptions'!$D$28)*'Assumptions'!$D$46))))),999)</f>
        <v>0</v>
      </c>
      <c r="E12" s="35">
        <f>IFERROR('Assumptions'!$E$8/MAX(1,MAX(0,((((('Assumptions'!$E$13+'Assumptions'!$E$14-'Assumptions'!$E$13*'Assumptions'!$E$16)*'Assumptions'!$E$17+('Assumptions'!$E$19+'Assumptions'!$E$20-'Assumptions'!$E$19*'Assumptions'!$E$22)*'Assumptions'!$E$23+('Assumptions'!$E$25+'Assumptions'!$E$26-'Assumptions'!$E$25*'Assumptions'!$E$28)*'Assumptions'!$E$29))*((1-'Assumptions'!$E$41)*(1-'Assumptions'!$E$43))*((('Assumptions'!$E$55*'Assumptions'!$E$49/MAX(0.35,'Assumptions'!$E$56)+(1-'Assumptions'!$E$55)*'Assumptions'!$E$50))+(('Assumptions'!$E$51*(1-'Assumptions'!$E$35)+'Assumptions'!$E$52*'Assumptions'!$E$35)))+((('Assumptions'!$E$13+'Assumptions'!$E$14-'Assumptions'!$E$13*'Assumptions'!$E$16)*'Assumptions'!$E$17+('Assumptions'!$E$19+'Assumptions'!$E$20-'Assumptions'!$E$19*'Assumptions'!$E$22)*'Assumptions'!$E$23+('Assumptions'!$E$25+'Assumptions'!$E$26-'Assumptions'!$E$25*'Assumptions'!$E$28)*'Assumptions'!$E$29))*'Assumptions'!$E$53+((('Assumptions'!$E$13+'Assumptions'!$E$14-'Assumptions'!$E$13*'Assumptions'!$E$16)*'Assumptions'!$E$17+('Assumptions'!$E$19+'Assumptions'!$E$20-'Assumptions'!$E$19*'Assumptions'!$E$22)*'Assumptions'!$E$23+('Assumptions'!$E$25+'Assumptions'!$E$26-'Assumptions'!$E$25*'Assumptions'!$E$28)*'Assumptions'!$E$29))*'Assumptions'!$E$54)+('Assumptions'!$E$60*'Assumptions'!$E$62))+('Assumptions'!$E$65*'Assumptions'!$E$67+'Assumptions'!$E$70*'Assumptions'!$E$72+'Assumptions'!$E$75*'Assumptions'!$E$77)+((('Assumptions'!$E$14*'Assumptions'!$E$17*((1-'Assumptions'!$E$41*'Assumptions'!$E$42)*(1-'Assumptions'!$E$43))*((('Assumptions'!$E$33*(1-'Assumptions'!$E$35)+'Assumptions'!$E$34*'Assumptions'!$E$35))*(1-'Assumptions'!$E$40)*'Assumptions'!$E$37)+'Assumptions'!$E$14*'Assumptions'!$E$44+'Assumptions'!$E$20*'Assumptions'!$E$23*((1-'Assumptions'!$E$41*'Assumptions'!$E$42)*(1-'Assumptions'!$E$43))*((('Assumptions'!$E$33*(1-'Assumptions'!$E$35)+'Assumptions'!$E$34*'Assumptions'!$E$35))*(1-'Assumptions'!$E$40)*'Assumptions'!$E$38)+'Assumptions'!$E$20*'Assumptions'!$E$45+'Assumptions'!$E$26*'Assumptions'!$E$29*((1-'Assumptions'!$E$41*'Assumptions'!$E$42)*(1-'Assumptions'!$E$43))*((('Assumptions'!$E$33*(1-'Assumptions'!$E$35)+'Assumptions'!$E$34*'Assumptions'!$E$35))*(1-'Assumptions'!$E$40)*'Assumptions'!$E$39)+'Assumptions'!$E$26*'Assumptions'!$E$46))*'Assumptions'!$E$80+(((('Assumptions'!$E$13+'Assumptions'!$E$14-'Assumptions'!$E$13*'Assumptions'!$E$16)*'Assumptions'!$E$17)*((1-'Assumptions'!$E$41*'Assumptions'!$E$42)*(1-'Assumptions'!$E$43))*((('Assumptions'!$E$33*(1-'Assumptions'!$E$35)+'Assumptions'!$E$34*'Assumptions'!$E$35))*(1-'Assumptions'!$E$40)*'Assumptions'!$E$37)+(('Assumptions'!$E$19+'Assumptions'!$E$20-'Assumptions'!$E$19*'Assumptions'!$E$22)*'Assumptions'!$E$23)*((1-'Assumptions'!$E$41*'Assumptions'!$E$42)*(1-'Assumptions'!$E$43))*((('Assumptions'!$E$33*(1-'Assumptions'!$E$35)+'Assumptions'!$E$34*'Assumptions'!$E$35))*(1-'Assumptions'!$E$40)*'Assumptions'!$E$38)+(('Assumptions'!$E$25+'Assumptions'!$E$26-'Assumptions'!$E$25*'Assumptions'!$E$28)*'Assumptions'!$E$29)*((1-'Assumptions'!$E$41*'Assumptions'!$E$42)*(1-'Assumptions'!$E$43))*((('Assumptions'!$E$33*(1-'Assumptions'!$E$35)+'Assumptions'!$E$34*'Assumptions'!$E$35))*(1-'Assumptions'!$E$40)*'Assumptions'!$E$39)))*'Assumptions'!$E$81+((((('Assumptions'!$E$13+'Assumptions'!$E$14-'Assumptions'!$E$13*'Assumptions'!$E$16)*'Assumptions'!$E$17)*((1-'Assumptions'!$E$41*'Assumptions'!$E$42)*(1-'Assumptions'!$E$43))*((('Assumptions'!$E$33*(1-'Assumptions'!$E$35)+'Assumptions'!$E$34*'Assumptions'!$E$35))*(1-'Assumptions'!$E$40)*'Assumptions'!$E$37)+(('Assumptions'!$E$19+'Assumptions'!$E$20-'Assumptions'!$E$19*'Assumptions'!$E$22)*'Assumptions'!$E$23)*((1-'Assumptions'!$E$41*'Assumptions'!$E$42)*(1-'Assumptions'!$E$43))*((('Assumptions'!$E$33*(1-'Assumptions'!$E$35)+'Assumptions'!$E$34*'Assumptions'!$E$35))*(1-'Assumptions'!$E$40)*'Assumptions'!$E$38)+(('Assumptions'!$E$25+'Assumptions'!$E$26-'Assumptions'!$E$25*'Assumptions'!$E$28)*'Assumptions'!$E$29)*((1-'Assumptions'!$E$41*'Assumptions'!$E$42)*(1-'Assumptions'!$E$43))*((('Assumptions'!$E$33*(1-'Assumptions'!$E$35)+'Assumptions'!$E$34*'Assumptions'!$E$35))*(1-'Assumptions'!$E$40)*'Assumptions'!$E$39)))+((('Assumptions'!$E$13+'Assumptions'!$E$14-'Assumptions'!$E$13*'Assumptions'!$E$16)*'Assumptions'!$E$44+('Assumptions'!$E$19+'Assumptions'!$E$20-'Assumptions'!$E$19*'Assumptions'!$E$22)*'Assumptions'!$E$45+('Assumptions'!$E$25+'Assumptions'!$E$26-'Assumptions'!$E$25*'Assumptions'!$E$28)*'Assumptions'!$E$46)))*'Assumptions'!$E$82+'Assumptions'!$E$83+'Assumptions'!$E$84)-((((('Assumptions'!$E$13+'Assumptions'!$E$14-'Assumptions'!$E$13*'Assumptions'!$E$16)*'Assumptions'!$E$17)*((1-'Assumptions'!$E$41*'Assumptions'!$E$42)*(1-'Assumptions'!$E$43))*((('Assumptions'!$E$33*(1-'Assumptions'!$E$35)+'Assumptions'!$E$34*'Assumptions'!$E$35))*(1-'Assumptions'!$E$40)*'Assumptions'!$E$37)+(('Assumptions'!$E$19+'Assumptions'!$E$20-'Assumptions'!$E$19*'Assumptions'!$E$22)*'Assumptions'!$E$23)*((1-'Assumptions'!$E$41*'Assumptions'!$E$42)*(1-'Assumptions'!$E$43))*((('Assumptions'!$E$33*(1-'Assumptions'!$E$35)+'Assumptions'!$E$34*'Assumptions'!$E$35))*(1-'Assumptions'!$E$40)*'Assumptions'!$E$38)+(('Assumptions'!$E$25+'Assumptions'!$E$26-'Assumptions'!$E$25*'Assumptions'!$E$28)*'Assumptions'!$E$29)*((1-'Assumptions'!$E$41*'Assumptions'!$E$42)*(1-'Assumptions'!$E$43))*((('Assumptions'!$E$33*(1-'Assumptions'!$E$35)+'Assumptions'!$E$34*'Assumptions'!$E$35))*(1-'Assumptions'!$E$40)*'Assumptions'!$E$39)))+((('Assumptions'!$E$13+'Assumptions'!$E$14-'Assumptions'!$E$13*'Assumptions'!$E$16)*'Assumptions'!$E$44+('Assumptions'!$E$19+'Assumptions'!$E$20-'Assumptions'!$E$19*'Assumptions'!$E$22)*'Assumptions'!$E$45+('Assumptions'!$E$25+'Assumptions'!$E$26-'Assumptions'!$E$25*'Assumptions'!$E$28)*'Assumptions'!$E$46))))),999)</f>
        <v>0</v>
      </c>
      <c r="F12" s="35">
        <f>'Cash &amp; Runway'!AL11</f>
        <v>0</v>
      </c>
    </row>
    <row r="14" spans="1:6">
      <c r="A14" s="14" t="s">
        <v>474</v>
      </c>
      <c r="B14" s="14"/>
      <c r="C14" s="14"/>
      <c r="D14" s="14"/>
      <c r="E14" s="14"/>
      <c r="F14" s="14"/>
    </row>
    <row r="15" spans="1:6">
      <c r="A15" s="37" t="s">
        <v>475</v>
      </c>
      <c r="C15" s="37">
        <f>IF(ISNUMBER(MATCH('Assumptions'!$C$4,{"Base","Upside","Downside"},0)),"OK","INVALID")</f>
        <v>0</v>
      </c>
    </row>
  </sheetData>
  <mergeCells count="3">
    <mergeCell ref="A1:F1"/>
    <mergeCell ref="A2:F2"/>
    <mergeCell ref="A14:F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6"/>
  <sheetViews>
    <sheetView showGridLines="0" zoomScale="110" zoomScaleNormal="110" workbookViewId="0">
      <pane ySplit="3" topLeftCell="A4" activePane="bottomLeft" state="frozen"/>
      <selection pane="bottomLeft"/>
    </sheetView>
  </sheetViews>
  <sheetFormatPr defaultRowHeight="15"/>
  <cols>
    <col min="1" max="19" width="9.7109375" customWidth="1"/>
  </cols>
  <sheetData>
    <row r="1" spans="1:19" ht="22" customHeight="1">
      <c r="A1" s="1" t="s">
        <v>476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6" customHeight="1">
      <c r="A2" s="2" t="s">
        <v>477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1:19" ht="20" customHeight="1">
      <c r="A4" s="38" t="s">
        <v>478</v>
      </c>
      <c r="B4" s="38"/>
      <c r="C4" s="38"/>
      <c r="D4" s="38" t="s">
        <v>479</v>
      </c>
      <c r="E4" s="38"/>
      <c r="F4" s="38"/>
      <c r="G4" s="38" t="s">
        <v>480</v>
      </c>
      <c r="H4" s="38"/>
      <c r="I4" s="38"/>
      <c r="J4" s="38" t="s">
        <v>481</v>
      </c>
      <c r="K4" s="38"/>
      <c r="L4" s="38"/>
      <c r="M4" s="38" t="s">
        <v>482</v>
      </c>
      <c r="N4" s="38"/>
      <c r="O4" s="38"/>
      <c r="P4" s="38" t="s">
        <v>325</v>
      </c>
      <c r="Q4" s="38"/>
      <c r="R4" s="38"/>
    </row>
    <row r="5" spans="1:19">
      <c r="A5" s="39">
        <f>'Revenue'!AL60</f>
        <v>0</v>
      </c>
      <c r="B5" s="39"/>
      <c r="C5" s="39"/>
      <c r="D5" s="39">
        <f>'Revenue'!AL56</f>
        <v>0</v>
      </c>
      <c r="E5" s="39"/>
      <c r="F5" s="39"/>
      <c r="G5" s="40">
        <f>'COGS &amp; GM'!AL25</f>
        <v>0</v>
      </c>
      <c r="H5" s="40"/>
      <c r="I5" s="40"/>
      <c r="J5" s="40">
        <f>'COGS &amp; GM'!AL11</f>
        <v>0</v>
      </c>
      <c r="K5" s="40"/>
      <c r="L5" s="40"/>
      <c r="M5" s="39">
        <f>'Cash &amp; Runway'!AL8</f>
        <v>0</v>
      </c>
      <c r="N5" s="39"/>
      <c r="O5" s="39"/>
      <c r="P5" s="39">
        <f>'Cash &amp; Runway'!AL11</f>
        <v>0</v>
      </c>
      <c r="Q5" s="39"/>
      <c r="R5" s="39"/>
    </row>
    <row r="6" spans="1:19">
      <c r="A6" s="39"/>
      <c r="B6" s="39"/>
      <c r="C6" s="39"/>
      <c r="D6" s="39"/>
      <c r="E6" s="39"/>
      <c r="F6" s="39"/>
      <c r="G6" s="40"/>
      <c r="H6" s="40"/>
      <c r="I6" s="40"/>
      <c r="J6" s="40"/>
      <c r="K6" s="40"/>
      <c r="L6" s="40"/>
      <c r="M6" s="39"/>
      <c r="N6" s="39"/>
      <c r="O6" s="39"/>
      <c r="P6" s="39"/>
      <c r="Q6" s="39"/>
      <c r="R6" s="39"/>
    </row>
  </sheetData>
  <mergeCells count="14">
    <mergeCell ref="A1:S1"/>
    <mergeCell ref="A2:S2"/>
    <mergeCell ref="A4:C4"/>
    <mergeCell ref="A5:C6"/>
    <mergeCell ref="D4:F4"/>
    <mergeCell ref="D5:F6"/>
    <mergeCell ref="G4:I4"/>
    <mergeCell ref="G5:I6"/>
    <mergeCell ref="J4:L4"/>
    <mergeCell ref="J5:L6"/>
    <mergeCell ref="M4:O4"/>
    <mergeCell ref="M5:O6"/>
    <mergeCell ref="P4:R4"/>
    <mergeCell ref="P5:R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2"/>
  <sheetViews>
    <sheetView showGridLines="0" zoomScale="110" zoomScaleNormal="110" workbookViewId="0">
      <pane ySplit="4" topLeftCell="A5" activePane="bottomLeft" state="frozen"/>
      <selection pane="bottomLeft"/>
    </sheetView>
  </sheetViews>
  <sheetFormatPr defaultRowHeight="15"/>
  <cols>
    <col min="1" max="1" width="34.7109375" customWidth="1"/>
    <col min="2" max="2" width="52.7109375" customWidth="1"/>
    <col min="3" max="3" width="16.7109375" customWidth="1"/>
    <col min="4" max="4" width="14.7109375" customWidth="1"/>
  </cols>
  <sheetData>
    <row r="1" spans="1:4" ht="22" customHeight="1">
      <c r="A1" s="1" t="s">
        <v>483</v>
      </c>
      <c r="B1" s="1"/>
      <c r="C1" s="1"/>
      <c r="D1" s="1"/>
    </row>
    <row r="2" spans="1:4" ht="16" customHeight="1">
      <c r="A2" s="2" t="s">
        <v>484</v>
      </c>
      <c r="B2" s="2"/>
      <c r="C2" s="2"/>
      <c r="D2" s="2"/>
    </row>
    <row r="4" spans="1:4">
      <c r="A4" s="17" t="s">
        <v>485</v>
      </c>
      <c r="B4" s="17" t="s">
        <v>486</v>
      </c>
      <c r="C4" s="17" t="s">
        <v>487</v>
      </c>
      <c r="D4" s="17" t="s">
        <v>488</v>
      </c>
    </row>
    <row r="5" spans="1:4">
      <c r="A5" s="36" t="s">
        <v>489</v>
      </c>
      <c r="B5" s="21" t="s">
        <v>490</v>
      </c>
      <c r="C5" s="41">
        <f t="array" ref="C5">MAX(ABS('Balance Sheet'!C26:AL26))</f>
        <v>0</v>
      </c>
      <c r="D5" s="37">
        <f t="array" ref="D5">IF(MAX(ABS('Balance Sheet'!C26:AL26))&lt;1.0,"PASS","FAIL")</f>
        <v>0</v>
      </c>
    </row>
    <row r="6" spans="1:4">
      <c r="A6" s="36" t="s">
        <v>491</v>
      </c>
      <c r="B6" s="21" t="s">
        <v>492</v>
      </c>
      <c r="C6" s="41">
        <f t="array" ref="C6">MAX(ABS('Balance Sheet'!C8:AL8-'Cash Flow'!C28:AL28))</f>
        <v>0</v>
      </c>
      <c r="D6" s="37">
        <f t="array" ref="D6">IF(MAX(ABS('Balance Sheet'!C8:AL8-'Cash Flow'!C28:AL28))&lt;1.0,"PASS","FAIL")</f>
        <v>0</v>
      </c>
    </row>
    <row r="7" spans="1:4">
      <c r="A7" s="36" t="s">
        <v>493</v>
      </c>
      <c r="B7" s="21" t="s">
        <v>494</v>
      </c>
      <c r="C7" s="41">
        <f t="array" ref="C7">MAX(ABS('Balance Sheet'!D22:AL22-'Balance Sheet'!C22:AK22-'P&amp;L'!D24:AL24))</f>
        <v>0</v>
      </c>
      <c r="D7" s="37">
        <f t="array" ref="D7">IF(MAX(ABS('Balance Sheet'!D22:AL22-'Balance Sheet'!C22:AK22-'P&amp;L'!D24:AL24))&lt;1.0,"PASS","FAIL")</f>
        <v>0</v>
      </c>
    </row>
    <row r="8" spans="1:4">
      <c r="A8" s="36" t="s">
        <v>495</v>
      </c>
      <c r="B8" s="21" t="s">
        <v>496</v>
      </c>
      <c r="C8" s="41">
        <f t="array" ref="C8">MAX(MAX(ABS(('P&amp;L'!C7:AL7-'P&amp;L'!C8:AL8)-'P&amp;L'!C9:AL9)),MAX(ABS(('P&amp;L'!C9:AL9-'P&amp;L'!C16:AL16)-'P&amp;L'!C18:AL18)),MAX(ABS(('P&amp;L'!C18:AL18-'P&amp;L'!C19:AL19)-'P&amp;L'!C20:AL20)),MAX(ABS(('P&amp;L'!C20:AL20-'P&amp;L'!C21:AL21)-'P&amp;L'!C22:AL22)),MAX(ABS(('P&amp;L'!C22:AL22-'P&amp;L'!C23:AL23)-'P&amp;L'!C24:AL24)))</f>
        <v>0</v>
      </c>
      <c r="D8" s="37">
        <f t="array" ref="D8">IF(MAX(MAX(ABS(('P&amp;L'!C7:AL7-'P&amp;L'!C8:AL8)-'P&amp;L'!C9:AL9)),MAX(ABS(('P&amp;L'!C9:AL9-'P&amp;L'!C16:AL16)-'P&amp;L'!C18:AL18)),MAX(ABS(('P&amp;L'!C18:AL18-'P&amp;L'!C19:AL19)-'P&amp;L'!C20:AL20)),MAX(ABS(('P&amp;L'!C20:AL20-'P&amp;L'!C21:AL21)-'P&amp;L'!C22:AL22)),MAX(ABS(('P&amp;L'!C22:AL22-'P&amp;L'!C23:AL23)-'P&amp;L'!C24:AL24)))&lt;1.0,"PASS","FAIL")</f>
        <v>0</v>
      </c>
    </row>
    <row r="9" spans="1:4">
      <c r="A9" s="36" t="s">
        <v>497</v>
      </c>
      <c r="B9" s="21" t="s">
        <v>498</v>
      </c>
      <c r="C9" s="41">
        <f t="array" ref="C9">IF('Scenarios'!C15="OK",1,0)</f>
        <v>0</v>
      </c>
      <c r="D9" s="37">
        <f t="array" ref="D9">IF('Scenarios'!C15="OK","PASS","FAIL")</f>
        <v>0</v>
      </c>
    </row>
    <row r="10" spans="1:4">
      <c r="A10" s="36" t="s">
        <v>499</v>
      </c>
      <c r="B10" s="21" t="s">
        <v>500</v>
      </c>
      <c r="C10" s="20">
        <f t="array" ref="C10">SUMPRODUCT(--ISERROR('Headcount'!C5:BC260))+SUMPRODUCT(--ISERROR('Revenue'!C5:BC260))+SUMPRODUCT(--ISERROR('COGS &amp; GM'!C5:BC260))+SUMPRODUCT(--ISERROR('Opex'!C5:BC260))+SUMPRODUCT(--ISERROR('Working Capital'!C5:BC260))+SUMPRODUCT(--ISERROR('P&amp;L'!C5:BC260))+SUMPRODUCT(--ISERROR('Balance Sheet'!C5:BC260))+SUMPRODUCT(--ISERROR('Cash Flow'!C5:BC260))+SUMPRODUCT(--ISERROR('Cash &amp; Runway'!C5:BC260))</f>
        <v>0</v>
      </c>
      <c r="D10" s="37">
        <f t="array" ref="D10">IF((SUMPRODUCT(--ISERROR('Headcount'!C5:BC260))+SUMPRODUCT(--ISERROR('Revenue'!C5:BC260))+SUMPRODUCT(--ISERROR('COGS &amp; GM'!C5:BC260))+SUMPRODUCT(--ISERROR('Opex'!C5:BC260))+SUMPRODUCT(--ISERROR('Working Capital'!C5:BC260))+SUMPRODUCT(--ISERROR('P&amp;L'!C5:BC260))+SUMPRODUCT(--ISERROR('Balance Sheet'!C5:BC260))+SUMPRODUCT(--ISERROR('Cash Flow'!C5:BC260))+SUMPRODUCT(--ISERROR('Cash &amp; Runway'!C5:BC260)))=0,"PASS","FAIL")</f>
        <v>0</v>
      </c>
    </row>
    <row r="12" spans="1:4">
      <c r="A12" s="33" t="s">
        <v>501</v>
      </c>
      <c r="B12" s="33" t="s">
        <v>502</v>
      </c>
      <c r="C12" s="33"/>
      <c r="D12" s="33">
        <f>IF(AND(D5="PASS",D6="PASS",D7="PASS",D8="PASS",D9="PASS",D10="PASS"),"ALL PASS","REVIEW NEEDED")</f>
        <v>0</v>
      </c>
    </row>
  </sheetData>
  <mergeCells count="3">
    <mergeCell ref="A1:D1"/>
    <mergeCell ref="A2:D2"/>
    <mergeCell ref="B12:C12"/>
  </mergeCells>
  <conditionalFormatting sqref="D10">
    <cfRule type="cellIs" dxfId="0" priority="11" operator="equal">
      <formula>"PASS"</formula>
    </cfRule>
    <cfRule type="cellIs" dxfId="1" priority="12" operator="equal">
      <formula>"FAIL"</formula>
    </cfRule>
  </conditionalFormatting>
  <conditionalFormatting sqref="D12">
    <cfRule type="cellIs" dxfId="0" priority="13" operator="equal">
      <formula>"ALL PASS"</formula>
    </cfRule>
    <cfRule type="cellIs" dxfId="1" priority="14" operator="equal">
      <formula>"REVIEW NEEDED"</formula>
    </cfRule>
  </conditionalFormatting>
  <conditionalFormatting sqref="D5">
    <cfRule type="cellIs" dxfId="0" priority="1" operator="equal">
      <formula>"PASS"</formula>
    </cfRule>
    <cfRule type="cellIs" dxfId="1" priority="2" operator="equal">
      <formula>"FAIL"</formula>
    </cfRule>
  </conditionalFormatting>
  <conditionalFormatting sqref="D6">
    <cfRule type="cellIs" dxfId="0" priority="3" operator="equal">
      <formula>"PASS"</formula>
    </cfRule>
    <cfRule type="cellIs" dxfId="1" priority="4" operator="equal">
      <formula>"FAIL"</formula>
    </cfRule>
  </conditionalFormatting>
  <conditionalFormatting sqref="D7">
    <cfRule type="cellIs" dxfId="0" priority="5" operator="equal">
      <formula>"PASS"</formula>
    </cfRule>
    <cfRule type="cellIs" dxfId="1" priority="6" operator="equal">
      <formula>"FAIL"</formula>
    </cfRule>
  </conditionalFormatting>
  <conditionalFormatting sqref="D8">
    <cfRule type="cellIs" dxfId="0" priority="7" operator="equal">
      <formula>"PASS"</formula>
    </cfRule>
    <cfRule type="cellIs" dxfId="1" priority="8" operator="equal">
      <formula>"FAIL"</formula>
    </cfRule>
  </conditionalFormatting>
  <conditionalFormatting sqref="D9">
    <cfRule type="cellIs" dxfId="0" priority="9" operator="equal">
      <formula>"PASS"</formula>
    </cfRule>
    <cfRule type="cellIs" dxfId="1" priority="10" operator="equal">
      <formula>"FAIL"</formula>
    </cfRule>
  </conditionalFormatting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9</vt:i4>
      </vt:variant>
    </vt:vector>
  </HeadingPairs>
  <TitlesOfParts>
    <vt:vector size="23" baseType="lpstr">
      <vt:lpstr>Read Me</vt:lpstr>
      <vt:lpstr>Assumptions</vt:lpstr>
      <vt:lpstr>Headcount</vt:lpstr>
      <vt:lpstr>Revenue</vt:lpstr>
      <vt:lpstr>COGS &amp; GM</vt:lpstr>
      <vt:lpstr>Opex</vt:lpstr>
      <vt:lpstr>Working Capital</vt:lpstr>
      <vt:lpstr>P&amp;L</vt:lpstr>
      <vt:lpstr>Cash Flow</vt:lpstr>
      <vt:lpstr>Balance Sheet</vt:lpstr>
      <vt:lpstr>Cash &amp; Runway</vt:lpstr>
      <vt:lpstr>Scenarios</vt:lpstr>
      <vt:lpstr>Visuals</vt:lpstr>
      <vt:lpstr>Checks</vt:lpstr>
      <vt:lpstr>'Balance Sheet'!Print_Titles</vt:lpstr>
      <vt:lpstr>'Cash &amp; Runway'!Print_Titles</vt:lpstr>
      <vt:lpstr>'Cash Flow'!Print_Titles</vt:lpstr>
      <vt:lpstr>'COGS &amp; GM'!Print_Titles</vt:lpstr>
      <vt:lpstr>Headcount!Print_Titles</vt:lpstr>
      <vt:lpstr>Opex!Print_Titles</vt:lpstr>
      <vt:lpstr>'P&amp;L'!Print_Titles</vt:lpstr>
      <vt:lpstr>Revenue!Print_Titles</vt:lpstr>
      <vt:lpstr>'Working Capital'!Print_Titles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2026-09-03T02:40:04Z</dcterms:created>
  <dcterms:modified xsi:type="dcterms:W3CDTF">2026-09-03T02:40:04Z</dcterms:modified>
</cp:coreProperties>
</file>