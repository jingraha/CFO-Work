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33000" windowHeight="18000"/>
  </bookViews>
  <sheets>
    <sheet name="Read Me" sheetId="1" r:id="rId1"/>
    <sheet name="Assumptions" sheetId="2" r:id="rId2"/>
    <sheet name="Headcount" sheetId="3" r:id="rId3"/>
    <sheet name="Revenue" sheetId="4" r:id="rId4"/>
    <sheet name="COGS &amp; GM" sheetId="5" r:id="rId5"/>
    <sheet name="Opex" sheetId="6" r:id="rId6"/>
    <sheet name="Working Capital" sheetId="7" r:id="rId7"/>
    <sheet name="P&amp;L" sheetId="8" r:id="rId8"/>
    <sheet name="Cash Flow" sheetId="9" r:id="rId9"/>
    <sheet name="Balance Sheet" sheetId="10" r:id="rId10"/>
    <sheet name="Cash &amp; Runway" sheetId="11" r:id="rId11"/>
    <sheet name="Scenarios" sheetId="12" r:id="rId12"/>
    <sheet name="Visuals" sheetId="13" r:id="rId13"/>
    <sheet name="Checks" sheetId="14" r:id="rId14"/>
  </sheets>
  <definedNames>
    <definedName name="_xlnm.Print_Titles" localSheetId="9">'Balance Sheet'!$1:$4</definedName>
    <definedName name="_xlnm.Print_Titles" localSheetId="10">'Cash &amp; Runway'!$1:$4</definedName>
    <definedName name="_xlnm.Print_Titles" localSheetId="8">'Cash Flow'!$1:$4</definedName>
    <definedName name="_xlnm.Print_Titles" localSheetId="4">'COGS &amp; GM'!$1:$4</definedName>
    <definedName name="_xlnm.Print_Titles" localSheetId="2">Headcount!$1:$4</definedName>
    <definedName name="_xlnm.Print_Titles" localSheetId="5">Opex!$1:$4</definedName>
    <definedName name="_xlnm.Print_Titles" localSheetId="7">'P&amp;L'!$1:$4</definedName>
    <definedName name="_xlnm.Print_Titles" localSheetId="3">Revenue!$1:$4</definedName>
    <definedName name="_xlnm.Print_Titles" localSheetId="6">'Working Capital'!$1:$4</definedName>
  </definedNames>
  <calcPr calcId="124519" fullCalcOnLoad="1"/>
</workbook>
</file>

<file path=xl/sharedStrings.xml><?xml version="1.0" encoding="utf-8"?>
<sst xmlns="http://schemas.openxmlformats.org/spreadsheetml/2006/main" count="669" uniqueCount="440">
  <si>
    <t xml:space="preserve">  AI-Enabled Services — 3-Year Financial Model</t>
  </si>
  <si>
    <t xml:space="preserve">  36-month integrated financial model — Read Me</t>
  </si>
  <si>
    <t>Overview</t>
  </si>
  <si>
    <t>A 36-month, formula-driven financial model for an AI-enabled services company. Start on the Assumptions tab, pick Base/Upside/Downside, and the model flows from sales pipeline to bookings, backlog, recognized revenue, gross margin, cash flow, and runway.</t>
  </si>
  <si>
    <t>How this workbook is organized</t>
  </si>
  <si>
    <t>Assumptions -&gt; Headcount -&gt; Revenue -&gt; COGS &amp; GM -&gt; Opex -&gt; Working Capital -&gt; P&amp;L -&gt; Balance Sheet -&gt; Cash Flow -&gt; Cash &amp; Runway -&gt; Scenarios -&gt; Visuals -&gt; Checks. Data flows strictly left-to-right through that order: change an assumption, and every downstream tab recalculates automatically (workbook calculation mode is Automatic).</t>
  </si>
  <si>
    <t>Formatting legend</t>
  </si>
  <si>
    <t>Blue text on light-blue fill = an input you can edit (Assumptions tab, and scenario selector).</t>
  </si>
  <si>
    <t>Black text on white = a live formula. Do not hard-code over these cells.</t>
  </si>
  <si>
    <t>Cells on a light-gray band = a value linked in from another tab.</t>
  </si>
  <si>
    <t>Color palette</t>
  </si>
  <si>
    <t>Purple  (#7B68EE)</t>
  </si>
  <si>
    <t>Blue  (#49CCF9)</t>
  </si>
  <si>
    <t>Teal  (#79D9B9)</t>
  </si>
  <si>
    <t>Pink  (#FD71AF)</t>
  </si>
  <si>
    <t>Orange  (#FFB08E)</t>
  </si>
  <si>
    <t>Business model</t>
  </si>
  <si>
    <t>This workbook models an AI-enabled professional services business where a sales pipeline converts into signed project bookings, signed work accumulates in backlog, and backlog converts into recognized revenue as delivery teams complete the work. Revenue is constrained both by average project duration and by delivery capacity.</t>
  </si>
  <si>
    <t>Key KPIs</t>
  </si>
  <si>
    <t>Headline operating metrics include new bookings, ending backlog, backlog coverage in months, utilization, realization, revenue per delivery FTE, contribution margin per delivery FTE, project gross margin, burn, and runway. AI productivity uplift is explicitly modeled as an increase in effective delivery capacity.</t>
  </si>
  <si>
    <t>Modeling notes</t>
  </si>
  <si>
    <t>Backlog is the primary signed-but-undelivered work tracker; deferred revenue is kept small and only captures limited cash collected in advance. Delivery management / solutions roles are classified in COGS to reflect direct project support. AI tool/API spend is modeled per delivery FTE rather than as a pure % of revenue so cost-to-serve scales with staffed delivery capacity.</t>
  </si>
  <si>
    <t>Limitations &amp; disclaimer</t>
  </si>
  <si>
    <t>This workbook is a lightweight planning tool built to help you reason about unit economics, burn, and runway. It is NOT accounting, tax, or investment advice, and it is not a substitute for GAAP/IFRS-compliant books, a CPA, or legal/financial counsel. Formulas use simplified, transparent approximations (documented on each tab) rather than full cohort- or lot-level accounting. Validate every assumption against your own data before using this model for fundraising, budgeting, or compliance decisions.</t>
  </si>
  <si>
    <t>Timeline &amp; recalculation</t>
  </si>
  <si>
    <t>36 monthly periods, plus quarterly (12) and annual (3) roll-up columns on each schedule tab. Workbook calculation is set to Automatic — Excel recalculates on every edit. Deterministic, seeded default assumptions are provided so the model is internally consistent out of the box; replace them with your own numbers on the Assumptions tab.</t>
  </si>
  <si>
    <t xml:space="preserve">  AI-Enabled Services — 3-Year Financial Model — Assumptions</t>
  </si>
  <si>
    <t xml:space="preserve">  Plain-language inputs. Edit the Base / Upside / Downside columns only — everything else in this workbook is a formula.</t>
  </si>
  <si>
    <t>Scenario selector:</t>
  </si>
  <si>
    <t>Base</t>
  </si>
  <si>
    <t>&lt;&lt; Pick Base / Upside / Downside. This one cell drives every formula in the model.</t>
  </si>
  <si>
    <t>Assumption</t>
  </si>
  <si>
    <t>Unit</t>
  </si>
  <si>
    <t>Upside</t>
  </si>
  <si>
    <t>Downside</t>
  </si>
  <si>
    <t>Active (used in model)</t>
  </si>
  <si>
    <t>Notes / definition</t>
  </si>
  <si>
    <t xml:space="preserve">  Company &amp; Financial</t>
  </si>
  <si>
    <t>Starting cash balance</t>
  </si>
  <si>
    <t>$</t>
  </si>
  <si>
    <t>Cash on hand at the start of month 1.</t>
  </si>
  <si>
    <t>Starting paid-in capital</t>
  </si>
  <si>
    <t>Cumulative equity funded before the model begins.</t>
  </si>
  <si>
    <t>Income tax rate</t>
  </si>
  <si>
    <t>%</t>
  </si>
  <si>
    <t>Applied only to positive EBT; no NOL carryforward modeled.</t>
  </si>
  <si>
    <t xml:space="preserve">  Pipeline &amp; Bookings</t>
  </si>
  <si>
    <t>Starting signed backlog</t>
  </si>
  <si>
    <t>Contracted work not yet recognized as revenue at the start of month 1.</t>
  </si>
  <si>
    <t>Qualified pipeline opportunities per Sales/BD FTE, month 1</t>
  </si>
  <si>
    <t>#/mo</t>
  </si>
  <si>
    <t>Average proposal-ready projects each sales rep creates in month 1.</t>
  </si>
  <si>
    <t>Pipeline opportunities growth, month over month</t>
  </si>
  <si>
    <t>Improvement in qualified opportunities per sales rep over time from references, content, and partner channels.</t>
  </si>
  <si>
    <t>Proposal win rate</t>
  </si>
  <si>
    <t>Share of qualified opportunities that close into signed projects.</t>
  </si>
  <si>
    <t>Average project contract value, month 1</t>
  </si>
  <si>
    <t>Fixed-fee project value equivalent for a typical implementation or consulting engagement.</t>
  </si>
  <si>
    <t>Average project value growth, month over month</t>
  </si>
  <si>
    <t>Mix/pricing improvement in signed project value over time.</t>
  </si>
  <si>
    <t>Average project duration</t>
  </si>
  <si>
    <t>months</t>
  </si>
  <si>
    <t>Average time over which signed backlog converts into recognized revenue.</t>
  </si>
  <si>
    <t xml:space="preserve">  Delivery &amp; Utilization</t>
  </si>
  <si>
    <t>Standard billable-hours capacity per Delivery FTE</t>
  </si>
  <si>
    <t>hrs/mo</t>
  </si>
  <si>
    <t>Monthly capacity before utilization and AI productivity uplift.</t>
  </si>
  <si>
    <t>Target delivery utilization</t>
  </si>
  <si>
    <t>Share of effective delivery capacity expected to be client-billable.</t>
  </si>
  <si>
    <t>Realization rate</t>
  </si>
  <si>
    <t>Billed/collected rate as a % of standard rate after discounts, write-offs, and scope leakage.</t>
  </si>
  <si>
    <t>Blended billing rate, month 1</t>
  </si>
  <si>
    <t>$/hr</t>
  </si>
  <si>
    <t>Average realized delivery price before realization adjustments.</t>
  </si>
  <si>
    <t>Billing-rate growth, month over month</t>
  </si>
  <si>
    <t>Price/mix improvement in the standard delivery rate.</t>
  </si>
  <si>
    <t>AI productivity uplift</t>
  </si>
  <si>
    <t>AI tooling increases effective delivery capacity without a proportional increase in headcount.</t>
  </si>
  <si>
    <t xml:space="preserve">  COGS &amp; AI Tooling</t>
  </si>
  <si>
    <t>Subcontractor cost, % of revenue</t>
  </si>
  <si>
    <t>External specialists used to flex delivery capacity or cover niche skills.</t>
  </si>
  <si>
    <t>AI tool/API cost per Delivery FTE</t>
  </si>
  <si>
    <t>$/mo</t>
  </si>
  <si>
    <t>Model/API/tooling spend consumed directly in service delivery.</t>
  </si>
  <si>
    <t xml:space="preserve">  Headcount — Delivery (COGS)</t>
  </si>
  <si>
    <t>Starting Delivery/Consulting FTEs</t>
  </si>
  <si>
    <t>#</t>
  </si>
  <si>
    <t>Billable consultants and implementation specialists.</t>
  </si>
  <si>
    <t>Delivery/Consulting net adds per quarter</t>
  </si>
  <si>
    <t>Net hires supporting growth in signed and delivered work.</t>
  </si>
  <si>
    <t>Delivery/Consulting fully-loaded cost per FTE</t>
  </si>
  <si>
    <t>Salary, benefits, payroll tax, and bonus accrual.</t>
  </si>
  <si>
    <t xml:space="preserve">  Headcount — Delivery Management / Solutions (COGS)</t>
  </si>
  <si>
    <t>Starting Delivery Management / Solutions FTEs</t>
  </si>
  <si>
    <t>Classified in COGS because this team is directly tied to project oversight and solution delivery.</t>
  </si>
  <si>
    <t>Delivery Management / Solutions net adds per quarter</t>
  </si>
  <si>
    <t>Staffing added as project volume and delivery complexity increase.</t>
  </si>
  <si>
    <t>Delivery Management / Solutions fully-loaded cost per FTE</t>
  </si>
  <si>
    <t>Higher-cost solution leads / delivery managers.</t>
  </si>
  <si>
    <t xml:space="preserve">  Headcount — Sales / BD (Opex)</t>
  </si>
  <si>
    <t>Starting Sales / BD FTEs</t>
  </si>
  <si>
    <t>Quota-carrying sales and business development reps.</t>
  </si>
  <si>
    <t>Sales / BD net adds per quarter</t>
  </si>
  <si>
    <t>Net rep additions supporting pipeline generation.</t>
  </si>
  <si>
    <t>Sales / BD fully-loaded cost per FTE</t>
  </si>
  <si>
    <t>Base pay, benefits, payroll tax, and bonus accrual before commissions.</t>
  </si>
  <si>
    <t xml:space="preserve">  Headcount — G&amp;A (Opex)</t>
  </si>
  <si>
    <t>Starting G&amp;A FTEs</t>
  </si>
  <si>
    <t>Finance, ops, recruiting, and admin.</t>
  </si>
  <si>
    <t>G&amp;A net adds per quarter</t>
  </si>
  <si>
    <t>Back-office scaling as the services business grows.</t>
  </si>
  <si>
    <t>G&amp;A fully-loaded cost per FTE</t>
  </si>
  <si>
    <t xml:space="preserve">  Sales / Opex</t>
  </si>
  <si>
    <t>Sales commissions, % of new bookings</t>
  </si>
  <si>
    <t>Variable sales compensation paid on signed bookings.</t>
  </si>
  <si>
    <t>Marketing / BD programs, month 1</t>
  </si>
  <si>
    <t>Events, outbound tools, content, and partner development spend.</t>
  </si>
  <si>
    <t>Marketing / BD spend growth, month over month</t>
  </si>
  <si>
    <t>Growth in non-people demand generation and business development spend.</t>
  </si>
  <si>
    <t>Corporate software &amp; tools</t>
  </si>
  <si>
    <t>Back-office software not directly consumed in delivery.</t>
  </si>
  <si>
    <t>Facilities &amp; admin overhead</t>
  </si>
  <si>
    <t>Office, insurance, and other fixed operating overhead.</t>
  </si>
  <si>
    <t xml:space="preserve">  Working Capital &amp; Financing</t>
  </si>
  <si>
    <t>Days Sales Outstanding (AR)</t>
  </si>
  <si>
    <t>days</t>
  </si>
  <si>
    <t>Services businesses typically invoice and collect on net-30/45/60 terms.</t>
  </si>
  <si>
    <t>Days Payable Outstanding (AP)</t>
  </si>
  <si>
    <t>Vendor payment timing.</t>
  </si>
  <si>
    <t>Deferred revenue (months of revenue collected in advance)</t>
  </si>
  <si>
    <t>mo</t>
  </si>
  <si>
    <t>Kept small: backlog on the Revenue tab does the primary signed-work tracking.</t>
  </si>
  <si>
    <t>Capex, % of revenue</t>
  </si>
  <si>
    <t>Laptop refreshes and modest internal tooling capitalization.</t>
  </si>
  <si>
    <t>Useful life of capitalized assets</t>
  </si>
  <si>
    <t>Other current assets, % of revenue</t>
  </si>
  <si>
    <t>Prepaids and other small current asset balances.</t>
  </si>
  <si>
    <t>Debt annual interest rate</t>
  </si>
  <si>
    <t>Debt draw (one-time)</t>
  </si>
  <si>
    <t>Debt monthly repayment</t>
  </si>
  <si>
    <t>Seed extension / bridge raise (month 4)</t>
  </si>
  <si>
    <t>Growth equity raise (month 19)</t>
  </si>
  <si>
    <t>Tip: backlog and delivery-capacity assumptions drive revenue timing more than signed bookings alone.</t>
  </si>
  <si>
    <t xml:space="preserve">  AI-Enabled Services — 3-Year Financial Model — Headcount</t>
  </si>
  <si>
    <t xml:space="preserve">  Fully-loaded FTE ramps by role — flows into COGS or Opex by classification.</t>
  </si>
  <si>
    <t>Monthly (36 months)</t>
  </si>
  <si>
    <t>Quarterly</t>
  </si>
  <si>
    <t>Annual</t>
  </si>
  <si>
    <t>Line item</t>
  </si>
  <si>
    <t>Units / source</t>
  </si>
  <si>
    <t>Q1</t>
  </si>
  <si>
    <t>Q2</t>
  </si>
  <si>
    <t>Q3</t>
  </si>
  <si>
    <t>Q4</t>
  </si>
  <si>
    <t>Q5</t>
  </si>
  <si>
    <t>Q6</t>
  </si>
  <si>
    <t>Q7</t>
  </si>
  <si>
    <t>Q8</t>
  </si>
  <si>
    <t>Q9</t>
  </si>
  <si>
    <t>Q10</t>
  </si>
  <si>
    <t>Q11</t>
  </si>
  <si>
    <t>Q12</t>
  </si>
  <si>
    <t>FY1</t>
  </si>
  <si>
    <t>FY2</t>
  </si>
  <si>
    <t>FY3</t>
  </si>
  <si>
    <t xml:space="preserve">  Cost of Goods Sold headcount (COGS-classified)</t>
  </si>
  <si>
    <t>Delivery / Consulting — headcount (FTE)</t>
  </si>
  <si>
    <t>Delivery · start + net adds/qtr ÷ 3</t>
  </si>
  <si>
    <t>Delivery / Consulting — fully-loaded cost</t>
  </si>
  <si>
    <t>Headcount × monthly fully-loaded cost/FTE</t>
  </si>
  <si>
    <t>Delivery Management / Solutions — headcount (FTE)</t>
  </si>
  <si>
    <t>Delivery Management / Solutions — fully-loaded cost</t>
  </si>
  <si>
    <t xml:space="preserve">  Operating expense headcount (Opex-classified)</t>
  </si>
  <si>
    <t>Sales / Business Development — headcount (FTE)</t>
  </si>
  <si>
    <t>Sales &amp; Marketing · start + net adds/qtr ÷ 3</t>
  </si>
  <si>
    <t>Sales / Business Development — fully-loaded cost</t>
  </si>
  <si>
    <t>General &amp; Administrative — headcount (FTE)</t>
  </si>
  <si>
    <t>General &amp; Administrative · start + net adds/qtr ÷ 3</t>
  </si>
  <si>
    <t>General &amp; Administrative — fully-loaded cost</t>
  </si>
  <si>
    <t xml:space="preserve">  Totals</t>
  </si>
  <si>
    <t>Total headcount (FTE)</t>
  </si>
  <si>
    <t>Sum of all roles</t>
  </si>
  <si>
    <t>Total COGS-classified people cost</t>
  </si>
  <si>
    <t>Feeds COGS &amp; GM tab</t>
  </si>
  <si>
    <t>Total Opex-classified people cost</t>
  </si>
  <si>
    <t>Feeds Opex tab</t>
  </si>
  <si>
    <t xml:space="preserve">  General &amp; Administrative people cost</t>
  </si>
  <si>
    <t xml:space="preserve">  Sales &amp; Marketing people cost</t>
  </si>
  <si>
    <t xml:space="preserve">  AI-Enabled Services — 3-Year Financial Model — Revenue</t>
  </si>
  <si>
    <t xml:space="preserve">  Pipeline -&gt; bookings -&gt; backlog -&gt; revenue recognized as projects are delivered against capacity.</t>
  </si>
  <si>
    <t>Sales / BD FTE</t>
  </si>
  <si>
    <t>Linked from Headcount tab</t>
  </si>
  <si>
    <t>Qualified pipeline opportunities / Sales FTE</t>
  </si>
  <si>
    <t>Starts from month-1 assumption and compounds with go-to-market efficiency gains</t>
  </si>
  <si>
    <t>Qualified pipeline opportunities</t>
  </si>
  <si>
    <t>Sales FTE x qualified opportunities per Sales FTE</t>
  </si>
  <si>
    <t>Active scenario assumption</t>
  </si>
  <si>
    <t>New projects booked</t>
  </si>
  <si>
    <t>Qualified pipeline x win rate</t>
  </si>
  <si>
    <t>Average project contract value</t>
  </si>
  <si>
    <t>Fixed-fee project equivalent; grows with pricing and mix</t>
  </si>
  <si>
    <t>New Bookings</t>
  </si>
  <si>
    <t>New projects booked x average project value</t>
  </si>
  <si>
    <t xml:space="preserve">  Delivery Capacity</t>
  </si>
  <si>
    <t>Delivery / Consulting FTE</t>
  </si>
  <si>
    <t>Standard billable-hours capacity / Delivery FTE</t>
  </si>
  <si>
    <t>Per-FTE monthly capacity before AI uplift and utilization</t>
  </si>
  <si>
    <t>Standard delivery capacity hours</t>
  </si>
  <si>
    <t>Delivery FTE x standard billable-hours capacity</t>
  </si>
  <si>
    <t>AI-assisted hours improve effective delivery capacity</t>
  </si>
  <si>
    <t>Effective capacity hours (post-AI)</t>
  </si>
  <si>
    <t>Standard capacity x (1 + AI productivity uplift)</t>
  </si>
  <si>
    <t>Target utilization</t>
  </si>
  <si>
    <t>Share of effective capacity expected to be client-billable</t>
  </si>
  <si>
    <t>Standard blended billing rate</t>
  </si>
  <si>
    <t>Starting rate grown by monthly price/mix improvement</t>
  </si>
  <si>
    <t>Collected / billed rate versus standard rate</t>
  </si>
  <si>
    <t>Realized billing rate</t>
  </si>
  <si>
    <t>Standard blended rate x realization rate</t>
  </si>
  <si>
    <t>Revenue capacity at target utilization</t>
  </si>
  <si>
    <t>Effective capacity hours x utilization x realized rate</t>
  </si>
  <si>
    <t xml:space="preserve">  Backlog &amp; Revenue Recognition</t>
  </si>
  <si>
    <t>Beginning Backlog</t>
  </si>
  <si>
    <t>Prior month ending backlog; month 1 seeded from assumptions</t>
  </si>
  <si>
    <t>+ New Bookings</t>
  </si>
  <si>
    <t>Linked from Pipeline &amp; Bookings above</t>
  </si>
  <si>
    <t>Backlog available to deliver</t>
  </si>
  <si>
    <t>Beginning backlog + new bookings</t>
  </si>
  <si>
    <t>Revenue recognized at project-duration pace</t>
  </si>
  <si>
    <t>Backlog available / average project duration</t>
  </si>
  <si>
    <t>Revenue recognized at delivery capacity</t>
  </si>
  <si>
    <t>Linked from delivery-capacity calculation above</t>
  </si>
  <si>
    <t>Revenue Recognized</t>
  </si>
  <si>
    <t>The lower of backlog runoff pace and delivery capacity</t>
  </si>
  <si>
    <t>Ending Backlog</t>
  </si>
  <si>
    <t>Backlog available to deliver - revenue recognized</t>
  </si>
  <si>
    <t>Total Revenue</t>
  </si>
  <si>
    <t>Services revenue equals recognized project delivery</t>
  </si>
  <si>
    <t xml:space="preserve">  Service Delivery KPIs</t>
  </si>
  <si>
    <t>Billable hours delivered</t>
  </si>
  <si>
    <t>Revenue recognized / realized billing rate</t>
  </si>
  <si>
    <t>Utilization %</t>
  </si>
  <si>
    <t>Billable hours delivered / effective capacity hours</t>
  </si>
  <si>
    <t>Realization %</t>
  </si>
  <si>
    <t>Realized rate / standard blended billing rate</t>
  </si>
  <si>
    <t>Revenue per Delivery FTE</t>
  </si>
  <si>
    <t>Total revenue / delivery FTE</t>
  </si>
  <si>
    <t>Trailing 3-month avg revenue</t>
  </si>
  <si>
    <t>Used for backlog coverage KPI</t>
  </si>
  <si>
    <t>Backlog coverage (months)</t>
  </si>
  <si>
    <t>Ending backlog / trailing 3-month revenue run-rate</t>
  </si>
  <si>
    <t>Effective capacity / standard capacity - 1</t>
  </si>
  <si>
    <t xml:space="preserve">  AI-Enabled Services — 3-Year Financial Model — COGS &amp; GM</t>
  </si>
  <si>
    <t xml:space="preserve">  Delivery people, subcontractors, and AI tool/API spend roll up into project gross margin.</t>
  </si>
  <si>
    <t xml:space="preserve">  COGS Components</t>
  </si>
  <si>
    <t>Delivery / Consulting people cost</t>
  </si>
  <si>
    <t>Delivery Management / Solutions people cost</t>
  </si>
  <si>
    <t>Subcontractor costs</t>
  </si>
  <si>
    <t>Total revenue x subcontractor %</t>
  </si>
  <si>
    <t>AI tool / API delivery costs</t>
  </si>
  <si>
    <t>Delivery FTE x AI tooling / API spend per FTE</t>
  </si>
  <si>
    <t>Total COGS</t>
  </si>
  <si>
    <t xml:space="preserve">  Gross Profit &amp; Service Economics</t>
  </si>
  <si>
    <t>Gross Profit</t>
  </si>
  <si>
    <t>Project Gross Margin %</t>
  </si>
  <si>
    <t>Linked from Revenue tab</t>
  </si>
  <si>
    <t>Contribution margin per Delivery FTE</t>
  </si>
  <si>
    <t>Gross profit / delivery FTE</t>
  </si>
  <si>
    <t xml:space="preserve">  AI-Enabled Services — 3-Year Financial Model — Opex</t>
  </si>
  <si>
    <t xml:space="preserve">  Operating expenses by department — headcount cost plus program spend.</t>
  </si>
  <si>
    <t xml:space="preserve">  Sales &amp; Marketing</t>
  </si>
  <si>
    <t>Sales &amp; Marketing — people cost</t>
  </si>
  <si>
    <t>Sales Commissions</t>
  </si>
  <si>
    <t>% of monthly new bookings</t>
  </si>
  <si>
    <t>Marketing / BD Programs</t>
  </si>
  <si>
    <t>Month-1 assumption compounded by monthly growth</t>
  </si>
  <si>
    <t>Total Sales &amp; Marketing</t>
  </si>
  <si>
    <t xml:space="preserve">  General &amp; Administrative</t>
  </si>
  <si>
    <t>General &amp; Administrative — people cost</t>
  </si>
  <si>
    <t>Corporate Software &amp; Tools</t>
  </si>
  <si>
    <t>Fixed monthly</t>
  </si>
  <si>
    <t>Facilities &amp; Admin Overhead</t>
  </si>
  <si>
    <t>Total General &amp; Administrative</t>
  </si>
  <si>
    <t xml:space="preserve">  Total Operating Expenses</t>
  </si>
  <si>
    <t>Total Opex</t>
  </si>
  <si>
    <t xml:space="preserve">  AI-Enabled Services — 3-Year Financial Model — Working Capital</t>
  </si>
  <si>
    <t xml:space="preserve">  Balance-sheet drivers: receivables, payables, deferred revenue, capex/depreciation, debt &amp; equity financing.</t>
  </si>
  <si>
    <t xml:space="preserve">  Receivables, Payables &amp; Deferred Revenue</t>
  </si>
  <si>
    <t>Accounts Receivable balance</t>
  </si>
  <si>
    <t>Revenue × DSO ÷ 30</t>
  </si>
  <si>
    <t>Accounts Payable balance</t>
  </si>
  <si>
    <t>(COGS + Opex) × DPO ÷ 30</t>
  </si>
  <si>
    <t>Deferred Revenue balance</t>
  </si>
  <si>
    <t>Revenue × months collected in advance</t>
  </si>
  <si>
    <t>Other Current Assets balance</t>
  </si>
  <si>
    <t>Revenue × assumption % (prepaid expenses, etc.)</t>
  </si>
  <si>
    <t xml:space="preserve">  Change in Accounts Receivable</t>
  </si>
  <si>
    <t xml:space="preserve">  Change in Accounts Payable</t>
  </si>
  <si>
    <t xml:space="preserve">  Change in Deferred Revenue</t>
  </si>
  <si>
    <t xml:space="preserve">  Change in Other Current Assets</t>
  </si>
  <si>
    <t xml:space="preserve">  Capex &amp; Depreciation (PP&amp;E)</t>
  </si>
  <si>
    <t>Capital expenditures</t>
  </si>
  <si>
    <t>Revenue × capex % of revenue</t>
  </si>
  <si>
    <t>Depreciation &amp; amortization</t>
  </si>
  <si>
    <t>Straight-line over useful life; trailing-window formula</t>
  </si>
  <si>
    <t>Net PP&amp;E balance</t>
  </si>
  <si>
    <t xml:space="preserve">  Debt Schedule</t>
  </si>
  <si>
    <t>Debt draw</t>
  </si>
  <si>
    <t>One-time draw in month 9</t>
  </si>
  <si>
    <t>Debt repayment</t>
  </si>
  <si>
    <t>Fixed $/month once balance exists, starting the assumed month</t>
  </si>
  <si>
    <t>Debt balance (ending)</t>
  </si>
  <si>
    <t>Prior balance + draw − repayment</t>
  </si>
  <si>
    <t>Interest expense</t>
  </si>
  <si>
    <t>Prior month balance × annual rate ÷ 12</t>
  </si>
  <si>
    <t xml:space="preserve">  Equity Financing</t>
  </si>
  <si>
    <t>Equity raised</t>
  </si>
  <si>
    <t>Seed extension in month 4; Growth equity in month 19</t>
  </si>
  <si>
    <t>Cumulative paid-in capital</t>
  </si>
  <si>
    <t xml:space="preserve">  AI-Enabled Services — 3-Year Financial Model — P&amp;L</t>
  </si>
  <si>
    <t xml:space="preserve">  Integrated income statement — every line links to Revenue, COGS &amp; GM, Opex, or Working Capital.</t>
  </si>
  <si>
    <t>Revenue</t>
  </si>
  <si>
    <t>Cost of Goods Sold</t>
  </si>
  <si>
    <t>Gross Margin %</t>
  </si>
  <si>
    <t xml:space="preserve">  Operating Expenses</t>
  </si>
  <si>
    <t>Sales &amp; Marketing</t>
  </si>
  <si>
    <t>General &amp; Administrative</t>
  </si>
  <si>
    <t>Total Operating Expenses</t>
  </si>
  <si>
    <t>EBITDA</t>
  </si>
  <si>
    <t>Depreciation &amp; Amortization</t>
  </si>
  <si>
    <t>EBIT (Operating Income)</t>
  </si>
  <si>
    <t>Interest Expense</t>
  </si>
  <si>
    <t>Earnings Before Tax</t>
  </si>
  <si>
    <t>Income Tax Expense</t>
  </si>
  <si>
    <t>MAX(0, EBT) × tax rate — no NOL modeling</t>
  </si>
  <si>
    <t>Net Income</t>
  </si>
  <si>
    <t xml:space="preserve">  AI-Enabled Services — 3-Year Financial Model — Cash Flow</t>
  </si>
  <si>
    <t xml:space="preserve">  Indirect method — Net Income reconciled to the change in cash.</t>
  </si>
  <si>
    <t xml:space="preserve">  Cash from Operations</t>
  </si>
  <si>
    <t>+ Depreciation &amp; Amortization</t>
  </si>
  <si>
    <t>− Change in Accounts Receivable</t>
  </si>
  <si>
    <t>− Change in Other Current Assets</t>
  </si>
  <si>
    <t>+ Change in Accounts Payable</t>
  </si>
  <si>
    <t>+ Change in Deferred Revenue</t>
  </si>
  <si>
    <t>Cash from Operations</t>
  </si>
  <si>
    <t xml:space="preserve">  Cash from Investing</t>
  </si>
  <si>
    <t>− Capital Expenditures</t>
  </si>
  <si>
    <t>Cash from Investing</t>
  </si>
  <si>
    <t xml:space="preserve">  Cash from Financing</t>
  </si>
  <si>
    <t>+ Debt Draw</t>
  </si>
  <si>
    <t>− Debt Repayment</t>
  </si>
  <si>
    <t>+ Equity Raised</t>
  </si>
  <si>
    <t>Cash from Financing</t>
  </si>
  <si>
    <t>Net Change in Cash</t>
  </si>
  <si>
    <t>Beginning Cash</t>
  </si>
  <si>
    <t>Prior month ending cash (or starting cash in month 1)</t>
  </si>
  <si>
    <t>Ending Cash</t>
  </si>
  <si>
    <t>Beginning cash + net change in cash</t>
  </si>
  <si>
    <t xml:space="preserve">  AI-Enabled Services — 3-Year Financial Model — Balance Sheet</t>
  </si>
  <si>
    <t xml:space="preserve">  Assets = Liabilities + Equity every month, by construction.</t>
  </si>
  <si>
    <t xml:space="preserve">  Assets</t>
  </si>
  <si>
    <t>Cash &amp; equivalents</t>
  </si>
  <si>
    <t>Linked from Cash Flow tab</t>
  </si>
  <si>
    <t>Accounts Receivable</t>
  </si>
  <si>
    <t>Other Current Assets (prepaid, etc.)</t>
  </si>
  <si>
    <t>Linked from Working Capital tab</t>
  </si>
  <si>
    <t>Net PP&amp;E</t>
  </si>
  <si>
    <t>Total Assets</t>
  </si>
  <si>
    <t xml:space="preserve">  Liabilities</t>
  </si>
  <si>
    <t>Accounts Payable</t>
  </si>
  <si>
    <t>Deferred Revenue</t>
  </si>
  <si>
    <t>Debt</t>
  </si>
  <si>
    <t>Total Liabilities</t>
  </si>
  <si>
    <t xml:space="preserve">  Equity</t>
  </si>
  <si>
    <t>Paid-in Capital</t>
  </si>
  <si>
    <t>Starting paid-in capital + cumulative equity raised</t>
  </si>
  <si>
    <t>Retained Earnings</t>
  </si>
  <si>
    <t>Starting RE (= starting cash − starting paid-in capital) + cumulative Net Income</t>
  </si>
  <si>
    <t>Total Equity</t>
  </si>
  <si>
    <t>Total Liabilities + Equity</t>
  </si>
  <si>
    <t>Balance check (Assets − Liab&amp;Equity)</t>
  </si>
  <si>
    <t>Must equal ~0 every month</t>
  </si>
  <si>
    <t xml:space="preserve">  AI-Enabled Services — 3-Year Financial Model — Cash &amp; Runway</t>
  </si>
  <si>
    <t xml:space="preserve">  Burn rate and runway — reconciled to the Cash Flow tab.</t>
  </si>
  <si>
    <t xml:space="preserve">  Cash Position</t>
  </si>
  <si>
    <t>Ending Cash Balance</t>
  </si>
  <si>
    <t>Monthly Net Burn (pre-financing)</t>
  </si>
  <si>
    <t>MAX(0, −(operating + investing cash flow)); excludes debt and equity proceeds</t>
  </si>
  <si>
    <t>Trailing 3-Month Avg Burn</t>
  </si>
  <si>
    <t>Runway (months)</t>
  </si>
  <si>
    <t>Ending cash ÷ trailing 3-month pre-financing burn; 0 if cash is depleted; 999 if cash-flow positive</t>
  </si>
  <si>
    <t xml:space="preserve">  Headline</t>
  </si>
  <si>
    <t>Runway as of final month (36)</t>
  </si>
  <si>
    <t xml:space="preserve">  Cash Conversion</t>
  </si>
  <si>
    <t>Cash conversion (CFO / Net Income)</t>
  </si>
  <si>
    <t>Monthly cash from operations divided by net income; 0 when net income is ~0</t>
  </si>
  <si>
    <t xml:space="preserve">  AI-Enabled Services — 3-Year Financial Model — Scenario Comparison</t>
  </si>
  <si>
    <t xml:space="preserve">  Base/Upside/Downside columns are a fast analytical approximation for side-by-side comparison. The 'Full model' column reflects the detailed 36-month model at the scenario currently selected on the Assumptions tab.</t>
  </si>
  <si>
    <t>Currently selected scenario:</t>
  </si>
  <si>
    <t>KPI</t>
  </si>
  <si>
    <t>Definition</t>
  </si>
  <si>
    <t>Full model (selected)</t>
  </si>
  <si>
    <t>Month-1 New Bookings</t>
  </si>
  <si>
    <t>Starting sales capacity x pipeline generation x win rate x average project value.</t>
  </si>
  <si>
    <t>Utilization % (illustrative, Month 36)</t>
  </si>
  <si>
    <t>Approximate month-36 recognized revenue divided by effective delivery capacity at realized rates.</t>
  </si>
  <si>
    <t>Implied Revenue at Month 36 (approx.)</t>
  </si>
  <si>
    <t>Approximate month-36 recognized revenue, constrained by the lower of bookings and delivery capacity.</t>
  </si>
  <si>
    <t>Project Gross Margin % (illustrative, Month 36)</t>
  </si>
  <si>
    <t>1 - (delivery people + subcontractors + AI tools) / approximate month-36 revenue.</t>
  </si>
  <si>
    <t>Month-1 Net Burn (illustrative)</t>
  </si>
  <si>
    <t>Month-1 people cost + variable delivery costs + operating programs - recognized revenue.</t>
  </si>
  <si>
    <t>Runway (illustrative, months)</t>
  </si>
  <si>
    <t>Starting cash divided by illustrative month-1 burn; 999 means cash-flow positive / effectively infinite.</t>
  </si>
  <si>
    <t xml:space="preserve">  Scenario Validity</t>
  </si>
  <si>
    <t>Selector value is valid (Base/Upside/Downside)?</t>
  </si>
  <si>
    <t xml:space="preserve">  AI-Enabled Services — 3-Year Financial Model — Visuals</t>
  </si>
  <si>
    <t xml:space="preserve">  Bookings, backlog, delivery efficiency, gross margin, cash, and runway for the AI-Enabled Services model.</t>
  </si>
  <si>
    <t>Revenue (Month 36)</t>
  </si>
  <si>
    <t>Ending Backlog (Month 36)</t>
  </si>
  <si>
    <t xml:space="preserve">  AI-Enabled Services — 3-Year Financial Model — Checks</t>
  </si>
  <si>
    <t xml:space="preserve">  Every control below should read PASS. If anything reads FAIL, trace it back through the linked tabs before trusting the outputs.</t>
  </si>
  <si>
    <t>Check</t>
  </si>
  <si>
    <t>Description</t>
  </si>
  <si>
    <t>Metric</t>
  </si>
  <si>
    <t>Status</t>
  </si>
  <si>
    <t>Balance Sheet balances</t>
  </si>
  <si>
    <t>MAX absolute (Assets − Liabilities&amp;Equity) across all 36 months</t>
  </si>
  <si>
    <t>Cash Flow reconciles to Balance Sheet</t>
  </si>
  <si>
    <t>MAX absolute difference between BS cash and CF ending cash across all 36 months</t>
  </si>
  <si>
    <t>Retained Earnings roll-forward</t>
  </si>
  <si>
    <t>MAX absolute (RE(m) − RE(m−1) − NetIncome(m)) for months 2-36</t>
  </si>
  <si>
    <t>P&amp;L subtotal integrity</t>
  </si>
  <si>
    <t>MAX absolute error across Gross Profit / EBITDA / EBIT / EBT / Net Income subtotals</t>
  </si>
  <si>
    <t>Scenario selector validity</t>
  </si>
  <si>
    <t>Assumptions scenario selector must equal Base, Upside, or Downside</t>
  </si>
  <si>
    <t>No formula errors</t>
  </si>
  <si>
    <t>Count of #REF!/#DIV0!/#VALUE! etc. across all key schedules (Headcount through Cash &amp; Runway)</t>
  </si>
  <si>
    <t>ALL CHECKS</t>
  </si>
  <si>
    <t>Overall model integrity status</t>
  </si>
</sst>
</file>

<file path=xl/styles.xml><?xml version="1.0" encoding="utf-8"?>
<styleSheet xmlns="http://schemas.openxmlformats.org/spreadsheetml/2006/main">
  <numFmts count="9">
    <numFmt numFmtId="164" formatCode="#,##0;(#,##0)"/>
    <numFmt numFmtId="165" formatCode="0%;(0%)"/>
    <numFmt numFmtId="166" formatCode="0.0%;(0.0%)"/>
    <numFmt numFmtId="167" formatCode="mmm-yy"/>
    <numFmt numFmtId="168" formatCode="#,##0.0"/>
    <numFmt numFmtId="169" formatCode="#,##0.00;(#,##0.00)"/>
    <numFmt numFmtId="170" formatCode="#,##0.0&quot; mo&quot;"/>
    <numFmt numFmtId="171" formatCode="0.00&quot;x&quot;"/>
    <numFmt numFmtId="172" formatCode="0.0000"/>
  </numFmts>
  <fonts count="13">
    <font>
      <sz val="11"/>
      <color theme="1"/>
      <name val="Calibri"/>
      <family val="2"/>
      <scheme val="minor"/>
    </font>
    <font>
      <b/>
      <sz val="14"/>
      <color rgb="FFFFFFFF"/>
      <name val="Calibri"/>
      <family val="2"/>
      <scheme val="minor"/>
    </font>
    <font>
      <i/>
      <sz val="10"/>
      <color rgb="FFFFFFFF"/>
      <name val="Calibri"/>
      <family val="2"/>
      <scheme val="minor"/>
    </font>
    <font>
      <b/>
      <sz val="16"/>
      <color rgb="FF7B68EE"/>
      <name val="Calibri"/>
      <family val="2"/>
      <scheme val="minor"/>
    </font>
    <font>
      <sz val="10"/>
      <color rgb="FF1B1F2A"/>
      <name val="Calibri"/>
      <family val="2"/>
      <scheme val="minor"/>
    </font>
    <font>
      <b/>
      <sz val="12"/>
      <color rgb="FF1B1F2A"/>
      <name val="Calibri"/>
      <family val="2"/>
      <scheme val="minor"/>
    </font>
    <font>
      <sz val="10"/>
      <color rgb="FF1B5FD6"/>
      <name val="Calibri"/>
      <family val="2"/>
      <scheme val="minor"/>
    </font>
    <font>
      <b/>
      <sz val="11"/>
      <color rgb="FFFFFFFF"/>
      <name val="Calibri"/>
      <family val="2"/>
      <scheme val="minor"/>
    </font>
    <font>
      <b/>
      <sz val="10"/>
      <color rgb="FF1B5FD6"/>
      <name val="Calibri"/>
      <family val="2"/>
      <scheme val="minor"/>
    </font>
    <font>
      <i/>
      <sz val="9"/>
      <color rgb="FF6B7280"/>
      <name val="Calibri"/>
      <family val="2"/>
      <scheme val="minor"/>
    </font>
    <font>
      <b/>
      <sz val="10"/>
      <color rgb="FF1B1F2A"/>
      <name val="Calibri"/>
      <family val="2"/>
      <scheme val="minor"/>
    </font>
    <font>
      <b/>
      <sz val="10"/>
      <color rgb="FFFFFFFF"/>
      <name val="Calibri"/>
      <family val="2"/>
      <scheme val="minor"/>
    </font>
    <font>
      <b/>
      <sz val="16"/>
      <color rgb="FF1B1F2A"/>
      <name val="Calibri"/>
      <family val="2"/>
      <scheme val="minor"/>
    </font>
  </fonts>
  <fills count="13">
    <fill>
      <patternFill patternType="none"/>
    </fill>
    <fill>
      <patternFill patternType="gray125"/>
    </fill>
    <fill>
      <patternFill patternType="solid">
        <fgColor rgb="FF1B1F2A"/>
        <bgColor indexed="64"/>
      </patternFill>
    </fill>
    <fill>
      <patternFill patternType="solid">
        <fgColor rgb="FFF5F8FF"/>
        <bgColor indexed="64"/>
      </patternFill>
    </fill>
    <fill>
      <patternFill patternType="solid">
        <fgColor rgb="FFFFFFFF"/>
        <bgColor indexed="64"/>
      </patternFill>
    </fill>
    <fill>
      <patternFill patternType="solid">
        <fgColor rgb="FFEEF0FA"/>
        <bgColor indexed="64"/>
      </patternFill>
    </fill>
    <fill>
      <patternFill patternType="solid">
        <fgColor rgb="FF7B68EE"/>
        <bgColor indexed="64"/>
      </patternFill>
    </fill>
    <fill>
      <patternFill patternType="solid">
        <fgColor rgb="FF49CCF9"/>
        <bgColor indexed="64"/>
      </patternFill>
    </fill>
    <fill>
      <patternFill patternType="solid">
        <fgColor rgb="FF79D9B9"/>
        <bgColor indexed="64"/>
      </patternFill>
    </fill>
    <fill>
      <patternFill patternType="solid">
        <fgColor rgb="FFFD71AF"/>
        <bgColor indexed="64"/>
      </patternFill>
    </fill>
    <fill>
      <patternFill patternType="solid">
        <fgColor rgb="FFFFB08E"/>
        <bgColor indexed="64"/>
      </patternFill>
    </fill>
    <fill>
      <patternFill patternType="solid">
        <fgColor rgb="FFFFF7E6"/>
        <bgColor indexed="64"/>
      </patternFill>
    </fill>
    <fill>
      <patternFill patternType="solid">
        <fgColor rgb="FFF7F8FC"/>
        <bgColor indexed="64"/>
      </patternFill>
    </fill>
  </fills>
  <borders count="4">
    <border>
      <left/>
      <right/>
      <top/>
      <bottom/>
      <diagonal/>
    </border>
    <border>
      <left style="thin">
        <color rgb="FFD7DAE6"/>
      </left>
      <right style="thin">
        <color rgb="FFD7DAE6"/>
      </right>
      <top style="thin">
        <color rgb="FFD7DAE6"/>
      </top>
      <bottom style="thin">
        <color rgb="FFD7DAE6"/>
      </bottom>
      <diagonal/>
    </border>
    <border>
      <left style="medium">
        <color rgb="FFFFB08E"/>
      </left>
      <right style="medium">
        <color rgb="FFFFB08E"/>
      </right>
      <top style="medium">
        <color rgb="FFFFB08E"/>
      </top>
      <bottom style="medium">
        <color rgb="FFFFB08E"/>
      </bottom>
      <diagonal/>
    </border>
    <border>
      <left/>
      <right/>
      <top style="thin">
        <color rgb="FFD7DAE6"/>
      </top>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0" borderId="0" xfId="0" applyFont="1"/>
    <xf numFmtId="0" fontId="4" fillId="0" borderId="0" xfId="0" applyFont="1" applyAlignment="1">
      <alignment vertical="top" wrapText="1"/>
    </xf>
    <xf numFmtId="0" fontId="5" fillId="0" borderId="0" xfId="0" applyFont="1"/>
    <xf numFmtId="0" fontId="6"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7" fillId="10" borderId="0" xfId="0" applyFont="1" applyFill="1" applyAlignment="1">
      <alignment horizontal="center"/>
    </xf>
    <xf numFmtId="0" fontId="7" fillId="6" borderId="0" xfId="0" applyFont="1" applyFill="1" applyAlignment="1">
      <alignment horizontal="left" vertical="center" indent="1"/>
    </xf>
    <xf numFmtId="0" fontId="8" fillId="11" borderId="2" xfId="0" applyFont="1" applyFill="1" applyBorder="1" applyAlignment="1">
      <alignment horizontal="center"/>
    </xf>
    <xf numFmtId="0" fontId="9" fillId="0" borderId="0" xfId="0" applyFont="1"/>
    <xf numFmtId="0" fontId="10" fillId="5" borderId="1" xfId="0" applyFont="1" applyFill="1" applyBorder="1" applyAlignment="1">
      <alignment horizontal="center" vertical="center"/>
    </xf>
    <xf numFmtId="0" fontId="4" fillId="0" borderId="0" xfId="0" applyFont="1" applyAlignment="1">
      <alignment horizontal="left" indent="1"/>
    </xf>
    <xf numFmtId="164" fontId="6" fillId="3" borderId="0" xfId="0" applyNumberFormat="1" applyFont="1" applyFill="1"/>
    <xf numFmtId="164" fontId="4" fillId="0" borderId="0" xfId="0" applyNumberFormat="1" applyFont="1"/>
    <xf numFmtId="0" fontId="9" fillId="0" borderId="0" xfId="0" applyFont="1" applyAlignment="1">
      <alignment vertical="top" wrapText="1"/>
    </xf>
    <xf numFmtId="165" fontId="6" fillId="3" borderId="0" xfId="0" applyNumberFormat="1" applyFont="1" applyFill="1"/>
    <xf numFmtId="165" fontId="4" fillId="0" borderId="0" xfId="0" applyNumberFormat="1" applyFont="1"/>
    <xf numFmtId="166" fontId="6" fillId="3" borderId="0" xfId="0" applyNumberFormat="1" applyFont="1" applyFill="1"/>
    <xf numFmtId="166" fontId="4" fillId="0" borderId="0" xfId="0" applyNumberFormat="1" applyFont="1"/>
    <xf numFmtId="167" fontId="10" fillId="5" borderId="1" xfId="0" applyNumberFormat="1" applyFont="1" applyFill="1" applyBorder="1" applyAlignment="1">
      <alignment horizontal="center"/>
    </xf>
    <xf numFmtId="168" fontId="4" fillId="0" borderId="0" xfId="0" applyNumberFormat="1" applyFont="1"/>
    <xf numFmtId="0" fontId="10" fillId="0" borderId="3" xfId="0" applyFont="1" applyBorder="1"/>
    <xf numFmtId="164" fontId="10" fillId="0" borderId="3" xfId="0" applyNumberFormat="1" applyFont="1" applyBorder="1"/>
    <xf numFmtId="169" fontId="4" fillId="0" borderId="0" xfId="0" applyNumberFormat="1" applyFont="1"/>
    <xf numFmtId="0" fontId="11" fillId="2" borderId="0" xfId="0" applyFont="1" applyFill="1"/>
    <xf numFmtId="164" fontId="11" fillId="2" borderId="0" xfId="0" applyNumberFormat="1" applyFont="1" applyFill="1"/>
    <xf numFmtId="170" fontId="4" fillId="0" borderId="0" xfId="0" applyNumberFormat="1" applyFont="1"/>
    <xf numFmtId="171" fontId="4" fillId="0" borderId="0" xfId="0" applyNumberFormat="1" applyFont="1"/>
    <xf numFmtId="0" fontId="10" fillId="0" borderId="0" xfId="0" applyFont="1"/>
    <xf numFmtId="0" fontId="4" fillId="0" borderId="0" xfId="0" applyFont="1"/>
    <xf numFmtId="0" fontId="11" fillId="6" borderId="0" xfId="0" applyFont="1" applyFill="1" applyAlignment="1">
      <alignment horizontal="center" vertical="center"/>
    </xf>
    <xf numFmtId="0" fontId="12" fillId="12" borderId="1" xfId="0" applyFont="1" applyFill="1" applyBorder="1" applyAlignment="1">
      <alignment horizontal="center" vertical="center"/>
    </xf>
    <xf numFmtId="166" fontId="12" fillId="12" borderId="1" xfId="0" applyNumberFormat="1" applyFont="1" applyFill="1" applyBorder="1" applyAlignment="1">
      <alignment horizontal="center" vertical="center"/>
    </xf>
    <xf numFmtId="172" fontId="4" fillId="0" borderId="0" xfId="0" applyNumberFormat="1" applyFont="1"/>
  </cellXfs>
  <cellStyles count="1">
    <cellStyle name="Normal" xfId="0" builtinId="0"/>
  </cellStyles>
  <dxfs count="2">
    <dxf>
      <font>
        <b/>
        <color rgb="FFFFFFFF"/>
      </font>
      <fill>
        <patternFill>
          <bgColor rgb="FF1E8A5F"/>
        </patternFill>
      </fill>
    </dxf>
    <dxf>
      <font>
        <b/>
        <color rgb="FFFFFFFF"/>
      </font>
      <fill>
        <patternFill>
          <bgColor rgb="FFC0392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Revenue, Bookings &amp; Backlog</a:t>
            </a:r>
          </a:p>
        </c:rich>
      </c:tx>
      <c:layout/>
    </c:title>
    <c:plotArea>
      <c:layout/>
      <c:lineChart>
        <c:grouping val="standard"/>
        <c:ser>
          <c:idx val="0"/>
          <c:order val="0"/>
          <c:tx>
            <c:v>Revenue</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'Revenue'!$C$36:$AL$36</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New Bookings</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'Revenue'!$C$14:$AL$14</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2"/>
          <c:order val="2"/>
          <c:tx>
            <c:v>Ending Backlog</c:v>
          </c:tx>
          <c:spPr>
            <a:solidFill>
              <a:srgbClr val="79D9B9"/>
            </a:solidFill>
            <a:ln w="28575">
              <a:solidFill>
                <a:srgbClr val="79D9B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'Revenue'!$C$35:$AL$35</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10001"/>
        <c:axId val="50010002"/>
      </c:line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t>
                </a:r>
              </a:p>
            </c:rich>
          </c:tx>
          <c:layout/>
        </c:title>
        <c:numFmt formatCode="General" sourceLinked="1"/>
        <c:tickLblPos val="nextTo"/>
        <c:crossAx val="5001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Project Gross Margin %</a:t>
            </a:r>
          </a:p>
        </c:rich>
      </c:tx>
      <c:layout/>
    </c:title>
    <c:plotArea>
      <c:layout/>
      <c:lineChart>
        <c:grouping val="standard"/>
        <c:ser>
          <c:idx val="0"/>
          <c:order val="0"/>
          <c:tx>
            <c:v>Project Gross Margin %</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'COGS &amp; GM'!$C$16:$AL$16</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a:t>
                </a:r>
              </a:p>
            </c:rich>
          </c:tx>
          <c:layout/>
        </c:title>
        <c:numFmt formatCode="General" sourceLinked="1"/>
        <c:tickLblPos val="nextTo"/>
        <c:crossAx val="5002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Cash &amp; Runway</a:t>
            </a:r>
          </a:p>
        </c:rich>
      </c:tx>
      <c:layout/>
    </c:title>
    <c:plotArea>
      <c:layout/>
      <c:lineChart>
        <c:grouping val="standard"/>
        <c:ser>
          <c:idx val="0"/>
          <c:order val="0"/>
          <c:tx>
            <c:v>Ending Cash</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'Cash &amp; Runway'!$C$8:$AL$8</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Monthly Burn</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'Cash &amp; Runway'!$C$9:$AL$9</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30001"/>
        <c:axId val="50030002"/>
      </c:lineChart>
      <c:catAx>
        <c:axId val="50030001"/>
        <c:scaling>
          <c:orientation val="minMax"/>
        </c:scaling>
        <c:axPos val="b"/>
        <c:numFmt formatCode="General" sourceLinked="1"/>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a:t>
                </a:r>
              </a:p>
            </c:rich>
          </c:tx>
          <c:layout/>
        </c:title>
        <c:numFmt formatCode="General" sourceLinked="1"/>
        <c:tickLblPos val="nextTo"/>
        <c:crossAx val="5003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Headcount by Month</a:t>
            </a:r>
          </a:p>
        </c:rich>
      </c:tx>
      <c:layout/>
    </c:title>
    <c:plotArea>
      <c:layout/>
      <c:barChart>
        <c:barDir val="col"/>
        <c:grouping val="clustered"/>
        <c:ser>
          <c:idx val="0"/>
          <c:order val="0"/>
          <c:tx>
            <c:v>Total Headcount</c:v>
          </c:tx>
          <c:spPr>
            <a:solidFill>
              <a:srgbClr val="7B68EE"/>
            </a:solidFill>
            <a:ln w="28575">
              <a:solidFill>
                <a:srgbClr val="7B68EE"/>
              </a:solidFill>
            </a:ln>
          </c:spP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'Headcount'!$C$20:$AL$20</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axId val="50040001"/>
        <c:axId val="50040002"/>
      </c:barChart>
      <c:catAx>
        <c:axId val="50040001"/>
        <c:scaling>
          <c:orientation val="minMax"/>
        </c:scaling>
        <c:axPos val="b"/>
        <c:numFmt formatCode="General" sourceLinked="1"/>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FTE</a:t>
                </a:r>
              </a:p>
            </c:rich>
          </c:tx>
          <c:layout/>
        </c:title>
        <c:numFmt formatCode="General" sourceLinked="1"/>
        <c:tickLblPos val="nextTo"/>
        <c:crossAx val="5004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Scenario Comparison — Implied Revenue at Month 36</a:t>
            </a:r>
          </a:p>
        </c:rich>
      </c:tx>
      <c:layout/>
    </c:title>
    <c:plotArea>
      <c:layout/>
      <c:barChart>
        <c:barDir val="col"/>
        <c:grouping val="clustered"/>
        <c:ser>
          <c:idx val="0"/>
          <c:order val="0"/>
          <c:tx>
            <c:v>Base/Upside/Downside</c:v>
          </c:tx>
          <c:spPr>
            <a:solidFill>
              <a:srgbClr val="7B68EE"/>
            </a:solidFill>
            <a:ln w="28575">
              <a:solidFill>
                <a:srgbClr val="7B68EE"/>
              </a:solidFill>
            </a:ln>
          </c:spPr>
          <c:val>
            <c:numRef>
              <c:f>'Scenarios'!$C$9:$E$9</c:f>
              <c:numCache>
                <c:formatCode>General</c:formatCode>
                <c:ptCount val="3"/>
                <c:pt idx="0">
                  <c:v>0</c:v>
                </c:pt>
                <c:pt idx="1">
                  <c:v>0</c:v>
                </c:pt>
                <c:pt idx="2">
                  <c:v>0</c:v>
                </c:pt>
              </c:numCache>
            </c:numRef>
          </c:val>
        </c:ser>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numFmt formatCode="General" sourceLinked="1"/>
        <c:tickLblPos val="nextTo"/>
        <c:crossAx val="5005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Delivery Efficiency</a:t>
            </a:r>
          </a:p>
        </c:rich>
      </c:tx>
      <c:layout/>
    </c:title>
    <c:plotArea>
      <c:layout/>
      <c:lineChart>
        <c:grouping val="standard"/>
        <c:ser>
          <c:idx val="0"/>
          <c:order val="0"/>
          <c:tx>
            <c:v>Utilization %</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'Revenue'!$C$40:$AL$40</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Realization %</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'Revenue'!$C$41:$AL$41</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60001"/>
        <c:axId val="50060002"/>
      </c:lineChart>
      <c:catAx>
        <c:axId val="50060001"/>
        <c:scaling>
          <c:orientation val="minMax"/>
        </c:scaling>
        <c:axPos val="b"/>
        <c:numFmt formatCode="General" sourceLinked="1"/>
        <c:tickLblPos val="nextTo"/>
        <c:crossAx val="50060002"/>
        <c:crosses val="autoZero"/>
        <c:auto val="1"/>
        <c:lblAlgn val="ctr"/>
        <c:lblOffset val="100"/>
      </c:catAx>
      <c:valAx>
        <c:axId val="50060002"/>
        <c:scaling>
          <c:orientation val="minMax"/>
        </c:scaling>
        <c:axPos val="l"/>
        <c:majorGridlines/>
        <c:title>
          <c:tx>
            <c:rich>
              <a:bodyPr rot="-5400000" vert="horz"/>
              <a:lstStyle/>
              <a:p>
                <a:pPr>
                  <a:defRPr/>
                </a:pPr>
                <a:r>
                  <a:rPr lang="en-US"/>
                  <a:t>%</a:t>
                </a:r>
              </a:p>
            </c:rich>
          </c:tx>
          <c:layout/>
        </c:title>
        <c:numFmt formatCode="General" sourceLinked="1"/>
        <c:tickLblPos val="nextTo"/>
        <c:crossAx val="5006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38100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12</xdr:row>
      <xdr:rowOff>0</xdr:rowOff>
    </xdr:from>
    <xdr:to>
      <xdr:col>16</xdr:col>
      <xdr:colOff>38100</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7</xdr:col>
      <xdr:colOff>38100</xdr:colOff>
      <xdr:row>44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29</xdr:row>
      <xdr:rowOff>0</xdr:rowOff>
    </xdr:from>
    <xdr:to>
      <xdr:col>16</xdr:col>
      <xdr:colOff>38100</xdr:colOff>
      <xdr:row>44</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0</xdr:rowOff>
    </xdr:from>
    <xdr:to>
      <xdr:col>7</xdr:col>
      <xdr:colOff>38100</xdr:colOff>
      <xdr:row>61</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46</xdr:row>
      <xdr:rowOff>0</xdr:rowOff>
    </xdr:from>
    <xdr:to>
      <xdr:col>16</xdr:col>
      <xdr:colOff>38100</xdr:colOff>
      <xdr:row>61</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35"/>
  <sheetViews>
    <sheetView showGridLines="0" tabSelected="1" zoomScale="110" zoomScaleNormal="110" workbookViewId="0">
      <pane ySplit="3" topLeftCell="A4" activePane="bottomLeft" state="frozen"/>
      <selection pane="bottomLeft"/>
    </sheetView>
  </sheetViews>
  <sheetFormatPr defaultRowHeight="15"/>
  <cols>
    <col min="1" max="1" width="100.7109375" customWidth="1"/>
  </cols>
  <sheetData>
    <row r="1" spans="1:1" ht="26" customHeight="1">
      <c r="A1" s="1" t="s">
        <v>0</v>
      </c>
    </row>
    <row r="2" spans="1:1" ht="18" customHeight="1">
      <c r="A2" s="2" t="s">
        <v>1</v>
      </c>
    </row>
    <row r="4" spans="1:1">
      <c r="A4" s="3" t="s">
        <v>2</v>
      </c>
    </row>
    <row r="5" spans="1:1" ht="90" customHeight="1">
      <c r="A5" s="4" t="s">
        <v>3</v>
      </c>
    </row>
    <row r="7" spans="1:1">
      <c r="A7" s="5" t="s">
        <v>4</v>
      </c>
    </row>
    <row r="8" spans="1:1" ht="45" customHeight="1">
      <c r="A8" s="4" t="s">
        <v>5</v>
      </c>
    </row>
    <row r="10" spans="1:1">
      <c r="A10" s="5" t="s">
        <v>6</v>
      </c>
    </row>
    <row r="11" spans="1:1" ht="18" customHeight="1">
      <c r="A11" s="6" t="s">
        <v>7</v>
      </c>
    </row>
    <row r="12" spans="1:1" ht="18" customHeight="1">
      <c r="A12" s="7" t="s">
        <v>8</v>
      </c>
    </row>
    <row r="13" spans="1:1" ht="18" customHeight="1">
      <c r="A13" s="8" t="s">
        <v>9</v>
      </c>
    </row>
    <row r="15" spans="1:1">
      <c r="A15" s="5" t="s">
        <v>10</v>
      </c>
    </row>
    <row r="16" spans="1:1" ht="16" customHeight="1">
      <c r="A16" s="9" t="s">
        <v>11</v>
      </c>
    </row>
    <row r="17" spans="1:1" ht="16" customHeight="1">
      <c r="A17" s="10" t="s">
        <v>12</v>
      </c>
    </row>
    <row r="18" spans="1:1" ht="16" customHeight="1">
      <c r="A18" s="11" t="s">
        <v>13</v>
      </c>
    </row>
    <row r="19" spans="1:1" ht="16" customHeight="1">
      <c r="A19" s="12" t="s">
        <v>14</v>
      </c>
    </row>
    <row r="20" spans="1:1" ht="16" customHeight="1">
      <c r="A20" s="13" t="s">
        <v>15</v>
      </c>
    </row>
    <row r="22" spans="1:1">
      <c r="A22" s="5" t="s">
        <v>16</v>
      </c>
    </row>
    <row r="23" spans="1:1" ht="60" customHeight="1">
      <c r="A23" s="4" t="s">
        <v>17</v>
      </c>
    </row>
    <row r="25" spans="1:1">
      <c r="A25" s="5" t="s">
        <v>18</v>
      </c>
    </row>
    <row r="26" spans="1:1" ht="60" customHeight="1">
      <c r="A26" s="4" t="s">
        <v>19</v>
      </c>
    </row>
    <row r="28" spans="1:1">
      <c r="A28" s="5" t="s">
        <v>20</v>
      </c>
    </row>
    <row r="29" spans="1:1" ht="60" customHeight="1">
      <c r="A29" s="4" t="s">
        <v>21</v>
      </c>
    </row>
    <row r="31" spans="1:1">
      <c r="A31" s="5" t="s">
        <v>22</v>
      </c>
    </row>
    <row r="32" spans="1:1" ht="75" customHeight="1">
      <c r="A32" s="4" t="s">
        <v>23</v>
      </c>
    </row>
    <row r="34" spans="1:1">
      <c r="A34" s="5" t="s">
        <v>24</v>
      </c>
    </row>
    <row r="35" spans="1:1" ht="45" customHeight="1">
      <c r="A35" s="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G74"/>
  <sheetViews>
    <sheetView showGridLines="0" zoomScale="110" zoomScaleNormal="11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42.7109375" customWidth="1"/>
    <col min="2" max="2" width="14.7109375" customWidth="1"/>
    <col min="3" max="5" width="13.7109375" customWidth="1"/>
    <col min="6" max="6" width="14.7109375" customWidth="1"/>
    <col min="7" max="7" width="46.7109375" customWidth="1"/>
  </cols>
  <sheetData>
    <row r="1" spans="1:7" ht="22" customHeight="1">
      <c r="A1" s="1" t="s">
        <v>26</v>
      </c>
      <c r="B1" s="1"/>
      <c r="C1" s="1"/>
      <c r="D1" s="1"/>
      <c r="E1" s="1"/>
      <c r="F1" s="1"/>
      <c r="G1" s="1"/>
    </row>
    <row r="2" spans="1:7" ht="16" customHeight="1">
      <c r="A2" s="2" t="s">
        <v>27</v>
      </c>
      <c r="B2" s="2"/>
      <c r="C2" s="2"/>
      <c r="D2" s="2"/>
      <c r="E2" s="2"/>
      <c r="F2" s="2"/>
      <c r="G2" s="2"/>
    </row>
    <row r="4" spans="1:7">
      <c r="A4" s="14" t="s">
        <v>28</v>
      </c>
      <c r="C4" s="15" t="s">
        <v>29</v>
      </c>
      <c r="D4" s="16" t="s">
        <v>30</v>
      </c>
    </row>
    <row r="6" spans="1:7">
      <c r="A6" s="17" t="s">
        <v>31</v>
      </c>
      <c r="B6" s="17" t="s">
        <v>32</v>
      </c>
      <c r="C6" s="17" t="s">
        <v>29</v>
      </c>
      <c r="D6" s="17" t="s">
        <v>33</v>
      </c>
      <c r="E6" s="17" t="s">
        <v>34</v>
      </c>
      <c r="F6" s="17" t="s">
        <v>35</v>
      </c>
      <c r="G6" s="17" t="s">
        <v>36</v>
      </c>
    </row>
    <row r="7" spans="1:7">
      <c r="A7" s="14" t="s">
        <v>37</v>
      </c>
      <c r="B7" s="14"/>
      <c r="C7" s="14"/>
      <c r="D7" s="14"/>
      <c r="E7" s="14"/>
      <c r="F7" s="14"/>
      <c r="G7" s="14"/>
    </row>
    <row r="8" spans="1:7">
      <c r="A8" s="18" t="s">
        <v>38</v>
      </c>
      <c r="B8" s="16" t="s">
        <v>39</v>
      </c>
      <c r="C8" s="19">
        <v>900000</v>
      </c>
      <c r="D8" s="19">
        <v>900000</v>
      </c>
      <c r="E8" s="19">
        <v>900000</v>
      </c>
      <c r="F8" s="20">
        <f>CHOOSE(MATCH('Assumptions'!$C$4,{"Base","Upside","Downside"},0),C8,D8,E8)</f>
        <v>0</v>
      </c>
      <c r="G8" s="21" t="s">
        <v>40</v>
      </c>
    </row>
    <row r="9" spans="1:7">
      <c r="A9" s="18" t="s">
        <v>41</v>
      </c>
      <c r="B9" s="16" t="s">
        <v>39</v>
      </c>
      <c r="C9" s="19">
        <v>1250000</v>
      </c>
      <c r="D9" s="19">
        <v>1250000</v>
      </c>
      <c r="E9" s="19">
        <v>1250000</v>
      </c>
      <c r="F9" s="20">
        <f>CHOOSE(MATCH('Assumptions'!$C$4,{"Base","Upside","Downside"},0),C9,D9,E9)</f>
        <v>0</v>
      </c>
      <c r="G9" s="21" t="s">
        <v>42</v>
      </c>
    </row>
    <row r="10" spans="1:7">
      <c r="A10" s="18" t="s">
        <v>43</v>
      </c>
      <c r="B10" s="16" t="s">
        <v>44</v>
      </c>
      <c r="C10" s="22">
        <v>0</v>
      </c>
      <c r="D10" s="22">
        <v>0</v>
      </c>
      <c r="E10" s="22">
        <v>0</v>
      </c>
      <c r="F10" s="23">
        <f>CHOOSE(MATCH('Assumptions'!$C$4,{"Base","Upside","Downside"},0),C10,D10,E10)</f>
        <v>0</v>
      </c>
      <c r="G10" s="21" t="s">
        <v>45</v>
      </c>
    </row>
    <row r="11" spans="1:7" ht="5" customHeight="1"/>
    <row r="12" spans="1:7">
      <c r="A12" s="14" t="s">
        <v>46</v>
      </c>
      <c r="B12" s="14"/>
      <c r="C12" s="14"/>
      <c r="D12" s="14"/>
      <c r="E12" s="14"/>
      <c r="F12" s="14"/>
      <c r="G12" s="14"/>
    </row>
    <row r="13" spans="1:7">
      <c r="A13" s="18" t="s">
        <v>47</v>
      </c>
      <c r="B13" s="16" t="s">
        <v>39</v>
      </c>
      <c r="C13" s="19">
        <v>650000</v>
      </c>
      <c r="D13" s="19">
        <v>725000</v>
      </c>
      <c r="E13" s="19">
        <v>500000</v>
      </c>
      <c r="F13" s="20">
        <f>CHOOSE(MATCH('Assumptions'!$C$4,{"Base","Upside","Downside"},0),C13,D13,E13)</f>
        <v>0</v>
      </c>
      <c r="G13" s="21" t="s">
        <v>48</v>
      </c>
    </row>
    <row r="14" spans="1:7">
      <c r="A14" s="18" t="s">
        <v>49</v>
      </c>
      <c r="B14" s="16" t="s">
        <v>50</v>
      </c>
      <c r="C14" s="19">
        <v>2.4</v>
      </c>
      <c r="D14" s="19">
        <v>2.9</v>
      </c>
      <c r="E14" s="19">
        <v>1.9</v>
      </c>
      <c r="F14" s="20">
        <f>CHOOSE(MATCH('Assumptions'!$C$4,{"Base","Upside","Downside"},0),C14,D14,E14)</f>
        <v>0</v>
      </c>
      <c r="G14" s="21" t="s">
        <v>51</v>
      </c>
    </row>
    <row r="15" spans="1:7">
      <c r="A15" s="18" t="s">
        <v>52</v>
      </c>
      <c r="B15" s="16" t="s">
        <v>44</v>
      </c>
      <c r="C15" s="24">
        <v>0.0384</v>
      </c>
      <c r="D15" s="24">
        <v>0.0491</v>
      </c>
      <c r="E15" s="24">
        <v>0.0123</v>
      </c>
      <c r="F15" s="25">
        <f>CHOOSE(MATCH('Assumptions'!$C$4,{"Base","Upside","Downside"},0),C15,D15,E15)</f>
        <v>0</v>
      </c>
      <c r="G15" s="21" t="s">
        <v>53</v>
      </c>
    </row>
    <row r="16" spans="1:7">
      <c r="A16" s="18" t="s">
        <v>54</v>
      </c>
      <c r="B16" s="16" t="s">
        <v>44</v>
      </c>
      <c r="C16" s="24">
        <v>0.34</v>
      </c>
      <c r="D16" s="24">
        <v>0.4</v>
      </c>
      <c r="E16" s="24">
        <v>0.26</v>
      </c>
      <c r="F16" s="25">
        <f>CHOOSE(MATCH('Assumptions'!$C$4,{"Base","Upside","Downside"},0),C16,D16,E16)</f>
        <v>0</v>
      </c>
      <c r="G16" s="21" t="s">
        <v>55</v>
      </c>
    </row>
    <row r="17" spans="1:7">
      <c r="A17" s="18" t="s">
        <v>56</v>
      </c>
      <c r="B17" s="16" t="s">
        <v>39</v>
      </c>
      <c r="C17" s="19">
        <v>85000</v>
      </c>
      <c r="D17" s="19">
        <v>95000</v>
      </c>
      <c r="E17" s="19">
        <v>72000</v>
      </c>
      <c r="F17" s="20">
        <f>CHOOSE(MATCH('Assumptions'!$C$4,{"Base","Upside","Downside"},0),C17,D17,E17)</f>
        <v>0</v>
      </c>
      <c r="G17" s="21" t="s">
        <v>57</v>
      </c>
    </row>
    <row r="18" spans="1:7">
      <c r="A18" s="18" t="s">
        <v>58</v>
      </c>
      <c r="B18" s="16" t="s">
        <v>44</v>
      </c>
      <c r="C18" s="24">
        <v>0.0037</v>
      </c>
      <c r="D18" s="24">
        <v>0.0123</v>
      </c>
      <c r="E18" s="24">
        <v>-0.0017</v>
      </c>
      <c r="F18" s="25">
        <f>CHOOSE(MATCH('Assumptions'!$C$4,{"Base","Upside","Downside"},0),C18,D18,E18)</f>
        <v>0</v>
      </c>
      <c r="G18" s="21" t="s">
        <v>59</v>
      </c>
    </row>
    <row r="19" spans="1:7">
      <c r="A19" s="18" t="s">
        <v>60</v>
      </c>
      <c r="B19" s="16" t="s">
        <v>61</v>
      </c>
      <c r="C19" s="19">
        <v>2.5</v>
      </c>
      <c r="D19" s="19">
        <v>2.2</v>
      </c>
      <c r="E19" s="19">
        <v>3.1</v>
      </c>
      <c r="F19" s="20">
        <f>CHOOSE(MATCH('Assumptions'!$C$4,{"Base","Upside","Downside"},0),C19,D19,E19)</f>
        <v>0</v>
      </c>
      <c r="G19" s="21" t="s">
        <v>62</v>
      </c>
    </row>
    <row r="20" spans="1:7" ht="5" customHeight="1"/>
    <row r="21" spans="1:7">
      <c r="A21" s="14" t="s">
        <v>63</v>
      </c>
      <c r="B21" s="14"/>
      <c r="C21" s="14"/>
      <c r="D21" s="14"/>
      <c r="E21" s="14"/>
      <c r="F21" s="14"/>
      <c r="G21" s="14"/>
    </row>
    <row r="22" spans="1:7">
      <c r="A22" s="18" t="s">
        <v>64</v>
      </c>
      <c r="B22" s="16" t="s">
        <v>65</v>
      </c>
      <c r="C22" s="19">
        <v>140</v>
      </c>
      <c r="D22" s="19">
        <v>145</v>
      </c>
      <c r="E22" s="19">
        <v>135</v>
      </c>
      <c r="F22" s="20">
        <f>CHOOSE(MATCH('Assumptions'!$C$4,{"Base","Upside","Downside"},0),C22,D22,E22)</f>
        <v>0</v>
      </c>
      <c r="G22" s="21" t="s">
        <v>66</v>
      </c>
    </row>
    <row r="23" spans="1:7">
      <c r="A23" s="18" t="s">
        <v>67</v>
      </c>
      <c r="B23" s="16" t="s">
        <v>44</v>
      </c>
      <c r="C23" s="24">
        <v>0.72</v>
      </c>
      <c r="D23" s="24">
        <v>0.8</v>
      </c>
      <c r="E23" s="24">
        <v>0.62</v>
      </c>
      <c r="F23" s="25">
        <f>CHOOSE(MATCH('Assumptions'!$C$4,{"Base","Upside","Downside"},0),C23,D23,E23)</f>
        <v>0</v>
      </c>
      <c r="G23" s="21" t="s">
        <v>68</v>
      </c>
    </row>
    <row r="24" spans="1:7">
      <c r="A24" s="18" t="s">
        <v>69</v>
      </c>
      <c r="B24" s="16" t="s">
        <v>44</v>
      </c>
      <c r="C24" s="24">
        <v>0.93</v>
      </c>
      <c r="D24" s="24">
        <v>0.97</v>
      </c>
      <c r="E24" s="24">
        <v>0.88</v>
      </c>
      <c r="F24" s="25">
        <f>CHOOSE(MATCH('Assumptions'!$C$4,{"Base","Upside","Downside"},0),C24,D24,E24)</f>
        <v>0</v>
      </c>
      <c r="G24" s="21" t="s">
        <v>70</v>
      </c>
    </row>
    <row r="25" spans="1:7">
      <c r="A25" s="18" t="s">
        <v>71</v>
      </c>
      <c r="B25" s="16" t="s">
        <v>72</v>
      </c>
      <c r="C25" s="19">
        <v>195</v>
      </c>
      <c r="D25" s="19">
        <v>210</v>
      </c>
      <c r="E25" s="19">
        <v>180</v>
      </c>
      <c r="F25" s="20">
        <f>CHOOSE(MATCH('Assumptions'!$C$4,{"Base","Upside","Downside"},0),C25,D25,E25)</f>
        <v>0</v>
      </c>
      <c r="G25" s="21" t="s">
        <v>73</v>
      </c>
    </row>
    <row r="26" spans="1:7">
      <c r="A26" s="18" t="s">
        <v>74</v>
      </c>
      <c r="B26" s="16" t="s">
        <v>44</v>
      </c>
      <c r="C26" s="24">
        <v>0.0049</v>
      </c>
      <c r="D26" s="24">
        <v>0.008999999999999999</v>
      </c>
      <c r="E26" s="24">
        <v>0.0001</v>
      </c>
      <c r="F26" s="25">
        <f>CHOOSE(MATCH('Assumptions'!$C$4,{"Base","Upside","Downside"},0),C26,D26,E26)</f>
        <v>0</v>
      </c>
      <c r="G26" s="21" t="s">
        <v>75</v>
      </c>
    </row>
    <row r="27" spans="1:7">
      <c r="A27" s="18" t="s">
        <v>76</v>
      </c>
      <c r="B27" s="16" t="s">
        <v>44</v>
      </c>
      <c r="C27" s="24">
        <v>0.18</v>
      </c>
      <c r="D27" s="24">
        <v>0.28</v>
      </c>
      <c r="E27" s="24">
        <v>0.08</v>
      </c>
      <c r="F27" s="25">
        <f>CHOOSE(MATCH('Assumptions'!$C$4,{"Base","Upside","Downside"},0),C27,D27,E27)</f>
        <v>0</v>
      </c>
      <c r="G27" s="21" t="s">
        <v>77</v>
      </c>
    </row>
    <row r="28" spans="1:7" ht="5" customHeight="1"/>
    <row r="29" spans="1:7">
      <c r="A29" s="14" t="s">
        <v>78</v>
      </c>
      <c r="B29" s="14"/>
      <c r="C29" s="14"/>
      <c r="D29" s="14"/>
      <c r="E29" s="14"/>
      <c r="F29" s="14"/>
      <c r="G29" s="14"/>
    </row>
    <row r="30" spans="1:7">
      <c r="A30" s="18" t="s">
        <v>79</v>
      </c>
      <c r="B30" s="16" t="s">
        <v>44</v>
      </c>
      <c r="C30" s="24">
        <v>0.1</v>
      </c>
      <c r="D30" s="24">
        <v>0.07000000000000001</v>
      </c>
      <c r="E30" s="24">
        <v>0.14</v>
      </c>
      <c r="F30" s="25">
        <f>CHOOSE(MATCH('Assumptions'!$C$4,{"Base","Upside","Downside"},0),C30,D30,E30)</f>
        <v>0</v>
      </c>
      <c r="G30" s="21" t="s">
        <v>80</v>
      </c>
    </row>
    <row r="31" spans="1:7">
      <c r="A31" s="18" t="s">
        <v>81</v>
      </c>
      <c r="B31" s="16" t="s">
        <v>82</v>
      </c>
      <c r="C31" s="19">
        <v>1450</v>
      </c>
      <c r="D31" s="19">
        <v>1300</v>
      </c>
      <c r="E31" s="19">
        <v>1700</v>
      </c>
      <c r="F31" s="20">
        <f>CHOOSE(MATCH('Assumptions'!$C$4,{"Base","Upside","Downside"},0),C31,D31,E31)</f>
        <v>0</v>
      </c>
      <c r="G31" s="21" t="s">
        <v>83</v>
      </c>
    </row>
    <row r="32" spans="1:7" ht="5" customHeight="1"/>
    <row r="33" spans="1:7">
      <c r="A33" s="14" t="s">
        <v>84</v>
      </c>
      <c r="B33" s="14"/>
      <c r="C33" s="14"/>
      <c r="D33" s="14"/>
      <c r="E33" s="14"/>
      <c r="F33" s="14"/>
      <c r="G33" s="14"/>
    </row>
    <row r="34" spans="1:7">
      <c r="A34" s="18" t="s">
        <v>85</v>
      </c>
      <c r="B34" s="16" t="s">
        <v>86</v>
      </c>
      <c r="C34" s="19">
        <v>6</v>
      </c>
      <c r="D34" s="19">
        <v>7</v>
      </c>
      <c r="E34" s="19">
        <v>5</v>
      </c>
      <c r="F34" s="20">
        <f>CHOOSE(MATCH('Assumptions'!$C$4,{"Base","Upside","Downside"},0),C34,D34,E34)</f>
        <v>0</v>
      </c>
      <c r="G34" s="21" t="s">
        <v>87</v>
      </c>
    </row>
    <row r="35" spans="1:7">
      <c r="A35" s="18" t="s">
        <v>88</v>
      </c>
      <c r="B35" s="16" t="s">
        <v>86</v>
      </c>
      <c r="C35" s="19">
        <v>1.5</v>
      </c>
      <c r="D35" s="19">
        <v>2</v>
      </c>
      <c r="E35" s="19">
        <v>0.8</v>
      </c>
      <c r="F35" s="20">
        <f>CHOOSE(MATCH('Assumptions'!$C$4,{"Base","Upside","Downside"},0),C35,D35,E35)</f>
        <v>0</v>
      </c>
      <c r="G35" s="21" t="s">
        <v>89</v>
      </c>
    </row>
    <row r="36" spans="1:7">
      <c r="A36" s="18" t="s">
        <v>90</v>
      </c>
      <c r="B36" s="16" t="s">
        <v>82</v>
      </c>
      <c r="C36" s="19">
        <v>12500</v>
      </c>
      <c r="D36" s="19">
        <v>12500</v>
      </c>
      <c r="E36" s="19">
        <v>12500</v>
      </c>
      <c r="F36" s="20">
        <f>CHOOSE(MATCH('Assumptions'!$C$4,{"Base","Upside","Downside"},0),C36,D36,E36)</f>
        <v>0</v>
      </c>
      <c r="G36" s="21" t="s">
        <v>91</v>
      </c>
    </row>
    <row r="37" spans="1:7" ht="5" customHeight="1"/>
    <row r="38" spans="1:7">
      <c r="A38" s="14" t="s">
        <v>92</v>
      </c>
      <c r="B38" s="14"/>
      <c r="C38" s="14"/>
      <c r="D38" s="14"/>
      <c r="E38" s="14"/>
      <c r="F38" s="14"/>
      <c r="G38" s="14"/>
    </row>
    <row r="39" spans="1:7">
      <c r="A39" s="18" t="s">
        <v>93</v>
      </c>
      <c r="B39" s="16" t="s">
        <v>86</v>
      </c>
      <c r="C39" s="19">
        <v>1.5</v>
      </c>
      <c r="D39" s="19">
        <v>2</v>
      </c>
      <c r="E39" s="19">
        <v>1</v>
      </c>
      <c r="F39" s="20">
        <f>CHOOSE(MATCH('Assumptions'!$C$4,{"Base","Upside","Downside"},0),C39,D39,E39)</f>
        <v>0</v>
      </c>
      <c r="G39" s="21" t="s">
        <v>94</v>
      </c>
    </row>
    <row r="40" spans="1:7">
      <c r="A40" s="18" t="s">
        <v>95</v>
      </c>
      <c r="B40" s="16" t="s">
        <v>86</v>
      </c>
      <c r="C40" s="19">
        <v>0.5</v>
      </c>
      <c r="D40" s="19">
        <v>0.8</v>
      </c>
      <c r="E40" s="19">
        <v>0.2</v>
      </c>
      <c r="F40" s="20">
        <f>CHOOSE(MATCH('Assumptions'!$C$4,{"Base","Upside","Downside"},0),C40,D40,E40)</f>
        <v>0</v>
      </c>
      <c r="G40" s="21" t="s">
        <v>96</v>
      </c>
    </row>
    <row r="41" spans="1:7">
      <c r="A41" s="18" t="s">
        <v>97</v>
      </c>
      <c r="B41" s="16" t="s">
        <v>82</v>
      </c>
      <c r="C41" s="19">
        <v>15500</v>
      </c>
      <c r="D41" s="19">
        <v>15500</v>
      </c>
      <c r="E41" s="19">
        <v>15500</v>
      </c>
      <c r="F41" s="20">
        <f>CHOOSE(MATCH('Assumptions'!$C$4,{"Base","Upside","Downside"},0),C41,D41,E41)</f>
        <v>0</v>
      </c>
      <c r="G41" s="21" t="s">
        <v>98</v>
      </c>
    </row>
    <row r="42" spans="1:7" ht="5" customHeight="1"/>
    <row r="43" spans="1:7">
      <c r="A43" s="14" t="s">
        <v>99</v>
      </c>
      <c r="B43" s="14"/>
      <c r="C43" s="14"/>
      <c r="D43" s="14"/>
      <c r="E43" s="14"/>
      <c r="F43" s="14"/>
      <c r="G43" s="14"/>
    </row>
    <row r="44" spans="1:7">
      <c r="A44" s="18" t="s">
        <v>100</v>
      </c>
      <c r="B44" s="16" t="s">
        <v>86</v>
      </c>
      <c r="C44" s="19">
        <v>2</v>
      </c>
      <c r="D44" s="19">
        <v>2</v>
      </c>
      <c r="E44" s="19">
        <v>2</v>
      </c>
      <c r="F44" s="20">
        <f>CHOOSE(MATCH('Assumptions'!$C$4,{"Base","Upside","Downside"},0),C44,D44,E44)</f>
        <v>0</v>
      </c>
      <c r="G44" s="21" t="s">
        <v>101</v>
      </c>
    </row>
    <row r="45" spans="1:7">
      <c r="A45" s="18" t="s">
        <v>102</v>
      </c>
      <c r="B45" s="16" t="s">
        <v>86</v>
      </c>
      <c r="C45" s="19">
        <v>0.75</v>
      </c>
      <c r="D45" s="19">
        <v>1</v>
      </c>
      <c r="E45" s="19">
        <v>0.4</v>
      </c>
      <c r="F45" s="20">
        <f>CHOOSE(MATCH('Assumptions'!$C$4,{"Base","Upside","Downside"},0),C45,D45,E45)</f>
        <v>0</v>
      </c>
      <c r="G45" s="21" t="s">
        <v>103</v>
      </c>
    </row>
    <row r="46" spans="1:7">
      <c r="A46" s="18" t="s">
        <v>104</v>
      </c>
      <c r="B46" s="16" t="s">
        <v>82</v>
      </c>
      <c r="C46" s="19">
        <v>13500</v>
      </c>
      <c r="D46" s="19">
        <v>13500</v>
      </c>
      <c r="E46" s="19">
        <v>13500</v>
      </c>
      <c r="F46" s="20">
        <f>CHOOSE(MATCH('Assumptions'!$C$4,{"Base","Upside","Downside"},0),C46,D46,E46)</f>
        <v>0</v>
      </c>
      <c r="G46" s="21" t="s">
        <v>105</v>
      </c>
    </row>
    <row r="47" spans="1:7" ht="5" customHeight="1"/>
    <row r="48" spans="1:7">
      <c r="A48" s="14" t="s">
        <v>106</v>
      </c>
      <c r="B48" s="14"/>
      <c r="C48" s="14"/>
      <c r="D48" s="14"/>
      <c r="E48" s="14"/>
      <c r="F48" s="14"/>
      <c r="G48" s="14"/>
    </row>
    <row r="49" spans="1:7">
      <c r="A49" s="18" t="s">
        <v>107</v>
      </c>
      <c r="B49" s="16" t="s">
        <v>86</v>
      </c>
      <c r="C49" s="19">
        <v>2</v>
      </c>
      <c r="D49" s="19">
        <v>2</v>
      </c>
      <c r="E49" s="19">
        <v>2</v>
      </c>
      <c r="F49" s="20">
        <f>CHOOSE(MATCH('Assumptions'!$C$4,{"Base","Upside","Downside"},0),C49,D49,E49)</f>
        <v>0</v>
      </c>
      <c r="G49" s="21" t="s">
        <v>108</v>
      </c>
    </row>
    <row r="50" spans="1:7">
      <c r="A50" s="18" t="s">
        <v>109</v>
      </c>
      <c r="B50" s="16" t="s">
        <v>86</v>
      </c>
      <c r="C50" s="19">
        <v>0.4</v>
      </c>
      <c r="D50" s="19">
        <v>0.5</v>
      </c>
      <c r="E50" s="19">
        <v>0.2</v>
      </c>
      <c r="F50" s="20">
        <f>CHOOSE(MATCH('Assumptions'!$C$4,{"Base","Upside","Downside"},0),C50,D50,E50)</f>
        <v>0</v>
      </c>
      <c r="G50" s="21" t="s">
        <v>110</v>
      </c>
    </row>
    <row r="51" spans="1:7">
      <c r="A51" s="18" t="s">
        <v>111</v>
      </c>
      <c r="B51" s="16" t="s">
        <v>82</v>
      </c>
      <c r="C51" s="19">
        <v>10500</v>
      </c>
      <c r="D51" s="19">
        <v>10500</v>
      </c>
      <c r="E51" s="19">
        <v>10500</v>
      </c>
      <c r="F51" s="20">
        <f>CHOOSE(MATCH('Assumptions'!$C$4,{"Base","Upside","Downside"},0),C51,D51,E51)</f>
        <v>0</v>
      </c>
      <c r="G51" s="21" t="s">
        <v>91</v>
      </c>
    </row>
    <row r="52" spans="1:7" ht="5" customHeight="1"/>
    <row r="53" spans="1:7">
      <c r="A53" s="14" t="s">
        <v>112</v>
      </c>
      <c r="B53" s="14"/>
      <c r="C53" s="14"/>
      <c r="D53" s="14"/>
      <c r="E53" s="14"/>
      <c r="F53" s="14"/>
      <c r="G53" s="14"/>
    </row>
    <row r="54" spans="1:7">
      <c r="A54" s="18" t="s">
        <v>113</v>
      </c>
      <c r="B54" s="16" t="s">
        <v>44</v>
      </c>
      <c r="C54" s="24">
        <v>0.06</v>
      </c>
      <c r="D54" s="24">
        <v>0.05</v>
      </c>
      <c r="E54" s="24">
        <v>0.07000000000000001</v>
      </c>
      <c r="F54" s="25">
        <f>CHOOSE(MATCH('Assumptions'!$C$4,{"Base","Upside","Downside"},0),C54,D54,E54)</f>
        <v>0</v>
      </c>
      <c r="G54" s="21" t="s">
        <v>114</v>
      </c>
    </row>
    <row r="55" spans="1:7">
      <c r="A55" s="18" t="s">
        <v>115</v>
      </c>
      <c r="B55" s="16" t="s">
        <v>82</v>
      </c>
      <c r="C55" s="19">
        <v>18000</v>
      </c>
      <c r="D55" s="19">
        <v>22000</v>
      </c>
      <c r="E55" s="19">
        <v>14000</v>
      </c>
      <c r="F55" s="20">
        <f>CHOOSE(MATCH('Assumptions'!$C$4,{"Base","Upside","Downside"},0),C55,D55,E55)</f>
        <v>0</v>
      </c>
      <c r="G55" s="21" t="s">
        <v>116</v>
      </c>
    </row>
    <row r="56" spans="1:7">
      <c r="A56" s="18" t="s">
        <v>117</v>
      </c>
      <c r="B56" s="16" t="s">
        <v>44</v>
      </c>
      <c r="C56" s="24">
        <v>0.008200000000000001</v>
      </c>
      <c r="D56" s="24">
        <v>0.0143</v>
      </c>
      <c r="E56" s="24">
        <v>0.0039</v>
      </c>
      <c r="F56" s="25">
        <f>CHOOSE(MATCH('Assumptions'!$C$4,{"Base","Upside","Downside"},0),C56,D56,E56)</f>
        <v>0</v>
      </c>
      <c r="G56" s="21" t="s">
        <v>118</v>
      </c>
    </row>
    <row r="57" spans="1:7">
      <c r="A57" s="18" t="s">
        <v>119</v>
      </c>
      <c r="B57" s="16" t="s">
        <v>82</v>
      </c>
      <c r="C57" s="19">
        <v>7500</v>
      </c>
      <c r="D57" s="19">
        <v>7500</v>
      </c>
      <c r="E57" s="19">
        <v>7500</v>
      </c>
      <c r="F57" s="20">
        <f>CHOOSE(MATCH('Assumptions'!$C$4,{"Base","Upside","Downside"},0),C57,D57,E57)</f>
        <v>0</v>
      </c>
      <c r="G57" s="21" t="s">
        <v>120</v>
      </c>
    </row>
    <row r="58" spans="1:7">
      <c r="A58" s="18" t="s">
        <v>121</v>
      </c>
      <c r="B58" s="16" t="s">
        <v>82</v>
      </c>
      <c r="C58" s="19">
        <v>5500</v>
      </c>
      <c r="D58" s="19">
        <v>5500</v>
      </c>
      <c r="E58" s="19">
        <v>5500</v>
      </c>
      <c r="F58" s="20">
        <f>CHOOSE(MATCH('Assumptions'!$C$4,{"Base","Upside","Downside"},0),C58,D58,E58)</f>
        <v>0</v>
      </c>
      <c r="G58" s="21" t="s">
        <v>122</v>
      </c>
    </row>
    <row r="59" spans="1:7" ht="5" customHeight="1"/>
    <row r="60" spans="1:7">
      <c r="A60" s="14" t="s">
        <v>123</v>
      </c>
      <c r="B60" s="14"/>
      <c r="C60" s="14"/>
      <c r="D60" s="14"/>
      <c r="E60" s="14"/>
      <c r="F60" s="14"/>
      <c r="G60" s="14"/>
    </row>
    <row r="61" spans="1:7">
      <c r="A61" s="18" t="s">
        <v>124</v>
      </c>
      <c r="B61" s="16" t="s">
        <v>125</v>
      </c>
      <c r="C61" s="19">
        <v>55</v>
      </c>
      <c r="D61" s="19">
        <v>45</v>
      </c>
      <c r="E61" s="19">
        <v>65</v>
      </c>
      <c r="F61" s="20">
        <f>CHOOSE(MATCH('Assumptions'!$C$4,{"Base","Upside","Downside"},0),C61,D61,E61)</f>
        <v>0</v>
      </c>
      <c r="G61" s="21" t="s">
        <v>126</v>
      </c>
    </row>
    <row r="62" spans="1:7">
      <c r="A62" s="18" t="s">
        <v>127</v>
      </c>
      <c r="B62" s="16" t="s">
        <v>125</v>
      </c>
      <c r="C62" s="19">
        <v>30</v>
      </c>
      <c r="D62" s="19">
        <v>35</v>
      </c>
      <c r="E62" s="19">
        <v>25</v>
      </c>
      <c r="F62" s="20">
        <f>CHOOSE(MATCH('Assumptions'!$C$4,{"Base","Upside","Downside"},0),C62,D62,E62)</f>
        <v>0</v>
      </c>
      <c r="G62" s="21" t="s">
        <v>128</v>
      </c>
    </row>
    <row r="63" spans="1:7">
      <c r="A63" s="18" t="s">
        <v>129</v>
      </c>
      <c r="B63" s="16" t="s">
        <v>130</v>
      </c>
      <c r="C63" s="19">
        <v>0.1</v>
      </c>
      <c r="D63" s="19">
        <v>0.2</v>
      </c>
      <c r="E63" s="19">
        <v>0</v>
      </c>
      <c r="F63" s="20">
        <f>CHOOSE(MATCH('Assumptions'!$C$4,{"Base","Upside","Downside"},0),C63,D63,E63)</f>
        <v>0</v>
      </c>
      <c r="G63" s="21" t="s">
        <v>131</v>
      </c>
    </row>
    <row r="64" spans="1:7">
      <c r="A64" s="18" t="s">
        <v>132</v>
      </c>
      <c r="B64" s="16" t="s">
        <v>44</v>
      </c>
      <c r="C64" s="24">
        <v>0.01</v>
      </c>
      <c r="D64" s="24">
        <v>0.008</v>
      </c>
      <c r="E64" s="24">
        <v>0.015</v>
      </c>
      <c r="F64" s="25">
        <f>CHOOSE(MATCH('Assumptions'!$C$4,{"Base","Upside","Downside"},0),C64,D64,E64)</f>
        <v>0</v>
      </c>
      <c r="G64" s="21" t="s">
        <v>133</v>
      </c>
    </row>
    <row r="65" spans="1:7">
      <c r="A65" s="18" t="s">
        <v>134</v>
      </c>
      <c r="B65" s="16" t="s">
        <v>61</v>
      </c>
      <c r="C65" s="19">
        <v>36</v>
      </c>
      <c r="D65" s="19">
        <v>36</v>
      </c>
      <c r="E65" s="19">
        <v>36</v>
      </c>
      <c r="F65" s="20">
        <f>CHOOSE(MATCH('Assumptions'!$C$4,{"Base","Upside","Downside"},0),C65,D65,E65)</f>
        <v>0</v>
      </c>
      <c r="G65" s="21"/>
    </row>
    <row r="66" spans="1:7">
      <c r="A66" s="18" t="s">
        <v>135</v>
      </c>
      <c r="B66" s="16" t="s">
        <v>44</v>
      </c>
      <c r="C66" s="24">
        <v>0.02</v>
      </c>
      <c r="D66" s="24">
        <v>0.02</v>
      </c>
      <c r="E66" s="24">
        <v>0.025</v>
      </c>
      <c r="F66" s="25">
        <f>CHOOSE(MATCH('Assumptions'!$C$4,{"Base","Upside","Downside"},0),C66,D66,E66)</f>
        <v>0</v>
      </c>
      <c r="G66" s="21" t="s">
        <v>136</v>
      </c>
    </row>
    <row r="67" spans="1:7">
      <c r="A67" s="18" t="s">
        <v>137</v>
      </c>
      <c r="B67" s="16" t="s">
        <v>44</v>
      </c>
      <c r="C67" s="24">
        <v>0.1</v>
      </c>
      <c r="D67" s="24">
        <v>0.09</v>
      </c>
      <c r="E67" s="24">
        <v>0.12</v>
      </c>
      <c r="F67" s="25">
        <f>CHOOSE(MATCH('Assumptions'!$C$4,{"Base","Upside","Downside"},0),C67,D67,E67)</f>
        <v>0</v>
      </c>
      <c r="G67" s="21"/>
    </row>
    <row r="68" spans="1:7">
      <c r="A68" s="18" t="s">
        <v>138</v>
      </c>
      <c r="B68" s="16" t="s">
        <v>39</v>
      </c>
      <c r="C68" s="19">
        <v>300000</v>
      </c>
      <c r="D68" s="19">
        <v>300000</v>
      </c>
      <c r="E68" s="19">
        <v>200000</v>
      </c>
      <c r="F68" s="20">
        <f>CHOOSE(MATCH('Assumptions'!$C$4,{"Base","Upside","Downside"},0),C68,D68,E68)</f>
        <v>0</v>
      </c>
      <c r="G68" s="21"/>
    </row>
    <row r="69" spans="1:7">
      <c r="A69" s="18" t="s">
        <v>139</v>
      </c>
      <c r="B69" s="16" t="s">
        <v>82</v>
      </c>
      <c r="C69" s="19">
        <v>10000</v>
      </c>
      <c r="D69" s="19">
        <v>10000</v>
      </c>
      <c r="E69" s="19">
        <v>8000</v>
      </c>
      <c r="F69" s="20">
        <f>CHOOSE(MATCH('Assumptions'!$C$4,{"Base","Upside","Downside"},0),C69,D69,E69)</f>
        <v>0</v>
      </c>
      <c r="G69" s="21"/>
    </row>
    <row r="70" spans="1:7">
      <c r="A70" s="18" t="s">
        <v>140</v>
      </c>
      <c r="B70" s="16" t="s">
        <v>39</v>
      </c>
      <c r="C70" s="19">
        <v>2000000</v>
      </c>
      <c r="D70" s="19">
        <v>2400000</v>
      </c>
      <c r="E70" s="19">
        <v>1500000</v>
      </c>
      <c r="F70" s="20">
        <f>CHOOSE(MATCH('Assumptions'!$C$4,{"Base","Upside","Downside"},0),C70,D70,E70)</f>
        <v>0</v>
      </c>
      <c r="G70" s="21"/>
    </row>
    <row r="71" spans="1:7">
      <c r="A71" s="18" t="s">
        <v>141</v>
      </c>
      <c r="B71" s="16" t="s">
        <v>39</v>
      </c>
      <c r="C71" s="19">
        <v>4000000</v>
      </c>
      <c r="D71" s="19">
        <v>5000000</v>
      </c>
      <c r="E71" s="19">
        <v>3000000</v>
      </c>
      <c r="F71" s="20">
        <f>CHOOSE(MATCH('Assumptions'!$C$4,{"Base","Upside","Downside"},0),C71,D71,E71)</f>
        <v>0</v>
      </c>
      <c r="G71" s="21"/>
    </row>
    <row r="72" spans="1:7" ht="5" customHeight="1"/>
    <row r="74" spans="1:7" ht="30" customHeight="1">
      <c r="A74" s="21" t="s">
        <v>142</v>
      </c>
      <c r="B74" s="21"/>
      <c r="C74" s="21"/>
      <c r="D74" s="21"/>
      <c r="E74" s="21"/>
      <c r="F74" s="21"/>
      <c r="G74" s="21"/>
    </row>
  </sheetData>
  <mergeCells count="13">
    <mergeCell ref="A1:G1"/>
    <mergeCell ref="A2:G2"/>
    <mergeCell ref="A7:G7"/>
    <mergeCell ref="A12:G12"/>
    <mergeCell ref="A21:G21"/>
    <mergeCell ref="A29:G29"/>
    <mergeCell ref="A33:G33"/>
    <mergeCell ref="A38:G38"/>
    <mergeCell ref="A43:G43"/>
    <mergeCell ref="A48:G48"/>
    <mergeCell ref="A53:G53"/>
    <mergeCell ref="A60:G60"/>
    <mergeCell ref="A74:G74"/>
  </mergeCells>
  <dataValidations count="1">
    <dataValidation type="list" allowBlank="1" showInputMessage="1" showErrorMessage="1" promptTitle="Choose a scenario" prompt="Base, Upside, or Downside." sqref="C4">
      <formula1>"Base,Upside,Downside"</formula1>
    </dataValidation>
  </dataValidation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dimension ref="A1:BC2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143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144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165</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166</v>
      </c>
      <c r="B8" s="16" t="s">
        <v>167</v>
      </c>
      <c r="C8" s="27">
        <f>ROUND('Assumptions'!$F$34,1)</f>
        <v>0</v>
      </c>
      <c r="D8" s="27">
        <f>ROUND(C8+'Assumptions'!$F$35/3,1)</f>
        <v>0</v>
      </c>
      <c r="E8" s="27">
        <f>ROUND(D8+'Assumptions'!$F$35/3,1)</f>
        <v>0</v>
      </c>
      <c r="F8" s="27">
        <f>ROUND(E8+'Assumptions'!$F$35/3,1)</f>
        <v>0</v>
      </c>
      <c r="G8" s="27">
        <f>ROUND(F8+'Assumptions'!$F$35/3,1)</f>
        <v>0</v>
      </c>
      <c r="H8" s="27">
        <f>ROUND(G8+'Assumptions'!$F$35/3,1)</f>
        <v>0</v>
      </c>
      <c r="I8" s="27">
        <f>ROUND(H8+'Assumptions'!$F$35/3,1)</f>
        <v>0</v>
      </c>
      <c r="J8" s="27">
        <f>ROUND(I8+'Assumptions'!$F$35/3,1)</f>
        <v>0</v>
      </c>
      <c r="K8" s="27">
        <f>ROUND(J8+'Assumptions'!$F$35/3,1)</f>
        <v>0</v>
      </c>
      <c r="L8" s="27">
        <f>ROUND(K8+'Assumptions'!$F$35/3,1)</f>
        <v>0</v>
      </c>
      <c r="M8" s="27">
        <f>ROUND(L8+'Assumptions'!$F$35/3,1)</f>
        <v>0</v>
      </c>
      <c r="N8" s="27">
        <f>ROUND(M8+'Assumptions'!$F$35/3,1)</f>
        <v>0</v>
      </c>
      <c r="O8" s="27">
        <f>ROUND(N8+'Assumptions'!$F$35/3,1)</f>
        <v>0</v>
      </c>
      <c r="P8" s="27">
        <f>ROUND(O8+'Assumptions'!$F$35/3,1)</f>
        <v>0</v>
      </c>
      <c r="Q8" s="27">
        <f>ROUND(P8+'Assumptions'!$F$35/3,1)</f>
        <v>0</v>
      </c>
      <c r="R8" s="27">
        <f>ROUND(Q8+'Assumptions'!$F$35/3,1)</f>
        <v>0</v>
      </c>
      <c r="S8" s="27">
        <f>ROUND(R8+'Assumptions'!$F$35/3,1)</f>
        <v>0</v>
      </c>
      <c r="T8" s="27">
        <f>ROUND(S8+'Assumptions'!$F$35/3,1)</f>
        <v>0</v>
      </c>
      <c r="U8" s="27">
        <f>ROUND(T8+'Assumptions'!$F$35/3,1)</f>
        <v>0</v>
      </c>
      <c r="V8" s="27">
        <f>ROUND(U8+'Assumptions'!$F$35/3,1)</f>
        <v>0</v>
      </c>
      <c r="W8" s="27">
        <f>ROUND(V8+'Assumptions'!$F$35/3,1)</f>
        <v>0</v>
      </c>
      <c r="X8" s="27">
        <f>ROUND(W8+'Assumptions'!$F$35/3,1)</f>
        <v>0</v>
      </c>
      <c r="Y8" s="27">
        <f>ROUND(X8+'Assumptions'!$F$35/3,1)</f>
        <v>0</v>
      </c>
      <c r="Z8" s="27">
        <f>ROUND(Y8+'Assumptions'!$F$35/3,1)</f>
        <v>0</v>
      </c>
      <c r="AA8" s="27">
        <f>ROUND(Z8+'Assumptions'!$F$35/3,1)</f>
        <v>0</v>
      </c>
      <c r="AB8" s="27">
        <f>ROUND(AA8+'Assumptions'!$F$35/3,1)</f>
        <v>0</v>
      </c>
      <c r="AC8" s="27">
        <f>ROUND(AB8+'Assumptions'!$F$35/3,1)</f>
        <v>0</v>
      </c>
      <c r="AD8" s="27">
        <f>ROUND(AC8+'Assumptions'!$F$35/3,1)</f>
        <v>0</v>
      </c>
      <c r="AE8" s="27">
        <f>ROUND(AD8+'Assumptions'!$F$35/3,1)</f>
        <v>0</v>
      </c>
      <c r="AF8" s="27">
        <f>ROUND(AE8+'Assumptions'!$F$35/3,1)</f>
        <v>0</v>
      </c>
      <c r="AG8" s="27">
        <f>ROUND(AF8+'Assumptions'!$F$35/3,1)</f>
        <v>0</v>
      </c>
      <c r="AH8" s="27">
        <f>ROUND(AG8+'Assumptions'!$F$35/3,1)</f>
        <v>0</v>
      </c>
      <c r="AI8" s="27">
        <f>ROUND(AH8+'Assumptions'!$F$35/3,1)</f>
        <v>0</v>
      </c>
      <c r="AJ8" s="27">
        <f>ROUND(AI8+'Assumptions'!$F$35/3,1)</f>
        <v>0</v>
      </c>
      <c r="AK8" s="27">
        <f>ROUND(AJ8+'Assumptions'!$F$35/3,1)</f>
        <v>0</v>
      </c>
      <c r="AL8" s="27">
        <f>ROUND(AK8+'Assumptions'!$F$35/3,1)</f>
        <v>0</v>
      </c>
      <c r="AN8" s="27">
        <f>E8</f>
        <v>0</v>
      </c>
      <c r="AO8" s="27">
        <f>H8</f>
        <v>0</v>
      </c>
      <c r="AP8" s="27">
        <f>K8</f>
        <v>0</v>
      </c>
      <c r="AQ8" s="27">
        <f>N8</f>
        <v>0</v>
      </c>
      <c r="AR8" s="27">
        <f>Q8</f>
        <v>0</v>
      </c>
      <c r="AS8" s="27">
        <f>T8</f>
        <v>0</v>
      </c>
      <c r="AT8" s="27">
        <f>W8</f>
        <v>0</v>
      </c>
      <c r="AU8" s="27">
        <f>Z8</f>
        <v>0</v>
      </c>
      <c r="AV8" s="27">
        <f>AC8</f>
        <v>0</v>
      </c>
      <c r="AW8" s="27">
        <f>AF8</f>
        <v>0</v>
      </c>
      <c r="AX8" s="27">
        <f>AI8</f>
        <v>0</v>
      </c>
      <c r="AY8" s="27">
        <f>AL8</f>
        <v>0</v>
      </c>
      <c r="BA8" s="27">
        <f>N8</f>
        <v>0</v>
      </c>
      <c r="BB8" s="27">
        <f>Z8</f>
        <v>0</v>
      </c>
      <c r="BC8" s="27">
        <f>AL8</f>
        <v>0</v>
      </c>
    </row>
    <row r="9" spans="1:55">
      <c r="A9" s="18" t="s">
        <v>168</v>
      </c>
      <c r="B9" s="16" t="s">
        <v>169</v>
      </c>
      <c r="C9" s="20">
        <f>C8*'Assumptions'!$F$36</f>
        <v>0</v>
      </c>
      <c r="D9" s="20">
        <f>D8*'Assumptions'!$F$36</f>
        <v>0</v>
      </c>
      <c r="E9" s="20">
        <f>E8*'Assumptions'!$F$36</f>
        <v>0</v>
      </c>
      <c r="F9" s="20">
        <f>F8*'Assumptions'!$F$36</f>
        <v>0</v>
      </c>
      <c r="G9" s="20">
        <f>G8*'Assumptions'!$F$36</f>
        <v>0</v>
      </c>
      <c r="H9" s="20">
        <f>H8*'Assumptions'!$F$36</f>
        <v>0</v>
      </c>
      <c r="I9" s="20">
        <f>I8*'Assumptions'!$F$36</f>
        <v>0</v>
      </c>
      <c r="J9" s="20">
        <f>J8*'Assumptions'!$F$36</f>
        <v>0</v>
      </c>
      <c r="K9" s="20">
        <f>K8*'Assumptions'!$F$36</f>
        <v>0</v>
      </c>
      <c r="L9" s="20">
        <f>L8*'Assumptions'!$F$36</f>
        <v>0</v>
      </c>
      <c r="M9" s="20">
        <f>M8*'Assumptions'!$F$36</f>
        <v>0</v>
      </c>
      <c r="N9" s="20">
        <f>N8*'Assumptions'!$F$36</f>
        <v>0</v>
      </c>
      <c r="O9" s="20">
        <f>O8*'Assumptions'!$F$36</f>
        <v>0</v>
      </c>
      <c r="P9" s="20">
        <f>P8*'Assumptions'!$F$36</f>
        <v>0</v>
      </c>
      <c r="Q9" s="20">
        <f>Q8*'Assumptions'!$F$36</f>
        <v>0</v>
      </c>
      <c r="R9" s="20">
        <f>R8*'Assumptions'!$F$36</f>
        <v>0</v>
      </c>
      <c r="S9" s="20">
        <f>S8*'Assumptions'!$F$36</f>
        <v>0</v>
      </c>
      <c r="T9" s="20">
        <f>T8*'Assumptions'!$F$36</f>
        <v>0</v>
      </c>
      <c r="U9" s="20">
        <f>U8*'Assumptions'!$F$36</f>
        <v>0</v>
      </c>
      <c r="V9" s="20">
        <f>V8*'Assumptions'!$F$36</f>
        <v>0</v>
      </c>
      <c r="W9" s="20">
        <f>W8*'Assumptions'!$F$36</f>
        <v>0</v>
      </c>
      <c r="X9" s="20">
        <f>X8*'Assumptions'!$F$36</f>
        <v>0</v>
      </c>
      <c r="Y9" s="20">
        <f>Y8*'Assumptions'!$F$36</f>
        <v>0</v>
      </c>
      <c r="Z9" s="20">
        <f>Z8*'Assumptions'!$F$36</f>
        <v>0</v>
      </c>
      <c r="AA9" s="20">
        <f>AA8*'Assumptions'!$F$36</f>
        <v>0</v>
      </c>
      <c r="AB9" s="20">
        <f>AB8*'Assumptions'!$F$36</f>
        <v>0</v>
      </c>
      <c r="AC9" s="20">
        <f>AC8*'Assumptions'!$F$36</f>
        <v>0</v>
      </c>
      <c r="AD9" s="20">
        <f>AD8*'Assumptions'!$F$36</f>
        <v>0</v>
      </c>
      <c r="AE9" s="20">
        <f>AE8*'Assumptions'!$F$36</f>
        <v>0</v>
      </c>
      <c r="AF9" s="20">
        <f>AF8*'Assumptions'!$F$36</f>
        <v>0</v>
      </c>
      <c r="AG9" s="20">
        <f>AG8*'Assumptions'!$F$36</f>
        <v>0</v>
      </c>
      <c r="AH9" s="20">
        <f>AH8*'Assumptions'!$F$36</f>
        <v>0</v>
      </c>
      <c r="AI9" s="20">
        <f>AI8*'Assumptions'!$F$36</f>
        <v>0</v>
      </c>
      <c r="AJ9" s="20">
        <f>AJ8*'Assumptions'!$F$36</f>
        <v>0</v>
      </c>
      <c r="AK9" s="20">
        <f>AK8*'Assumptions'!$F$36</f>
        <v>0</v>
      </c>
      <c r="AL9" s="20">
        <f>AL8*'Assumptions'!$F$36</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170</v>
      </c>
      <c r="B10" s="16" t="s">
        <v>167</v>
      </c>
      <c r="C10" s="27">
        <f>ROUND('Assumptions'!$F$39,1)</f>
        <v>0</v>
      </c>
      <c r="D10" s="27">
        <f>ROUND(C10+'Assumptions'!$F$40/3,1)</f>
        <v>0</v>
      </c>
      <c r="E10" s="27">
        <f>ROUND(D10+'Assumptions'!$F$40/3,1)</f>
        <v>0</v>
      </c>
      <c r="F10" s="27">
        <f>ROUND(E10+'Assumptions'!$F$40/3,1)</f>
        <v>0</v>
      </c>
      <c r="G10" s="27">
        <f>ROUND(F10+'Assumptions'!$F$40/3,1)</f>
        <v>0</v>
      </c>
      <c r="H10" s="27">
        <f>ROUND(G10+'Assumptions'!$F$40/3,1)</f>
        <v>0</v>
      </c>
      <c r="I10" s="27">
        <f>ROUND(H10+'Assumptions'!$F$40/3,1)</f>
        <v>0</v>
      </c>
      <c r="J10" s="27">
        <f>ROUND(I10+'Assumptions'!$F$40/3,1)</f>
        <v>0</v>
      </c>
      <c r="K10" s="27">
        <f>ROUND(J10+'Assumptions'!$F$40/3,1)</f>
        <v>0</v>
      </c>
      <c r="L10" s="27">
        <f>ROUND(K10+'Assumptions'!$F$40/3,1)</f>
        <v>0</v>
      </c>
      <c r="M10" s="27">
        <f>ROUND(L10+'Assumptions'!$F$40/3,1)</f>
        <v>0</v>
      </c>
      <c r="N10" s="27">
        <f>ROUND(M10+'Assumptions'!$F$40/3,1)</f>
        <v>0</v>
      </c>
      <c r="O10" s="27">
        <f>ROUND(N10+'Assumptions'!$F$40/3,1)</f>
        <v>0</v>
      </c>
      <c r="P10" s="27">
        <f>ROUND(O10+'Assumptions'!$F$40/3,1)</f>
        <v>0</v>
      </c>
      <c r="Q10" s="27">
        <f>ROUND(P10+'Assumptions'!$F$40/3,1)</f>
        <v>0</v>
      </c>
      <c r="R10" s="27">
        <f>ROUND(Q10+'Assumptions'!$F$40/3,1)</f>
        <v>0</v>
      </c>
      <c r="S10" s="27">
        <f>ROUND(R10+'Assumptions'!$F$40/3,1)</f>
        <v>0</v>
      </c>
      <c r="T10" s="27">
        <f>ROUND(S10+'Assumptions'!$F$40/3,1)</f>
        <v>0</v>
      </c>
      <c r="U10" s="27">
        <f>ROUND(T10+'Assumptions'!$F$40/3,1)</f>
        <v>0</v>
      </c>
      <c r="V10" s="27">
        <f>ROUND(U10+'Assumptions'!$F$40/3,1)</f>
        <v>0</v>
      </c>
      <c r="W10" s="27">
        <f>ROUND(V10+'Assumptions'!$F$40/3,1)</f>
        <v>0</v>
      </c>
      <c r="X10" s="27">
        <f>ROUND(W10+'Assumptions'!$F$40/3,1)</f>
        <v>0</v>
      </c>
      <c r="Y10" s="27">
        <f>ROUND(X10+'Assumptions'!$F$40/3,1)</f>
        <v>0</v>
      </c>
      <c r="Z10" s="27">
        <f>ROUND(Y10+'Assumptions'!$F$40/3,1)</f>
        <v>0</v>
      </c>
      <c r="AA10" s="27">
        <f>ROUND(Z10+'Assumptions'!$F$40/3,1)</f>
        <v>0</v>
      </c>
      <c r="AB10" s="27">
        <f>ROUND(AA10+'Assumptions'!$F$40/3,1)</f>
        <v>0</v>
      </c>
      <c r="AC10" s="27">
        <f>ROUND(AB10+'Assumptions'!$F$40/3,1)</f>
        <v>0</v>
      </c>
      <c r="AD10" s="27">
        <f>ROUND(AC10+'Assumptions'!$F$40/3,1)</f>
        <v>0</v>
      </c>
      <c r="AE10" s="27">
        <f>ROUND(AD10+'Assumptions'!$F$40/3,1)</f>
        <v>0</v>
      </c>
      <c r="AF10" s="27">
        <f>ROUND(AE10+'Assumptions'!$F$40/3,1)</f>
        <v>0</v>
      </c>
      <c r="AG10" s="27">
        <f>ROUND(AF10+'Assumptions'!$F$40/3,1)</f>
        <v>0</v>
      </c>
      <c r="AH10" s="27">
        <f>ROUND(AG10+'Assumptions'!$F$40/3,1)</f>
        <v>0</v>
      </c>
      <c r="AI10" s="27">
        <f>ROUND(AH10+'Assumptions'!$F$40/3,1)</f>
        <v>0</v>
      </c>
      <c r="AJ10" s="27">
        <f>ROUND(AI10+'Assumptions'!$F$40/3,1)</f>
        <v>0</v>
      </c>
      <c r="AK10" s="27">
        <f>ROUND(AJ10+'Assumptions'!$F$40/3,1)</f>
        <v>0</v>
      </c>
      <c r="AL10" s="27">
        <f>ROUND(AK10+'Assumptions'!$F$40/3,1)</f>
        <v>0</v>
      </c>
      <c r="AN10" s="27">
        <f>E10</f>
        <v>0</v>
      </c>
      <c r="AO10" s="27">
        <f>H10</f>
        <v>0</v>
      </c>
      <c r="AP10" s="27">
        <f>K10</f>
        <v>0</v>
      </c>
      <c r="AQ10" s="27">
        <f>N10</f>
        <v>0</v>
      </c>
      <c r="AR10" s="27">
        <f>Q10</f>
        <v>0</v>
      </c>
      <c r="AS10" s="27">
        <f>T10</f>
        <v>0</v>
      </c>
      <c r="AT10" s="27">
        <f>W10</f>
        <v>0</v>
      </c>
      <c r="AU10" s="27">
        <f>Z10</f>
        <v>0</v>
      </c>
      <c r="AV10" s="27">
        <f>AC10</f>
        <v>0</v>
      </c>
      <c r="AW10" s="27">
        <f>AF10</f>
        <v>0</v>
      </c>
      <c r="AX10" s="27">
        <f>AI10</f>
        <v>0</v>
      </c>
      <c r="AY10" s="27">
        <f>AL10</f>
        <v>0</v>
      </c>
      <c r="BA10" s="27">
        <f>N10</f>
        <v>0</v>
      </c>
      <c r="BB10" s="27">
        <f>Z10</f>
        <v>0</v>
      </c>
      <c r="BC10" s="27">
        <f>AL10</f>
        <v>0</v>
      </c>
    </row>
    <row r="11" spans="1:55">
      <c r="A11" s="18" t="s">
        <v>171</v>
      </c>
      <c r="B11" s="16" t="s">
        <v>169</v>
      </c>
      <c r="C11" s="20">
        <f>C10*'Assumptions'!$F$41</f>
        <v>0</v>
      </c>
      <c r="D11" s="20">
        <f>D10*'Assumptions'!$F$41</f>
        <v>0</v>
      </c>
      <c r="E11" s="20">
        <f>E10*'Assumptions'!$F$41</f>
        <v>0</v>
      </c>
      <c r="F11" s="20">
        <f>F10*'Assumptions'!$F$41</f>
        <v>0</v>
      </c>
      <c r="G11" s="20">
        <f>G10*'Assumptions'!$F$41</f>
        <v>0</v>
      </c>
      <c r="H11" s="20">
        <f>H10*'Assumptions'!$F$41</f>
        <v>0</v>
      </c>
      <c r="I11" s="20">
        <f>I10*'Assumptions'!$F$41</f>
        <v>0</v>
      </c>
      <c r="J11" s="20">
        <f>J10*'Assumptions'!$F$41</f>
        <v>0</v>
      </c>
      <c r="K11" s="20">
        <f>K10*'Assumptions'!$F$41</f>
        <v>0</v>
      </c>
      <c r="L11" s="20">
        <f>L10*'Assumptions'!$F$41</f>
        <v>0</v>
      </c>
      <c r="M11" s="20">
        <f>M10*'Assumptions'!$F$41</f>
        <v>0</v>
      </c>
      <c r="N11" s="20">
        <f>N10*'Assumptions'!$F$41</f>
        <v>0</v>
      </c>
      <c r="O11" s="20">
        <f>O10*'Assumptions'!$F$41</f>
        <v>0</v>
      </c>
      <c r="P11" s="20">
        <f>P10*'Assumptions'!$F$41</f>
        <v>0</v>
      </c>
      <c r="Q11" s="20">
        <f>Q10*'Assumptions'!$F$41</f>
        <v>0</v>
      </c>
      <c r="R11" s="20">
        <f>R10*'Assumptions'!$F$41</f>
        <v>0</v>
      </c>
      <c r="S11" s="20">
        <f>S10*'Assumptions'!$F$41</f>
        <v>0</v>
      </c>
      <c r="T11" s="20">
        <f>T10*'Assumptions'!$F$41</f>
        <v>0</v>
      </c>
      <c r="U11" s="20">
        <f>U10*'Assumptions'!$F$41</f>
        <v>0</v>
      </c>
      <c r="V11" s="20">
        <f>V10*'Assumptions'!$F$41</f>
        <v>0</v>
      </c>
      <c r="W11" s="20">
        <f>W10*'Assumptions'!$F$41</f>
        <v>0</v>
      </c>
      <c r="X11" s="20">
        <f>X10*'Assumptions'!$F$41</f>
        <v>0</v>
      </c>
      <c r="Y11" s="20">
        <f>Y10*'Assumptions'!$F$41</f>
        <v>0</v>
      </c>
      <c r="Z11" s="20">
        <f>Z10*'Assumptions'!$F$41</f>
        <v>0</v>
      </c>
      <c r="AA11" s="20">
        <f>AA10*'Assumptions'!$F$41</f>
        <v>0</v>
      </c>
      <c r="AB11" s="20">
        <f>AB10*'Assumptions'!$F$41</f>
        <v>0</v>
      </c>
      <c r="AC11" s="20">
        <f>AC10*'Assumptions'!$F$41</f>
        <v>0</v>
      </c>
      <c r="AD11" s="20">
        <f>AD10*'Assumptions'!$F$41</f>
        <v>0</v>
      </c>
      <c r="AE11" s="20">
        <f>AE10*'Assumptions'!$F$41</f>
        <v>0</v>
      </c>
      <c r="AF11" s="20">
        <f>AF10*'Assumptions'!$F$41</f>
        <v>0</v>
      </c>
      <c r="AG11" s="20">
        <f>AG10*'Assumptions'!$F$41</f>
        <v>0</v>
      </c>
      <c r="AH11" s="20">
        <f>AH10*'Assumptions'!$F$41</f>
        <v>0</v>
      </c>
      <c r="AI11" s="20">
        <f>AI10*'Assumptions'!$F$41</f>
        <v>0</v>
      </c>
      <c r="AJ11" s="20">
        <f>AJ10*'Assumptions'!$F$41</f>
        <v>0</v>
      </c>
      <c r="AK11" s="20">
        <f>AK10*'Assumptions'!$F$41</f>
        <v>0</v>
      </c>
      <c r="AL11" s="20">
        <f>AL10*'Assumptions'!$F$41</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ht="5" customHeight="1"/>
    <row r="13" spans="1:55" ht="16" customHeight="1">
      <c r="A13" s="14" t="s">
        <v>172</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row>
    <row r="14" spans="1:55">
      <c r="A14" s="18" t="s">
        <v>173</v>
      </c>
      <c r="B14" s="16" t="s">
        <v>174</v>
      </c>
      <c r="C14" s="27">
        <f>ROUND('Assumptions'!$F$44,1)</f>
        <v>0</v>
      </c>
      <c r="D14" s="27">
        <f>ROUND(C14+'Assumptions'!$F$45/3,1)</f>
        <v>0</v>
      </c>
      <c r="E14" s="27">
        <f>ROUND(D14+'Assumptions'!$F$45/3,1)</f>
        <v>0</v>
      </c>
      <c r="F14" s="27">
        <f>ROUND(E14+'Assumptions'!$F$45/3,1)</f>
        <v>0</v>
      </c>
      <c r="G14" s="27">
        <f>ROUND(F14+'Assumptions'!$F$45/3,1)</f>
        <v>0</v>
      </c>
      <c r="H14" s="27">
        <f>ROUND(G14+'Assumptions'!$F$45/3,1)</f>
        <v>0</v>
      </c>
      <c r="I14" s="27">
        <f>ROUND(H14+'Assumptions'!$F$45/3,1)</f>
        <v>0</v>
      </c>
      <c r="J14" s="27">
        <f>ROUND(I14+'Assumptions'!$F$45/3,1)</f>
        <v>0</v>
      </c>
      <c r="K14" s="27">
        <f>ROUND(J14+'Assumptions'!$F$45/3,1)</f>
        <v>0</v>
      </c>
      <c r="L14" s="27">
        <f>ROUND(K14+'Assumptions'!$F$45/3,1)</f>
        <v>0</v>
      </c>
      <c r="M14" s="27">
        <f>ROUND(L14+'Assumptions'!$F$45/3,1)</f>
        <v>0</v>
      </c>
      <c r="N14" s="27">
        <f>ROUND(M14+'Assumptions'!$F$45/3,1)</f>
        <v>0</v>
      </c>
      <c r="O14" s="27">
        <f>ROUND(N14+'Assumptions'!$F$45/3,1)</f>
        <v>0</v>
      </c>
      <c r="P14" s="27">
        <f>ROUND(O14+'Assumptions'!$F$45/3,1)</f>
        <v>0</v>
      </c>
      <c r="Q14" s="27">
        <f>ROUND(P14+'Assumptions'!$F$45/3,1)</f>
        <v>0</v>
      </c>
      <c r="R14" s="27">
        <f>ROUND(Q14+'Assumptions'!$F$45/3,1)</f>
        <v>0</v>
      </c>
      <c r="S14" s="27">
        <f>ROUND(R14+'Assumptions'!$F$45/3,1)</f>
        <v>0</v>
      </c>
      <c r="T14" s="27">
        <f>ROUND(S14+'Assumptions'!$F$45/3,1)</f>
        <v>0</v>
      </c>
      <c r="U14" s="27">
        <f>ROUND(T14+'Assumptions'!$F$45/3,1)</f>
        <v>0</v>
      </c>
      <c r="V14" s="27">
        <f>ROUND(U14+'Assumptions'!$F$45/3,1)</f>
        <v>0</v>
      </c>
      <c r="W14" s="27">
        <f>ROUND(V14+'Assumptions'!$F$45/3,1)</f>
        <v>0</v>
      </c>
      <c r="X14" s="27">
        <f>ROUND(W14+'Assumptions'!$F$45/3,1)</f>
        <v>0</v>
      </c>
      <c r="Y14" s="27">
        <f>ROUND(X14+'Assumptions'!$F$45/3,1)</f>
        <v>0</v>
      </c>
      <c r="Z14" s="27">
        <f>ROUND(Y14+'Assumptions'!$F$45/3,1)</f>
        <v>0</v>
      </c>
      <c r="AA14" s="27">
        <f>ROUND(Z14+'Assumptions'!$F$45/3,1)</f>
        <v>0</v>
      </c>
      <c r="AB14" s="27">
        <f>ROUND(AA14+'Assumptions'!$F$45/3,1)</f>
        <v>0</v>
      </c>
      <c r="AC14" s="27">
        <f>ROUND(AB14+'Assumptions'!$F$45/3,1)</f>
        <v>0</v>
      </c>
      <c r="AD14" s="27">
        <f>ROUND(AC14+'Assumptions'!$F$45/3,1)</f>
        <v>0</v>
      </c>
      <c r="AE14" s="27">
        <f>ROUND(AD14+'Assumptions'!$F$45/3,1)</f>
        <v>0</v>
      </c>
      <c r="AF14" s="27">
        <f>ROUND(AE14+'Assumptions'!$F$45/3,1)</f>
        <v>0</v>
      </c>
      <c r="AG14" s="27">
        <f>ROUND(AF14+'Assumptions'!$F$45/3,1)</f>
        <v>0</v>
      </c>
      <c r="AH14" s="27">
        <f>ROUND(AG14+'Assumptions'!$F$45/3,1)</f>
        <v>0</v>
      </c>
      <c r="AI14" s="27">
        <f>ROUND(AH14+'Assumptions'!$F$45/3,1)</f>
        <v>0</v>
      </c>
      <c r="AJ14" s="27">
        <f>ROUND(AI14+'Assumptions'!$F$45/3,1)</f>
        <v>0</v>
      </c>
      <c r="AK14" s="27">
        <f>ROUND(AJ14+'Assumptions'!$F$45/3,1)</f>
        <v>0</v>
      </c>
      <c r="AL14" s="27">
        <f>ROUND(AK14+'Assumptions'!$F$45/3,1)</f>
        <v>0</v>
      </c>
      <c r="AN14" s="27">
        <f>E14</f>
        <v>0</v>
      </c>
      <c r="AO14" s="27">
        <f>H14</f>
        <v>0</v>
      </c>
      <c r="AP14" s="27">
        <f>K14</f>
        <v>0</v>
      </c>
      <c r="AQ14" s="27">
        <f>N14</f>
        <v>0</v>
      </c>
      <c r="AR14" s="27">
        <f>Q14</f>
        <v>0</v>
      </c>
      <c r="AS14" s="27">
        <f>T14</f>
        <v>0</v>
      </c>
      <c r="AT14" s="27">
        <f>W14</f>
        <v>0</v>
      </c>
      <c r="AU14" s="27">
        <f>Z14</f>
        <v>0</v>
      </c>
      <c r="AV14" s="27">
        <f>AC14</f>
        <v>0</v>
      </c>
      <c r="AW14" s="27">
        <f>AF14</f>
        <v>0</v>
      </c>
      <c r="AX14" s="27">
        <f>AI14</f>
        <v>0</v>
      </c>
      <c r="AY14" s="27">
        <f>AL14</f>
        <v>0</v>
      </c>
      <c r="BA14" s="27">
        <f>N14</f>
        <v>0</v>
      </c>
      <c r="BB14" s="27">
        <f>Z14</f>
        <v>0</v>
      </c>
      <c r="BC14" s="27">
        <f>AL14</f>
        <v>0</v>
      </c>
    </row>
    <row r="15" spans="1:55">
      <c r="A15" s="18" t="s">
        <v>175</v>
      </c>
      <c r="B15" s="16" t="s">
        <v>169</v>
      </c>
      <c r="C15" s="20">
        <f>C14*'Assumptions'!$F$46</f>
        <v>0</v>
      </c>
      <c r="D15" s="20">
        <f>D14*'Assumptions'!$F$46</f>
        <v>0</v>
      </c>
      <c r="E15" s="20">
        <f>E14*'Assumptions'!$F$46</f>
        <v>0</v>
      </c>
      <c r="F15" s="20">
        <f>F14*'Assumptions'!$F$46</f>
        <v>0</v>
      </c>
      <c r="G15" s="20">
        <f>G14*'Assumptions'!$F$46</f>
        <v>0</v>
      </c>
      <c r="H15" s="20">
        <f>H14*'Assumptions'!$F$46</f>
        <v>0</v>
      </c>
      <c r="I15" s="20">
        <f>I14*'Assumptions'!$F$46</f>
        <v>0</v>
      </c>
      <c r="J15" s="20">
        <f>J14*'Assumptions'!$F$46</f>
        <v>0</v>
      </c>
      <c r="K15" s="20">
        <f>K14*'Assumptions'!$F$46</f>
        <v>0</v>
      </c>
      <c r="L15" s="20">
        <f>L14*'Assumptions'!$F$46</f>
        <v>0</v>
      </c>
      <c r="M15" s="20">
        <f>M14*'Assumptions'!$F$46</f>
        <v>0</v>
      </c>
      <c r="N15" s="20">
        <f>N14*'Assumptions'!$F$46</f>
        <v>0</v>
      </c>
      <c r="O15" s="20">
        <f>O14*'Assumptions'!$F$46</f>
        <v>0</v>
      </c>
      <c r="P15" s="20">
        <f>P14*'Assumptions'!$F$46</f>
        <v>0</v>
      </c>
      <c r="Q15" s="20">
        <f>Q14*'Assumptions'!$F$46</f>
        <v>0</v>
      </c>
      <c r="R15" s="20">
        <f>R14*'Assumptions'!$F$46</f>
        <v>0</v>
      </c>
      <c r="S15" s="20">
        <f>S14*'Assumptions'!$F$46</f>
        <v>0</v>
      </c>
      <c r="T15" s="20">
        <f>T14*'Assumptions'!$F$46</f>
        <v>0</v>
      </c>
      <c r="U15" s="20">
        <f>U14*'Assumptions'!$F$46</f>
        <v>0</v>
      </c>
      <c r="V15" s="20">
        <f>V14*'Assumptions'!$F$46</f>
        <v>0</v>
      </c>
      <c r="W15" s="20">
        <f>W14*'Assumptions'!$F$46</f>
        <v>0</v>
      </c>
      <c r="X15" s="20">
        <f>X14*'Assumptions'!$F$46</f>
        <v>0</v>
      </c>
      <c r="Y15" s="20">
        <f>Y14*'Assumptions'!$F$46</f>
        <v>0</v>
      </c>
      <c r="Z15" s="20">
        <f>Z14*'Assumptions'!$F$46</f>
        <v>0</v>
      </c>
      <c r="AA15" s="20">
        <f>AA14*'Assumptions'!$F$46</f>
        <v>0</v>
      </c>
      <c r="AB15" s="20">
        <f>AB14*'Assumptions'!$F$46</f>
        <v>0</v>
      </c>
      <c r="AC15" s="20">
        <f>AC14*'Assumptions'!$F$46</f>
        <v>0</v>
      </c>
      <c r="AD15" s="20">
        <f>AD14*'Assumptions'!$F$46</f>
        <v>0</v>
      </c>
      <c r="AE15" s="20">
        <f>AE14*'Assumptions'!$F$46</f>
        <v>0</v>
      </c>
      <c r="AF15" s="20">
        <f>AF14*'Assumptions'!$F$46</f>
        <v>0</v>
      </c>
      <c r="AG15" s="20">
        <f>AG14*'Assumptions'!$F$46</f>
        <v>0</v>
      </c>
      <c r="AH15" s="20">
        <f>AH14*'Assumptions'!$F$46</f>
        <v>0</v>
      </c>
      <c r="AI15" s="20">
        <f>AI14*'Assumptions'!$F$46</f>
        <v>0</v>
      </c>
      <c r="AJ15" s="20">
        <f>AJ14*'Assumptions'!$F$46</f>
        <v>0</v>
      </c>
      <c r="AK15" s="20">
        <f>AK14*'Assumptions'!$F$46</f>
        <v>0</v>
      </c>
      <c r="AL15" s="20">
        <f>AL14*'Assumptions'!$F$46</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c r="A16" s="18" t="s">
        <v>176</v>
      </c>
      <c r="B16" s="16" t="s">
        <v>177</v>
      </c>
      <c r="C16" s="27">
        <f>ROUND('Assumptions'!$F$49,1)</f>
        <v>0</v>
      </c>
      <c r="D16" s="27">
        <f>ROUND(C16+'Assumptions'!$F$50/3,1)</f>
        <v>0</v>
      </c>
      <c r="E16" s="27">
        <f>ROUND(D16+'Assumptions'!$F$50/3,1)</f>
        <v>0</v>
      </c>
      <c r="F16" s="27">
        <f>ROUND(E16+'Assumptions'!$F$50/3,1)</f>
        <v>0</v>
      </c>
      <c r="G16" s="27">
        <f>ROUND(F16+'Assumptions'!$F$50/3,1)</f>
        <v>0</v>
      </c>
      <c r="H16" s="27">
        <f>ROUND(G16+'Assumptions'!$F$50/3,1)</f>
        <v>0</v>
      </c>
      <c r="I16" s="27">
        <f>ROUND(H16+'Assumptions'!$F$50/3,1)</f>
        <v>0</v>
      </c>
      <c r="J16" s="27">
        <f>ROUND(I16+'Assumptions'!$F$50/3,1)</f>
        <v>0</v>
      </c>
      <c r="K16" s="27">
        <f>ROUND(J16+'Assumptions'!$F$50/3,1)</f>
        <v>0</v>
      </c>
      <c r="L16" s="27">
        <f>ROUND(K16+'Assumptions'!$F$50/3,1)</f>
        <v>0</v>
      </c>
      <c r="M16" s="27">
        <f>ROUND(L16+'Assumptions'!$F$50/3,1)</f>
        <v>0</v>
      </c>
      <c r="N16" s="27">
        <f>ROUND(M16+'Assumptions'!$F$50/3,1)</f>
        <v>0</v>
      </c>
      <c r="O16" s="27">
        <f>ROUND(N16+'Assumptions'!$F$50/3,1)</f>
        <v>0</v>
      </c>
      <c r="P16" s="27">
        <f>ROUND(O16+'Assumptions'!$F$50/3,1)</f>
        <v>0</v>
      </c>
      <c r="Q16" s="27">
        <f>ROUND(P16+'Assumptions'!$F$50/3,1)</f>
        <v>0</v>
      </c>
      <c r="R16" s="27">
        <f>ROUND(Q16+'Assumptions'!$F$50/3,1)</f>
        <v>0</v>
      </c>
      <c r="S16" s="27">
        <f>ROUND(R16+'Assumptions'!$F$50/3,1)</f>
        <v>0</v>
      </c>
      <c r="T16" s="27">
        <f>ROUND(S16+'Assumptions'!$F$50/3,1)</f>
        <v>0</v>
      </c>
      <c r="U16" s="27">
        <f>ROUND(T16+'Assumptions'!$F$50/3,1)</f>
        <v>0</v>
      </c>
      <c r="V16" s="27">
        <f>ROUND(U16+'Assumptions'!$F$50/3,1)</f>
        <v>0</v>
      </c>
      <c r="W16" s="27">
        <f>ROUND(V16+'Assumptions'!$F$50/3,1)</f>
        <v>0</v>
      </c>
      <c r="X16" s="27">
        <f>ROUND(W16+'Assumptions'!$F$50/3,1)</f>
        <v>0</v>
      </c>
      <c r="Y16" s="27">
        <f>ROUND(X16+'Assumptions'!$F$50/3,1)</f>
        <v>0</v>
      </c>
      <c r="Z16" s="27">
        <f>ROUND(Y16+'Assumptions'!$F$50/3,1)</f>
        <v>0</v>
      </c>
      <c r="AA16" s="27">
        <f>ROUND(Z16+'Assumptions'!$F$50/3,1)</f>
        <v>0</v>
      </c>
      <c r="AB16" s="27">
        <f>ROUND(AA16+'Assumptions'!$F$50/3,1)</f>
        <v>0</v>
      </c>
      <c r="AC16" s="27">
        <f>ROUND(AB16+'Assumptions'!$F$50/3,1)</f>
        <v>0</v>
      </c>
      <c r="AD16" s="27">
        <f>ROUND(AC16+'Assumptions'!$F$50/3,1)</f>
        <v>0</v>
      </c>
      <c r="AE16" s="27">
        <f>ROUND(AD16+'Assumptions'!$F$50/3,1)</f>
        <v>0</v>
      </c>
      <c r="AF16" s="27">
        <f>ROUND(AE16+'Assumptions'!$F$50/3,1)</f>
        <v>0</v>
      </c>
      <c r="AG16" s="27">
        <f>ROUND(AF16+'Assumptions'!$F$50/3,1)</f>
        <v>0</v>
      </c>
      <c r="AH16" s="27">
        <f>ROUND(AG16+'Assumptions'!$F$50/3,1)</f>
        <v>0</v>
      </c>
      <c r="AI16" s="27">
        <f>ROUND(AH16+'Assumptions'!$F$50/3,1)</f>
        <v>0</v>
      </c>
      <c r="AJ16" s="27">
        <f>ROUND(AI16+'Assumptions'!$F$50/3,1)</f>
        <v>0</v>
      </c>
      <c r="AK16" s="27">
        <f>ROUND(AJ16+'Assumptions'!$F$50/3,1)</f>
        <v>0</v>
      </c>
      <c r="AL16" s="27">
        <f>ROUND(AK16+'Assumptions'!$F$50/3,1)</f>
        <v>0</v>
      </c>
      <c r="AN16" s="27">
        <f>E16</f>
        <v>0</v>
      </c>
      <c r="AO16" s="27">
        <f>H16</f>
        <v>0</v>
      </c>
      <c r="AP16" s="27">
        <f>K16</f>
        <v>0</v>
      </c>
      <c r="AQ16" s="27">
        <f>N16</f>
        <v>0</v>
      </c>
      <c r="AR16" s="27">
        <f>Q16</f>
        <v>0</v>
      </c>
      <c r="AS16" s="27">
        <f>T16</f>
        <v>0</v>
      </c>
      <c r="AT16" s="27">
        <f>W16</f>
        <v>0</v>
      </c>
      <c r="AU16" s="27">
        <f>Z16</f>
        <v>0</v>
      </c>
      <c r="AV16" s="27">
        <f>AC16</f>
        <v>0</v>
      </c>
      <c r="AW16" s="27">
        <f>AF16</f>
        <v>0</v>
      </c>
      <c r="AX16" s="27">
        <f>AI16</f>
        <v>0</v>
      </c>
      <c r="AY16" s="27">
        <f>AL16</f>
        <v>0</v>
      </c>
      <c r="BA16" s="27">
        <f>N16</f>
        <v>0</v>
      </c>
      <c r="BB16" s="27">
        <f>Z16</f>
        <v>0</v>
      </c>
      <c r="BC16" s="27">
        <f>AL16</f>
        <v>0</v>
      </c>
    </row>
    <row r="17" spans="1:55">
      <c r="A17" s="18" t="s">
        <v>178</v>
      </c>
      <c r="B17" s="16" t="s">
        <v>169</v>
      </c>
      <c r="C17" s="20">
        <f>C16*'Assumptions'!$F$51</f>
        <v>0</v>
      </c>
      <c r="D17" s="20">
        <f>D16*'Assumptions'!$F$51</f>
        <v>0</v>
      </c>
      <c r="E17" s="20">
        <f>E16*'Assumptions'!$F$51</f>
        <v>0</v>
      </c>
      <c r="F17" s="20">
        <f>F16*'Assumptions'!$F$51</f>
        <v>0</v>
      </c>
      <c r="G17" s="20">
        <f>G16*'Assumptions'!$F$51</f>
        <v>0</v>
      </c>
      <c r="H17" s="20">
        <f>H16*'Assumptions'!$F$51</f>
        <v>0</v>
      </c>
      <c r="I17" s="20">
        <f>I16*'Assumptions'!$F$51</f>
        <v>0</v>
      </c>
      <c r="J17" s="20">
        <f>J16*'Assumptions'!$F$51</f>
        <v>0</v>
      </c>
      <c r="K17" s="20">
        <f>K16*'Assumptions'!$F$51</f>
        <v>0</v>
      </c>
      <c r="L17" s="20">
        <f>L16*'Assumptions'!$F$51</f>
        <v>0</v>
      </c>
      <c r="M17" s="20">
        <f>M16*'Assumptions'!$F$51</f>
        <v>0</v>
      </c>
      <c r="N17" s="20">
        <f>N16*'Assumptions'!$F$51</f>
        <v>0</v>
      </c>
      <c r="O17" s="20">
        <f>O16*'Assumptions'!$F$51</f>
        <v>0</v>
      </c>
      <c r="P17" s="20">
        <f>P16*'Assumptions'!$F$51</f>
        <v>0</v>
      </c>
      <c r="Q17" s="20">
        <f>Q16*'Assumptions'!$F$51</f>
        <v>0</v>
      </c>
      <c r="R17" s="20">
        <f>R16*'Assumptions'!$F$51</f>
        <v>0</v>
      </c>
      <c r="S17" s="20">
        <f>S16*'Assumptions'!$F$51</f>
        <v>0</v>
      </c>
      <c r="T17" s="20">
        <f>T16*'Assumptions'!$F$51</f>
        <v>0</v>
      </c>
      <c r="U17" s="20">
        <f>U16*'Assumptions'!$F$51</f>
        <v>0</v>
      </c>
      <c r="V17" s="20">
        <f>V16*'Assumptions'!$F$51</f>
        <v>0</v>
      </c>
      <c r="W17" s="20">
        <f>W16*'Assumptions'!$F$51</f>
        <v>0</v>
      </c>
      <c r="X17" s="20">
        <f>X16*'Assumptions'!$F$51</f>
        <v>0</v>
      </c>
      <c r="Y17" s="20">
        <f>Y16*'Assumptions'!$F$51</f>
        <v>0</v>
      </c>
      <c r="Z17" s="20">
        <f>Z16*'Assumptions'!$F$51</f>
        <v>0</v>
      </c>
      <c r="AA17" s="20">
        <f>AA16*'Assumptions'!$F$51</f>
        <v>0</v>
      </c>
      <c r="AB17" s="20">
        <f>AB16*'Assumptions'!$F$51</f>
        <v>0</v>
      </c>
      <c r="AC17" s="20">
        <f>AC16*'Assumptions'!$F$51</f>
        <v>0</v>
      </c>
      <c r="AD17" s="20">
        <f>AD16*'Assumptions'!$F$51</f>
        <v>0</v>
      </c>
      <c r="AE17" s="20">
        <f>AE16*'Assumptions'!$F$51</f>
        <v>0</v>
      </c>
      <c r="AF17" s="20">
        <f>AF16*'Assumptions'!$F$51</f>
        <v>0</v>
      </c>
      <c r="AG17" s="20">
        <f>AG16*'Assumptions'!$F$51</f>
        <v>0</v>
      </c>
      <c r="AH17" s="20">
        <f>AH16*'Assumptions'!$F$51</f>
        <v>0</v>
      </c>
      <c r="AI17" s="20">
        <f>AI16*'Assumptions'!$F$51</f>
        <v>0</v>
      </c>
      <c r="AJ17" s="20">
        <f>AJ16*'Assumptions'!$F$51</f>
        <v>0</v>
      </c>
      <c r="AK17" s="20">
        <f>AK16*'Assumptions'!$F$51</f>
        <v>0</v>
      </c>
      <c r="AL17" s="20">
        <f>AL16*'Assumptions'!$F$51</f>
        <v>0</v>
      </c>
      <c r="AN17" s="20">
        <f>SUM(C17:E17)</f>
        <v>0</v>
      </c>
      <c r="AO17" s="20">
        <f>SUM(F17:H17)</f>
        <v>0</v>
      </c>
      <c r="AP17" s="20">
        <f>SUM(I17:K17)</f>
        <v>0</v>
      </c>
      <c r="AQ17" s="20">
        <f>SUM(L17:N17)</f>
        <v>0</v>
      </c>
      <c r="AR17" s="20">
        <f>SUM(O17:Q17)</f>
        <v>0</v>
      </c>
      <c r="AS17" s="20">
        <f>SUM(R17:T17)</f>
        <v>0</v>
      </c>
      <c r="AT17" s="20">
        <f>SUM(U17:W17)</f>
        <v>0</v>
      </c>
      <c r="AU17" s="20">
        <f>SUM(X17:Z17)</f>
        <v>0</v>
      </c>
      <c r="AV17" s="20">
        <f>SUM(AA17:AC17)</f>
        <v>0</v>
      </c>
      <c r="AW17" s="20">
        <f>SUM(AD17:AF17)</f>
        <v>0</v>
      </c>
      <c r="AX17" s="20">
        <f>SUM(AG17:AI17)</f>
        <v>0</v>
      </c>
      <c r="AY17" s="20">
        <f>SUM(AJ17:AL17)</f>
        <v>0</v>
      </c>
      <c r="BA17" s="20">
        <f>SUM(C17:N17)</f>
        <v>0</v>
      </c>
      <c r="BB17" s="20">
        <f>SUM(O17:Z17)</f>
        <v>0</v>
      </c>
      <c r="BC17" s="20">
        <f>SUM(AA17:AL17)</f>
        <v>0</v>
      </c>
    </row>
    <row r="18" spans="1:55" ht="5" customHeight="1"/>
    <row r="19" spans="1:55" ht="16" customHeight="1">
      <c r="A19" s="14" t="s">
        <v>179</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row>
    <row r="20" spans="1:55">
      <c r="A20" s="28" t="s">
        <v>180</v>
      </c>
      <c r="B20" s="16" t="s">
        <v>181</v>
      </c>
      <c r="C20" s="27">
        <f>C8+C10+C14+C16</f>
        <v>0</v>
      </c>
      <c r="D20" s="27">
        <f>D8+D10+D14+D16</f>
        <v>0</v>
      </c>
      <c r="E20" s="27">
        <f>E8+E10+E14+E16</f>
        <v>0</v>
      </c>
      <c r="F20" s="27">
        <f>F8+F10+F14+F16</f>
        <v>0</v>
      </c>
      <c r="G20" s="27">
        <f>G8+G10+G14+G16</f>
        <v>0</v>
      </c>
      <c r="H20" s="27">
        <f>H8+H10+H14+H16</f>
        <v>0</v>
      </c>
      <c r="I20" s="27">
        <f>I8+I10+I14+I16</f>
        <v>0</v>
      </c>
      <c r="J20" s="27">
        <f>J8+J10+J14+J16</f>
        <v>0</v>
      </c>
      <c r="K20" s="27">
        <f>K8+K10+K14+K16</f>
        <v>0</v>
      </c>
      <c r="L20" s="27">
        <f>L8+L10+L14+L16</f>
        <v>0</v>
      </c>
      <c r="M20" s="27">
        <f>M8+M10+M14+M16</f>
        <v>0</v>
      </c>
      <c r="N20" s="27">
        <f>N8+N10+N14+N16</f>
        <v>0</v>
      </c>
      <c r="O20" s="27">
        <f>O8+O10+O14+O16</f>
        <v>0</v>
      </c>
      <c r="P20" s="27">
        <f>P8+P10+P14+P16</f>
        <v>0</v>
      </c>
      <c r="Q20" s="27">
        <f>Q8+Q10+Q14+Q16</f>
        <v>0</v>
      </c>
      <c r="R20" s="27">
        <f>R8+R10+R14+R16</f>
        <v>0</v>
      </c>
      <c r="S20" s="27">
        <f>S8+S10+S14+S16</f>
        <v>0</v>
      </c>
      <c r="T20" s="27">
        <f>T8+T10+T14+T16</f>
        <v>0</v>
      </c>
      <c r="U20" s="27">
        <f>U8+U10+U14+U16</f>
        <v>0</v>
      </c>
      <c r="V20" s="27">
        <f>V8+V10+V14+V16</f>
        <v>0</v>
      </c>
      <c r="W20" s="27">
        <f>W8+W10+W14+W16</f>
        <v>0</v>
      </c>
      <c r="X20" s="27">
        <f>X8+X10+X14+X16</f>
        <v>0</v>
      </c>
      <c r="Y20" s="27">
        <f>Y8+Y10+Y14+Y16</f>
        <v>0</v>
      </c>
      <c r="Z20" s="27">
        <f>Z8+Z10+Z14+Z16</f>
        <v>0</v>
      </c>
      <c r="AA20" s="27">
        <f>AA8+AA10+AA14+AA16</f>
        <v>0</v>
      </c>
      <c r="AB20" s="27">
        <f>AB8+AB10+AB14+AB16</f>
        <v>0</v>
      </c>
      <c r="AC20" s="27">
        <f>AC8+AC10+AC14+AC16</f>
        <v>0</v>
      </c>
      <c r="AD20" s="27">
        <f>AD8+AD10+AD14+AD16</f>
        <v>0</v>
      </c>
      <c r="AE20" s="27">
        <f>AE8+AE10+AE14+AE16</f>
        <v>0</v>
      </c>
      <c r="AF20" s="27">
        <f>AF8+AF10+AF14+AF16</f>
        <v>0</v>
      </c>
      <c r="AG20" s="27">
        <f>AG8+AG10+AG14+AG16</f>
        <v>0</v>
      </c>
      <c r="AH20" s="27">
        <f>AH8+AH10+AH14+AH16</f>
        <v>0</v>
      </c>
      <c r="AI20" s="27">
        <f>AI8+AI10+AI14+AI16</f>
        <v>0</v>
      </c>
      <c r="AJ20" s="27">
        <f>AJ8+AJ10+AJ14+AJ16</f>
        <v>0</v>
      </c>
      <c r="AK20" s="27">
        <f>AK8+AK10+AK14+AK16</f>
        <v>0</v>
      </c>
      <c r="AL20" s="27">
        <f>AL8+AL10+AL14+AL16</f>
        <v>0</v>
      </c>
      <c r="AN20" s="27">
        <f>E20</f>
        <v>0</v>
      </c>
      <c r="AO20" s="27">
        <f>H20</f>
        <v>0</v>
      </c>
      <c r="AP20" s="27">
        <f>K20</f>
        <v>0</v>
      </c>
      <c r="AQ20" s="27">
        <f>N20</f>
        <v>0</v>
      </c>
      <c r="AR20" s="27">
        <f>Q20</f>
        <v>0</v>
      </c>
      <c r="AS20" s="27">
        <f>T20</f>
        <v>0</v>
      </c>
      <c r="AT20" s="27">
        <f>W20</f>
        <v>0</v>
      </c>
      <c r="AU20" s="27">
        <f>Z20</f>
        <v>0</v>
      </c>
      <c r="AV20" s="27">
        <f>AC20</f>
        <v>0</v>
      </c>
      <c r="AW20" s="27">
        <f>AF20</f>
        <v>0</v>
      </c>
      <c r="AX20" s="27">
        <f>AI20</f>
        <v>0</v>
      </c>
      <c r="AY20" s="27">
        <f>AL20</f>
        <v>0</v>
      </c>
      <c r="BA20" s="27">
        <f>N20</f>
        <v>0</v>
      </c>
      <c r="BB20" s="27">
        <f>Z20</f>
        <v>0</v>
      </c>
      <c r="BC20" s="27">
        <f>AL20</f>
        <v>0</v>
      </c>
    </row>
    <row r="21" spans="1:55">
      <c r="A21" s="28" t="s">
        <v>182</v>
      </c>
      <c r="B21" s="16" t="s">
        <v>183</v>
      </c>
      <c r="C21" s="29">
        <f>C9+C11</f>
        <v>0</v>
      </c>
      <c r="D21" s="29">
        <f>D9+D11</f>
        <v>0</v>
      </c>
      <c r="E21" s="29">
        <f>E9+E11</f>
        <v>0</v>
      </c>
      <c r="F21" s="29">
        <f>F9+F11</f>
        <v>0</v>
      </c>
      <c r="G21" s="29">
        <f>G9+G11</f>
        <v>0</v>
      </c>
      <c r="H21" s="29">
        <f>H9+H11</f>
        <v>0</v>
      </c>
      <c r="I21" s="29">
        <f>I9+I11</f>
        <v>0</v>
      </c>
      <c r="J21" s="29">
        <f>J9+J11</f>
        <v>0</v>
      </c>
      <c r="K21" s="29">
        <f>K9+K11</f>
        <v>0</v>
      </c>
      <c r="L21" s="29">
        <f>L9+L11</f>
        <v>0</v>
      </c>
      <c r="M21" s="29">
        <f>M9+M11</f>
        <v>0</v>
      </c>
      <c r="N21" s="29">
        <f>N9+N11</f>
        <v>0</v>
      </c>
      <c r="O21" s="29">
        <f>O9+O11</f>
        <v>0</v>
      </c>
      <c r="P21" s="29">
        <f>P9+P11</f>
        <v>0</v>
      </c>
      <c r="Q21" s="29">
        <f>Q9+Q11</f>
        <v>0</v>
      </c>
      <c r="R21" s="29">
        <f>R9+R11</f>
        <v>0</v>
      </c>
      <c r="S21" s="29">
        <f>S9+S11</f>
        <v>0</v>
      </c>
      <c r="T21" s="29">
        <f>T9+T11</f>
        <v>0</v>
      </c>
      <c r="U21" s="29">
        <f>U9+U11</f>
        <v>0</v>
      </c>
      <c r="V21" s="29">
        <f>V9+V11</f>
        <v>0</v>
      </c>
      <c r="W21" s="29">
        <f>W9+W11</f>
        <v>0</v>
      </c>
      <c r="X21" s="29">
        <f>X9+X11</f>
        <v>0</v>
      </c>
      <c r="Y21" s="29">
        <f>Y9+Y11</f>
        <v>0</v>
      </c>
      <c r="Z21" s="29">
        <f>Z9+Z11</f>
        <v>0</v>
      </c>
      <c r="AA21" s="29">
        <f>AA9+AA11</f>
        <v>0</v>
      </c>
      <c r="AB21" s="29">
        <f>AB9+AB11</f>
        <v>0</v>
      </c>
      <c r="AC21" s="29">
        <f>AC9+AC11</f>
        <v>0</v>
      </c>
      <c r="AD21" s="29">
        <f>AD9+AD11</f>
        <v>0</v>
      </c>
      <c r="AE21" s="29">
        <f>AE9+AE11</f>
        <v>0</v>
      </c>
      <c r="AF21" s="29">
        <f>AF9+AF11</f>
        <v>0</v>
      </c>
      <c r="AG21" s="29">
        <f>AG9+AG11</f>
        <v>0</v>
      </c>
      <c r="AH21" s="29">
        <f>AH9+AH11</f>
        <v>0</v>
      </c>
      <c r="AI21" s="29">
        <f>AI9+AI11</f>
        <v>0</v>
      </c>
      <c r="AJ21" s="29">
        <f>AJ9+AJ11</f>
        <v>0</v>
      </c>
      <c r="AK21" s="29">
        <f>AK9+AK11</f>
        <v>0</v>
      </c>
      <c r="AL21" s="29">
        <f>AL9+AL11</f>
        <v>0</v>
      </c>
      <c r="AN21" s="29">
        <f>SUM(C21:E21)</f>
        <v>0</v>
      </c>
      <c r="AO21" s="29">
        <f>SUM(F21:H21)</f>
        <v>0</v>
      </c>
      <c r="AP21" s="29">
        <f>SUM(I21:K21)</f>
        <v>0</v>
      </c>
      <c r="AQ21" s="29">
        <f>SUM(L21:N21)</f>
        <v>0</v>
      </c>
      <c r="AR21" s="29">
        <f>SUM(O21:Q21)</f>
        <v>0</v>
      </c>
      <c r="AS21" s="29">
        <f>SUM(R21:T21)</f>
        <v>0</v>
      </c>
      <c r="AT21" s="29">
        <f>SUM(U21:W21)</f>
        <v>0</v>
      </c>
      <c r="AU21" s="29">
        <f>SUM(X21:Z21)</f>
        <v>0</v>
      </c>
      <c r="AV21" s="29">
        <f>SUM(AA21:AC21)</f>
        <v>0</v>
      </c>
      <c r="AW21" s="29">
        <f>SUM(AD21:AF21)</f>
        <v>0</v>
      </c>
      <c r="AX21" s="29">
        <f>SUM(AG21:AI21)</f>
        <v>0</v>
      </c>
      <c r="AY21" s="29">
        <f>SUM(AJ21:AL21)</f>
        <v>0</v>
      </c>
      <c r="BA21" s="29">
        <f>SUM(C21:N21)</f>
        <v>0</v>
      </c>
      <c r="BB21" s="29">
        <f>SUM(O21:Z21)</f>
        <v>0</v>
      </c>
      <c r="BC21" s="29">
        <f>SUM(AA21:AL21)</f>
        <v>0</v>
      </c>
    </row>
    <row r="22" spans="1:55">
      <c r="A22" s="28" t="s">
        <v>184</v>
      </c>
      <c r="B22" s="16" t="s">
        <v>185</v>
      </c>
      <c r="C22" s="29">
        <f>C15+C17</f>
        <v>0</v>
      </c>
      <c r="D22" s="29">
        <f>D15+D17</f>
        <v>0</v>
      </c>
      <c r="E22" s="29">
        <f>E15+E17</f>
        <v>0</v>
      </c>
      <c r="F22" s="29">
        <f>F15+F17</f>
        <v>0</v>
      </c>
      <c r="G22" s="29">
        <f>G15+G17</f>
        <v>0</v>
      </c>
      <c r="H22" s="29">
        <f>H15+H17</f>
        <v>0</v>
      </c>
      <c r="I22" s="29">
        <f>I15+I17</f>
        <v>0</v>
      </c>
      <c r="J22" s="29">
        <f>J15+J17</f>
        <v>0</v>
      </c>
      <c r="K22" s="29">
        <f>K15+K17</f>
        <v>0</v>
      </c>
      <c r="L22" s="29">
        <f>L15+L17</f>
        <v>0</v>
      </c>
      <c r="M22" s="29">
        <f>M15+M17</f>
        <v>0</v>
      </c>
      <c r="N22" s="29">
        <f>N15+N17</f>
        <v>0</v>
      </c>
      <c r="O22" s="29">
        <f>O15+O17</f>
        <v>0</v>
      </c>
      <c r="P22" s="29">
        <f>P15+P17</f>
        <v>0</v>
      </c>
      <c r="Q22" s="29">
        <f>Q15+Q17</f>
        <v>0</v>
      </c>
      <c r="R22" s="29">
        <f>R15+R17</f>
        <v>0</v>
      </c>
      <c r="S22" s="29">
        <f>S15+S17</f>
        <v>0</v>
      </c>
      <c r="T22" s="29">
        <f>T15+T17</f>
        <v>0</v>
      </c>
      <c r="U22" s="29">
        <f>U15+U17</f>
        <v>0</v>
      </c>
      <c r="V22" s="29">
        <f>V15+V17</f>
        <v>0</v>
      </c>
      <c r="W22" s="29">
        <f>W15+W17</f>
        <v>0</v>
      </c>
      <c r="X22" s="29">
        <f>X15+X17</f>
        <v>0</v>
      </c>
      <c r="Y22" s="29">
        <f>Y15+Y17</f>
        <v>0</v>
      </c>
      <c r="Z22" s="29">
        <f>Z15+Z17</f>
        <v>0</v>
      </c>
      <c r="AA22" s="29">
        <f>AA15+AA17</f>
        <v>0</v>
      </c>
      <c r="AB22" s="29">
        <f>AB15+AB17</f>
        <v>0</v>
      </c>
      <c r="AC22" s="29">
        <f>AC15+AC17</f>
        <v>0</v>
      </c>
      <c r="AD22" s="29">
        <f>AD15+AD17</f>
        <v>0</v>
      </c>
      <c r="AE22" s="29">
        <f>AE15+AE17</f>
        <v>0</v>
      </c>
      <c r="AF22" s="29">
        <f>AF15+AF17</f>
        <v>0</v>
      </c>
      <c r="AG22" s="29">
        <f>AG15+AG17</f>
        <v>0</v>
      </c>
      <c r="AH22" s="29">
        <f>AH15+AH17</f>
        <v>0</v>
      </c>
      <c r="AI22" s="29">
        <f>AI15+AI17</f>
        <v>0</v>
      </c>
      <c r="AJ22" s="29">
        <f>AJ15+AJ17</f>
        <v>0</v>
      </c>
      <c r="AK22" s="29">
        <f>AK15+AK17</f>
        <v>0</v>
      </c>
      <c r="AL22" s="29">
        <f>AL15+AL17</f>
        <v>0</v>
      </c>
      <c r="AN22" s="29">
        <f>SUM(C22:E22)</f>
        <v>0</v>
      </c>
      <c r="AO22" s="29">
        <f>SUM(F22:H22)</f>
        <v>0</v>
      </c>
      <c r="AP22" s="29">
        <f>SUM(I22:K22)</f>
        <v>0</v>
      </c>
      <c r="AQ22" s="29">
        <f>SUM(L22:N22)</f>
        <v>0</v>
      </c>
      <c r="AR22" s="29">
        <f>SUM(O22:Q22)</f>
        <v>0</v>
      </c>
      <c r="AS22" s="29">
        <f>SUM(R22:T22)</f>
        <v>0</v>
      </c>
      <c r="AT22" s="29">
        <f>SUM(U22:W22)</f>
        <v>0</v>
      </c>
      <c r="AU22" s="29">
        <f>SUM(X22:Z22)</f>
        <v>0</v>
      </c>
      <c r="AV22" s="29">
        <f>SUM(AA22:AC22)</f>
        <v>0</v>
      </c>
      <c r="AW22" s="29">
        <f>SUM(AD22:AF22)</f>
        <v>0</v>
      </c>
      <c r="AX22" s="29">
        <f>SUM(AG22:AI22)</f>
        <v>0</v>
      </c>
      <c r="AY22" s="29">
        <f>SUM(AJ22:AL22)</f>
        <v>0</v>
      </c>
      <c r="BA22" s="29">
        <f>SUM(C22:N22)</f>
        <v>0</v>
      </c>
      <c r="BB22" s="29">
        <f>SUM(O22:Z22)</f>
        <v>0</v>
      </c>
      <c r="BC22" s="29">
        <f>SUM(AA22:AL22)</f>
        <v>0</v>
      </c>
    </row>
    <row r="23" spans="1:55">
      <c r="A23" s="18" t="s">
        <v>186</v>
      </c>
      <c r="B23" s="16"/>
      <c r="C23" s="20">
        <f>C17</f>
        <v>0</v>
      </c>
      <c r="D23" s="20">
        <f>D17</f>
        <v>0</v>
      </c>
      <c r="E23" s="20">
        <f>E17</f>
        <v>0</v>
      </c>
      <c r="F23" s="20">
        <f>F17</f>
        <v>0</v>
      </c>
      <c r="G23" s="20">
        <f>G17</f>
        <v>0</v>
      </c>
      <c r="H23" s="20">
        <f>H17</f>
        <v>0</v>
      </c>
      <c r="I23" s="20">
        <f>I17</f>
        <v>0</v>
      </c>
      <c r="J23" s="20">
        <f>J17</f>
        <v>0</v>
      </c>
      <c r="K23" s="20">
        <f>K17</f>
        <v>0</v>
      </c>
      <c r="L23" s="20">
        <f>L17</f>
        <v>0</v>
      </c>
      <c r="M23" s="20">
        <f>M17</f>
        <v>0</v>
      </c>
      <c r="N23" s="20">
        <f>N17</f>
        <v>0</v>
      </c>
      <c r="O23" s="20">
        <f>O17</f>
        <v>0</v>
      </c>
      <c r="P23" s="20">
        <f>P17</f>
        <v>0</v>
      </c>
      <c r="Q23" s="20">
        <f>Q17</f>
        <v>0</v>
      </c>
      <c r="R23" s="20">
        <f>R17</f>
        <v>0</v>
      </c>
      <c r="S23" s="20">
        <f>S17</f>
        <v>0</v>
      </c>
      <c r="T23" s="20">
        <f>T17</f>
        <v>0</v>
      </c>
      <c r="U23" s="20">
        <f>U17</f>
        <v>0</v>
      </c>
      <c r="V23" s="20">
        <f>V17</f>
        <v>0</v>
      </c>
      <c r="W23" s="20">
        <f>W17</f>
        <v>0</v>
      </c>
      <c r="X23" s="20">
        <f>X17</f>
        <v>0</v>
      </c>
      <c r="Y23" s="20">
        <f>Y17</f>
        <v>0</v>
      </c>
      <c r="Z23" s="20">
        <f>Z17</f>
        <v>0</v>
      </c>
      <c r="AA23" s="20">
        <f>AA17</f>
        <v>0</v>
      </c>
      <c r="AB23" s="20">
        <f>AB17</f>
        <v>0</v>
      </c>
      <c r="AC23" s="20">
        <f>AC17</f>
        <v>0</v>
      </c>
      <c r="AD23" s="20">
        <f>AD17</f>
        <v>0</v>
      </c>
      <c r="AE23" s="20">
        <f>AE17</f>
        <v>0</v>
      </c>
      <c r="AF23" s="20">
        <f>AF17</f>
        <v>0</v>
      </c>
      <c r="AG23" s="20">
        <f>AG17</f>
        <v>0</v>
      </c>
      <c r="AH23" s="20">
        <f>AH17</f>
        <v>0</v>
      </c>
      <c r="AI23" s="20">
        <f>AI17</f>
        <v>0</v>
      </c>
      <c r="AJ23" s="20">
        <f>AJ17</f>
        <v>0</v>
      </c>
      <c r="AK23" s="20">
        <f>AK17</f>
        <v>0</v>
      </c>
      <c r="AL23" s="20">
        <f>AL17</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18" t="s">
        <v>187</v>
      </c>
      <c r="B24" s="16"/>
      <c r="C24" s="20">
        <f>C15</f>
        <v>0</v>
      </c>
      <c r="D24" s="20">
        <f>D15</f>
        <v>0</v>
      </c>
      <c r="E24" s="20">
        <f>E15</f>
        <v>0</v>
      </c>
      <c r="F24" s="20">
        <f>F15</f>
        <v>0</v>
      </c>
      <c r="G24" s="20">
        <f>G15</f>
        <v>0</v>
      </c>
      <c r="H24" s="20">
        <f>H15</f>
        <v>0</v>
      </c>
      <c r="I24" s="20">
        <f>I15</f>
        <v>0</v>
      </c>
      <c r="J24" s="20">
        <f>J15</f>
        <v>0</v>
      </c>
      <c r="K24" s="20">
        <f>K15</f>
        <v>0</v>
      </c>
      <c r="L24" s="20">
        <f>L15</f>
        <v>0</v>
      </c>
      <c r="M24" s="20">
        <f>M15</f>
        <v>0</v>
      </c>
      <c r="N24" s="20">
        <f>N15</f>
        <v>0</v>
      </c>
      <c r="O24" s="20">
        <f>O15</f>
        <v>0</v>
      </c>
      <c r="P24" s="20">
        <f>P15</f>
        <v>0</v>
      </c>
      <c r="Q24" s="20">
        <f>Q15</f>
        <v>0</v>
      </c>
      <c r="R24" s="20">
        <f>R15</f>
        <v>0</v>
      </c>
      <c r="S24" s="20">
        <f>S15</f>
        <v>0</v>
      </c>
      <c r="T24" s="20">
        <f>T15</f>
        <v>0</v>
      </c>
      <c r="U24" s="20">
        <f>U15</f>
        <v>0</v>
      </c>
      <c r="V24" s="20">
        <f>V15</f>
        <v>0</v>
      </c>
      <c r="W24" s="20">
        <f>W15</f>
        <v>0</v>
      </c>
      <c r="X24" s="20">
        <f>X15</f>
        <v>0</v>
      </c>
      <c r="Y24" s="20">
        <f>Y15</f>
        <v>0</v>
      </c>
      <c r="Z24" s="20">
        <f>Z15</f>
        <v>0</v>
      </c>
      <c r="AA24" s="20">
        <f>AA15</f>
        <v>0</v>
      </c>
      <c r="AB24" s="20">
        <f>AB15</f>
        <v>0</v>
      </c>
      <c r="AC24" s="20">
        <f>AC15</f>
        <v>0</v>
      </c>
      <c r="AD24" s="20">
        <f>AD15</f>
        <v>0</v>
      </c>
      <c r="AE24" s="20">
        <f>AE15</f>
        <v>0</v>
      </c>
      <c r="AF24" s="20">
        <f>AF15</f>
        <v>0</v>
      </c>
      <c r="AG24" s="20">
        <f>AG15</f>
        <v>0</v>
      </c>
      <c r="AH24" s="20">
        <f>AH15</f>
        <v>0</v>
      </c>
      <c r="AI24" s="20">
        <f>AI15</f>
        <v>0</v>
      </c>
      <c r="AJ24" s="20">
        <f>AJ15</f>
        <v>0</v>
      </c>
      <c r="AK24" s="20">
        <f>AK15</f>
        <v>0</v>
      </c>
      <c r="AL24" s="20">
        <f>AL15</f>
        <v>0</v>
      </c>
      <c r="AN24" s="20">
        <f>SUM(C24:E24)</f>
        <v>0</v>
      </c>
      <c r="AO24" s="20">
        <f>SUM(F24:H24)</f>
        <v>0</v>
      </c>
      <c r="AP24" s="20">
        <f>SUM(I24:K24)</f>
        <v>0</v>
      </c>
      <c r="AQ24" s="20">
        <f>SUM(L24:N24)</f>
        <v>0</v>
      </c>
      <c r="AR24" s="20">
        <f>SUM(O24:Q24)</f>
        <v>0</v>
      </c>
      <c r="AS24" s="20">
        <f>SUM(R24:T24)</f>
        <v>0</v>
      </c>
      <c r="AT24" s="20">
        <f>SUM(U24:W24)</f>
        <v>0</v>
      </c>
      <c r="AU24" s="20">
        <f>SUM(X24:Z24)</f>
        <v>0</v>
      </c>
      <c r="AV24" s="20">
        <f>SUM(AA24:AC24)</f>
        <v>0</v>
      </c>
      <c r="AW24" s="20">
        <f>SUM(AD24:AF24)</f>
        <v>0</v>
      </c>
      <c r="AX24" s="20">
        <f>SUM(AG24:AI24)</f>
        <v>0</v>
      </c>
      <c r="AY24" s="20">
        <f>SUM(AJ24:AL24)</f>
        <v>0</v>
      </c>
      <c r="BA24" s="20">
        <f>SUM(C24:N24)</f>
        <v>0</v>
      </c>
      <c r="BB24" s="20">
        <f>SUM(O24:Z24)</f>
        <v>0</v>
      </c>
      <c r="BC24" s="20">
        <f>SUM(AA24:AL24)</f>
        <v>0</v>
      </c>
    </row>
  </sheetData>
  <mergeCells count="8">
    <mergeCell ref="A1:BC1"/>
    <mergeCell ref="A2:BC2"/>
    <mergeCell ref="C5:AL5"/>
    <mergeCell ref="AN5:AY5"/>
    <mergeCell ref="BA5:BC5"/>
    <mergeCell ref="A7:BC7"/>
    <mergeCell ref="A13:BC13"/>
    <mergeCell ref="A19:BC19"/>
  </mergeCells>
  <pageMargins left="0.7" right="0.7" top="0.75" bottom="0.75" header="0.3" footer="0.3"/>
  <pageSetup paperSize="9" scale="55" orientation="landscape"/>
</worksheet>
</file>

<file path=xl/worksheets/sheet4.xml><?xml version="1.0" encoding="utf-8"?>
<worksheet xmlns="http://schemas.openxmlformats.org/spreadsheetml/2006/main" xmlns:r="http://schemas.openxmlformats.org/officeDocument/2006/relationships">
  <dimension ref="A1:BC45"/>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188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189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46</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190</v>
      </c>
      <c r="B8" s="16" t="s">
        <v>191</v>
      </c>
      <c r="C8" s="27">
        <f>'Headcount'!$C$14</f>
        <v>0</v>
      </c>
      <c r="D8" s="27">
        <f>'Headcount'!$D$14</f>
        <v>0</v>
      </c>
      <c r="E8" s="27">
        <f>'Headcount'!$E$14</f>
        <v>0</v>
      </c>
      <c r="F8" s="27">
        <f>'Headcount'!$F$14</f>
        <v>0</v>
      </c>
      <c r="G8" s="27">
        <f>'Headcount'!$G$14</f>
        <v>0</v>
      </c>
      <c r="H8" s="27">
        <f>'Headcount'!$H$14</f>
        <v>0</v>
      </c>
      <c r="I8" s="27">
        <f>'Headcount'!$I$14</f>
        <v>0</v>
      </c>
      <c r="J8" s="27">
        <f>'Headcount'!$J$14</f>
        <v>0</v>
      </c>
      <c r="K8" s="27">
        <f>'Headcount'!$K$14</f>
        <v>0</v>
      </c>
      <c r="L8" s="27">
        <f>'Headcount'!$L$14</f>
        <v>0</v>
      </c>
      <c r="M8" s="27">
        <f>'Headcount'!$M$14</f>
        <v>0</v>
      </c>
      <c r="N8" s="27">
        <f>'Headcount'!$N$14</f>
        <v>0</v>
      </c>
      <c r="O8" s="27">
        <f>'Headcount'!$O$14</f>
        <v>0</v>
      </c>
      <c r="P8" s="27">
        <f>'Headcount'!$P$14</f>
        <v>0</v>
      </c>
      <c r="Q8" s="27">
        <f>'Headcount'!$Q$14</f>
        <v>0</v>
      </c>
      <c r="R8" s="27">
        <f>'Headcount'!$R$14</f>
        <v>0</v>
      </c>
      <c r="S8" s="27">
        <f>'Headcount'!$S$14</f>
        <v>0</v>
      </c>
      <c r="T8" s="27">
        <f>'Headcount'!$T$14</f>
        <v>0</v>
      </c>
      <c r="U8" s="27">
        <f>'Headcount'!$U$14</f>
        <v>0</v>
      </c>
      <c r="V8" s="27">
        <f>'Headcount'!$V$14</f>
        <v>0</v>
      </c>
      <c r="W8" s="27">
        <f>'Headcount'!$W$14</f>
        <v>0</v>
      </c>
      <c r="X8" s="27">
        <f>'Headcount'!$X$14</f>
        <v>0</v>
      </c>
      <c r="Y8" s="27">
        <f>'Headcount'!$Y$14</f>
        <v>0</v>
      </c>
      <c r="Z8" s="27">
        <f>'Headcount'!$Z$14</f>
        <v>0</v>
      </c>
      <c r="AA8" s="27">
        <f>'Headcount'!$AA$14</f>
        <v>0</v>
      </c>
      <c r="AB8" s="27">
        <f>'Headcount'!$AB$14</f>
        <v>0</v>
      </c>
      <c r="AC8" s="27">
        <f>'Headcount'!$AC$14</f>
        <v>0</v>
      </c>
      <c r="AD8" s="27">
        <f>'Headcount'!$AD$14</f>
        <v>0</v>
      </c>
      <c r="AE8" s="27">
        <f>'Headcount'!$AE$14</f>
        <v>0</v>
      </c>
      <c r="AF8" s="27">
        <f>'Headcount'!$AF$14</f>
        <v>0</v>
      </c>
      <c r="AG8" s="27">
        <f>'Headcount'!$AG$14</f>
        <v>0</v>
      </c>
      <c r="AH8" s="27">
        <f>'Headcount'!$AH$14</f>
        <v>0</v>
      </c>
      <c r="AI8" s="27">
        <f>'Headcount'!$AI$14</f>
        <v>0</v>
      </c>
      <c r="AJ8" s="27">
        <f>'Headcount'!$AJ$14</f>
        <v>0</v>
      </c>
      <c r="AK8" s="27">
        <f>'Headcount'!$AK$14</f>
        <v>0</v>
      </c>
      <c r="AL8" s="27">
        <f>'Headcount'!$AL$14</f>
        <v>0</v>
      </c>
      <c r="AN8" s="27">
        <f>E8</f>
        <v>0</v>
      </c>
      <c r="AO8" s="27">
        <f>H8</f>
        <v>0</v>
      </c>
      <c r="AP8" s="27">
        <f>K8</f>
        <v>0</v>
      </c>
      <c r="AQ8" s="27">
        <f>N8</f>
        <v>0</v>
      </c>
      <c r="AR8" s="27">
        <f>Q8</f>
        <v>0</v>
      </c>
      <c r="AS8" s="27">
        <f>T8</f>
        <v>0</v>
      </c>
      <c r="AT8" s="27">
        <f>W8</f>
        <v>0</v>
      </c>
      <c r="AU8" s="27">
        <f>Z8</f>
        <v>0</v>
      </c>
      <c r="AV8" s="27">
        <f>AC8</f>
        <v>0</v>
      </c>
      <c r="AW8" s="27">
        <f>AF8</f>
        <v>0</v>
      </c>
      <c r="AX8" s="27">
        <f>AI8</f>
        <v>0</v>
      </c>
      <c r="AY8" s="27">
        <f>AL8</f>
        <v>0</v>
      </c>
      <c r="BA8" s="27">
        <f>N8</f>
        <v>0</v>
      </c>
      <c r="BB8" s="27">
        <f>Z8</f>
        <v>0</v>
      </c>
      <c r="BC8" s="27">
        <f>AL8</f>
        <v>0</v>
      </c>
    </row>
    <row r="9" spans="1:55">
      <c r="A9" s="18" t="s">
        <v>192</v>
      </c>
      <c r="B9" s="16" t="s">
        <v>193</v>
      </c>
      <c r="C9" s="30">
        <f>'Assumptions'!$F$14</f>
        <v>0</v>
      </c>
      <c r="D9" s="30">
        <f>C9*(1+'Assumptions'!$F$15)</f>
        <v>0</v>
      </c>
      <c r="E9" s="30">
        <f>D9*(1+'Assumptions'!$F$15)</f>
        <v>0</v>
      </c>
      <c r="F9" s="30">
        <f>E9*(1+'Assumptions'!$F$15)</f>
        <v>0</v>
      </c>
      <c r="G9" s="30">
        <f>F9*(1+'Assumptions'!$F$15)</f>
        <v>0</v>
      </c>
      <c r="H9" s="30">
        <f>G9*(1+'Assumptions'!$F$15)</f>
        <v>0</v>
      </c>
      <c r="I9" s="30">
        <f>H9*(1+'Assumptions'!$F$15)</f>
        <v>0</v>
      </c>
      <c r="J9" s="30">
        <f>I9*(1+'Assumptions'!$F$15)</f>
        <v>0</v>
      </c>
      <c r="K9" s="30">
        <f>J9*(1+'Assumptions'!$F$15)</f>
        <v>0</v>
      </c>
      <c r="L9" s="30">
        <f>K9*(1+'Assumptions'!$F$15)</f>
        <v>0</v>
      </c>
      <c r="M9" s="30">
        <f>L9*(1+'Assumptions'!$F$15)</f>
        <v>0</v>
      </c>
      <c r="N9" s="30">
        <f>M9*(1+'Assumptions'!$F$15)</f>
        <v>0</v>
      </c>
      <c r="O9" s="30">
        <f>N9*(1+'Assumptions'!$F$15)</f>
        <v>0</v>
      </c>
      <c r="P9" s="30">
        <f>O9*(1+'Assumptions'!$F$15)</f>
        <v>0</v>
      </c>
      <c r="Q9" s="30">
        <f>P9*(1+'Assumptions'!$F$15)</f>
        <v>0</v>
      </c>
      <c r="R9" s="30">
        <f>Q9*(1+'Assumptions'!$F$15)</f>
        <v>0</v>
      </c>
      <c r="S9" s="30">
        <f>R9*(1+'Assumptions'!$F$15)</f>
        <v>0</v>
      </c>
      <c r="T9" s="30">
        <f>S9*(1+'Assumptions'!$F$15)</f>
        <v>0</v>
      </c>
      <c r="U9" s="30">
        <f>T9*(1+'Assumptions'!$F$15)</f>
        <v>0</v>
      </c>
      <c r="V9" s="30">
        <f>U9*(1+'Assumptions'!$F$15)</f>
        <v>0</v>
      </c>
      <c r="W9" s="30">
        <f>V9*(1+'Assumptions'!$F$15)</f>
        <v>0</v>
      </c>
      <c r="X9" s="30">
        <f>W9*(1+'Assumptions'!$F$15)</f>
        <v>0</v>
      </c>
      <c r="Y9" s="30">
        <f>X9*(1+'Assumptions'!$F$15)</f>
        <v>0</v>
      </c>
      <c r="Z9" s="30">
        <f>Y9*(1+'Assumptions'!$F$15)</f>
        <v>0</v>
      </c>
      <c r="AA9" s="30">
        <f>Z9*(1+'Assumptions'!$F$15)</f>
        <v>0</v>
      </c>
      <c r="AB9" s="30">
        <f>AA9*(1+'Assumptions'!$F$15)</f>
        <v>0</v>
      </c>
      <c r="AC9" s="30">
        <f>AB9*(1+'Assumptions'!$F$15)</f>
        <v>0</v>
      </c>
      <c r="AD9" s="30">
        <f>AC9*(1+'Assumptions'!$F$15)</f>
        <v>0</v>
      </c>
      <c r="AE9" s="30">
        <f>AD9*(1+'Assumptions'!$F$15)</f>
        <v>0</v>
      </c>
      <c r="AF9" s="30">
        <f>AE9*(1+'Assumptions'!$F$15)</f>
        <v>0</v>
      </c>
      <c r="AG9" s="30">
        <f>AF9*(1+'Assumptions'!$F$15)</f>
        <v>0</v>
      </c>
      <c r="AH9" s="30">
        <f>AG9*(1+'Assumptions'!$F$15)</f>
        <v>0</v>
      </c>
      <c r="AI9" s="30">
        <f>AH9*(1+'Assumptions'!$F$15)</f>
        <v>0</v>
      </c>
      <c r="AJ9" s="30">
        <f>AI9*(1+'Assumptions'!$F$15)</f>
        <v>0</v>
      </c>
      <c r="AK9" s="30">
        <f>AJ9*(1+'Assumptions'!$F$15)</f>
        <v>0</v>
      </c>
      <c r="AL9" s="30">
        <f>AK9*(1+'Assumptions'!$F$15)</f>
        <v>0</v>
      </c>
      <c r="AN9" s="30">
        <f>AVERAGE(C9:E9)</f>
        <v>0</v>
      </c>
      <c r="AO9" s="30">
        <f>AVERAGE(F9:H9)</f>
        <v>0</v>
      </c>
      <c r="AP9" s="30">
        <f>AVERAGE(I9:K9)</f>
        <v>0</v>
      </c>
      <c r="AQ9" s="30">
        <f>AVERAGE(L9:N9)</f>
        <v>0</v>
      </c>
      <c r="AR9" s="30">
        <f>AVERAGE(O9:Q9)</f>
        <v>0</v>
      </c>
      <c r="AS9" s="30">
        <f>AVERAGE(R9:T9)</f>
        <v>0</v>
      </c>
      <c r="AT9" s="30">
        <f>AVERAGE(U9:W9)</f>
        <v>0</v>
      </c>
      <c r="AU9" s="30">
        <f>AVERAGE(X9:Z9)</f>
        <v>0</v>
      </c>
      <c r="AV9" s="30">
        <f>AVERAGE(AA9:AC9)</f>
        <v>0</v>
      </c>
      <c r="AW9" s="30">
        <f>AVERAGE(AD9:AF9)</f>
        <v>0</v>
      </c>
      <c r="AX9" s="30">
        <f>AVERAGE(AG9:AI9)</f>
        <v>0</v>
      </c>
      <c r="AY9" s="30">
        <f>AVERAGE(AJ9:AL9)</f>
        <v>0</v>
      </c>
      <c r="BA9" s="30">
        <f>AVERAGE(C9:N9)</f>
        <v>0</v>
      </c>
      <c r="BB9" s="30">
        <f>AVERAGE(O9:Z9)</f>
        <v>0</v>
      </c>
      <c r="BC9" s="30">
        <f>AVERAGE(AA9:AL9)</f>
        <v>0</v>
      </c>
    </row>
    <row r="10" spans="1:55">
      <c r="A10" s="18" t="s">
        <v>194</v>
      </c>
      <c r="B10" s="16" t="s">
        <v>195</v>
      </c>
      <c r="C10" s="30">
        <f>C8*C9</f>
        <v>0</v>
      </c>
      <c r="D10" s="30">
        <f>D8*D9</f>
        <v>0</v>
      </c>
      <c r="E10" s="30">
        <f>E8*E9</f>
        <v>0</v>
      </c>
      <c r="F10" s="30">
        <f>F8*F9</f>
        <v>0</v>
      </c>
      <c r="G10" s="30">
        <f>G8*G9</f>
        <v>0</v>
      </c>
      <c r="H10" s="30">
        <f>H8*H9</f>
        <v>0</v>
      </c>
      <c r="I10" s="30">
        <f>I8*I9</f>
        <v>0</v>
      </c>
      <c r="J10" s="30">
        <f>J8*J9</f>
        <v>0</v>
      </c>
      <c r="K10" s="30">
        <f>K8*K9</f>
        <v>0</v>
      </c>
      <c r="L10" s="30">
        <f>L8*L9</f>
        <v>0</v>
      </c>
      <c r="M10" s="30">
        <f>M8*M9</f>
        <v>0</v>
      </c>
      <c r="N10" s="30">
        <f>N8*N9</f>
        <v>0</v>
      </c>
      <c r="O10" s="30">
        <f>O8*O9</f>
        <v>0</v>
      </c>
      <c r="P10" s="30">
        <f>P8*P9</f>
        <v>0</v>
      </c>
      <c r="Q10" s="30">
        <f>Q8*Q9</f>
        <v>0</v>
      </c>
      <c r="R10" s="30">
        <f>R8*R9</f>
        <v>0</v>
      </c>
      <c r="S10" s="30">
        <f>S8*S9</f>
        <v>0</v>
      </c>
      <c r="T10" s="30">
        <f>T8*T9</f>
        <v>0</v>
      </c>
      <c r="U10" s="30">
        <f>U8*U9</f>
        <v>0</v>
      </c>
      <c r="V10" s="30">
        <f>V8*V9</f>
        <v>0</v>
      </c>
      <c r="W10" s="30">
        <f>W8*W9</f>
        <v>0</v>
      </c>
      <c r="X10" s="30">
        <f>X8*X9</f>
        <v>0</v>
      </c>
      <c r="Y10" s="30">
        <f>Y8*Y9</f>
        <v>0</v>
      </c>
      <c r="Z10" s="30">
        <f>Z8*Z9</f>
        <v>0</v>
      </c>
      <c r="AA10" s="30">
        <f>AA8*AA9</f>
        <v>0</v>
      </c>
      <c r="AB10" s="30">
        <f>AB8*AB9</f>
        <v>0</v>
      </c>
      <c r="AC10" s="30">
        <f>AC8*AC9</f>
        <v>0</v>
      </c>
      <c r="AD10" s="30">
        <f>AD8*AD9</f>
        <v>0</v>
      </c>
      <c r="AE10" s="30">
        <f>AE8*AE9</f>
        <v>0</v>
      </c>
      <c r="AF10" s="30">
        <f>AF8*AF9</f>
        <v>0</v>
      </c>
      <c r="AG10" s="30">
        <f>AG8*AG9</f>
        <v>0</v>
      </c>
      <c r="AH10" s="30">
        <f>AH8*AH9</f>
        <v>0</v>
      </c>
      <c r="AI10" s="30">
        <f>AI8*AI9</f>
        <v>0</v>
      </c>
      <c r="AJ10" s="30">
        <f>AJ8*AJ9</f>
        <v>0</v>
      </c>
      <c r="AK10" s="30">
        <f>AK8*AK9</f>
        <v>0</v>
      </c>
      <c r="AL10" s="30">
        <f>AL8*AL9</f>
        <v>0</v>
      </c>
      <c r="AN10" s="30">
        <f>SUM(C10:E10)</f>
        <v>0</v>
      </c>
      <c r="AO10" s="30">
        <f>SUM(F10:H10)</f>
        <v>0</v>
      </c>
      <c r="AP10" s="30">
        <f>SUM(I10:K10)</f>
        <v>0</v>
      </c>
      <c r="AQ10" s="30">
        <f>SUM(L10:N10)</f>
        <v>0</v>
      </c>
      <c r="AR10" s="30">
        <f>SUM(O10:Q10)</f>
        <v>0</v>
      </c>
      <c r="AS10" s="30">
        <f>SUM(R10:T10)</f>
        <v>0</v>
      </c>
      <c r="AT10" s="30">
        <f>SUM(U10:W10)</f>
        <v>0</v>
      </c>
      <c r="AU10" s="30">
        <f>SUM(X10:Z10)</f>
        <v>0</v>
      </c>
      <c r="AV10" s="30">
        <f>SUM(AA10:AC10)</f>
        <v>0</v>
      </c>
      <c r="AW10" s="30">
        <f>SUM(AD10:AF10)</f>
        <v>0</v>
      </c>
      <c r="AX10" s="30">
        <f>SUM(AG10:AI10)</f>
        <v>0</v>
      </c>
      <c r="AY10" s="30">
        <f>SUM(AJ10:AL10)</f>
        <v>0</v>
      </c>
      <c r="BA10" s="30">
        <f>SUM(C10:N10)</f>
        <v>0</v>
      </c>
      <c r="BB10" s="30">
        <f>SUM(O10:Z10)</f>
        <v>0</v>
      </c>
      <c r="BC10" s="30">
        <f>SUM(AA10:AL10)</f>
        <v>0</v>
      </c>
    </row>
    <row r="11" spans="1:55">
      <c r="A11" s="18" t="s">
        <v>54</v>
      </c>
      <c r="B11" s="16" t="s">
        <v>196</v>
      </c>
      <c r="C11" s="25">
        <f>'Assumptions'!$F$16</f>
        <v>0</v>
      </c>
      <c r="D11" s="25">
        <f>'Assumptions'!$F$16</f>
        <v>0</v>
      </c>
      <c r="E11" s="25">
        <f>'Assumptions'!$F$16</f>
        <v>0</v>
      </c>
      <c r="F11" s="25">
        <f>'Assumptions'!$F$16</f>
        <v>0</v>
      </c>
      <c r="G11" s="25">
        <f>'Assumptions'!$F$16</f>
        <v>0</v>
      </c>
      <c r="H11" s="25">
        <f>'Assumptions'!$F$16</f>
        <v>0</v>
      </c>
      <c r="I11" s="25">
        <f>'Assumptions'!$F$16</f>
        <v>0</v>
      </c>
      <c r="J11" s="25">
        <f>'Assumptions'!$F$16</f>
        <v>0</v>
      </c>
      <c r="K11" s="25">
        <f>'Assumptions'!$F$16</f>
        <v>0</v>
      </c>
      <c r="L11" s="25">
        <f>'Assumptions'!$F$16</f>
        <v>0</v>
      </c>
      <c r="M11" s="25">
        <f>'Assumptions'!$F$16</f>
        <v>0</v>
      </c>
      <c r="N11" s="25">
        <f>'Assumptions'!$F$16</f>
        <v>0</v>
      </c>
      <c r="O11" s="25">
        <f>'Assumptions'!$F$16</f>
        <v>0</v>
      </c>
      <c r="P11" s="25">
        <f>'Assumptions'!$F$16</f>
        <v>0</v>
      </c>
      <c r="Q11" s="25">
        <f>'Assumptions'!$F$16</f>
        <v>0</v>
      </c>
      <c r="R11" s="25">
        <f>'Assumptions'!$F$16</f>
        <v>0</v>
      </c>
      <c r="S11" s="25">
        <f>'Assumptions'!$F$16</f>
        <v>0</v>
      </c>
      <c r="T11" s="25">
        <f>'Assumptions'!$F$16</f>
        <v>0</v>
      </c>
      <c r="U11" s="25">
        <f>'Assumptions'!$F$16</f>
        <v>0</v>
      </c>
      <c r="V11" s="25">
        <f>'Assumptions'!$F$16</f>
        <v>0</v>
      </c>
      <c r="W11" s="25">
        <f>'Assumptions'!$F$16</f>
        <v>0</v>
      </c>
      <c r="X11" s="25">
        <f>'Assumptions'!$F$16</f>
        <v>0</v>
      </c>
      <c r="Y11" s="25">
        <f>'Assumptions'!$F$16</f>
        <v>0</v>
      </c>
      <c r="Z11" s="25">
        <f>'Assumptions'!$F$16</f>
        <v>0</v>
      </c>
      <c r="AA11" s="25">
        <f>'Assumptions'!$F$16</f>
        <v>0</v>
      </c>
      <c r="AB11" s="25">
        <f>'Assumptions'!$F$16</f>
        <v>0</v>
      </c>
      <c r="AC11" s="25">
        <f>'Assumptions'!$F$16</f>
        <v>0</v>
      </c>
      <c r="AD11" s="25">
        <f>'Assumptions'!$F$16</f>
        <v>0</v>
      </c>
      <c r="AE11" s="25">
        <f>'Assumptions'!$F$16</f>
        <v>0</v>
      </c>
      <c r="AF11" s="25">
        <f>'Assumptions'!$F$16</f>
        <v>0</v>
      </c>
      <c r="AG11" s="25">
        <f>'Assumptions'!$F$16</f>
        <v>0</v>
      </c>
      <c r="AH11" s="25">
        <f>'Assumptions'!$F$16</f>
        <v>0</v>
      </c>
      <c r="AI11" s="25">
        <f>'Assumptions'!$F$16</f>
        <v>0</v>
      </c>
      <c r="AJ11" s="25">
        <f>'Assumptions'!$F$16</f>
        <v>0</v>
      </c>
      <c r="AK11" s="25">
        <f>'Assumptions'!$F$16</f>
        <v>0</v>
      </c>
      <c r="AL11" s="25">
        <f>'Assumptions'!$F$16</f>
        <v>0</v>
      </c>
      <c r="AN11" s="25">
        <f>AVERAGE(C11:E11)</f>
        <v>0</v>
      </c>
      <c r="AO11" s="25">
        <f>AVERAGE(F11:H11)</f>
        <v>0</v>
      </c>
      <c r="AP11" s="25">
        <f>AVERAGE(I11:K11)</f>
        <v>0</v>
      </c>
      <c r="AQ11" s="25">
        <f>AVERAGE(L11:N11)</f>
        <v>0</v>
      </c>
      <c r="AR11" s="25">
        <f>AVERAGE(O11:Q11)</f>
        <v>0</v>
      </c>
      <c r="AS11" s="25">
        <f>AVERAGE(R11:T11)</f>
        <v>0</v>
      </c>
      <c r="AT11" s="25">
        <f>AVERAGE(U11:W11)</f>
        <v>0</v>
      </c>
      <c r="AU11" s="25">
        <f>AVERAGE(X11:Z11)</f>
        <v>0</v>
      </c>
      <c r="AV11" s="25">
        <f>AVERAGE(AA11:AC11)</f>
        <v>0</v>
      </c>
      <c r="AW11" s="25">
        <f>AVERAGE(AD11:AF11)</f>
        <v>0</v>
      </c>
      <c r="AX11" s="25">
        <f>AVERAGE(AG11:AI11)</f>
        <v>0</v>
      </c>
      <c r="AY11" s="25">
        <f>AVERAGE(AJ11:AL11)</f>
        <v>0</v>
      </c>
      <c r="BA11" s="25">
        <f>AVERAGE(C11:N11)</f>
        <v>0</v>
      </c>
      <c r="BB11" s="25">
        <f>AVERAGE(O11:Z11)</f>
        <v>0</v>
      </c>
      <c r="BC11" s="25">
        <f>AVERAGE(AA11:AL11)</f>
        <v>0</v>
      </c>
    </row>
    <row r="12" spans="1:55">
      <c r="A12" s="18" t="s">
        <v>197</v>
      </c>
      <c r="B12" s="16" t="s">
        <v>198</v>
      </c>
      <c r="C12" s="30">
        <f>C10*C11</f>
        <v>0</v>
      </c>
      <c r="D12" s="30">
        <f>D10*D11</f>
        <v>0</v>
      </c>
      <c r="E12" s="30">
        <f>E10*E11</f>
        <v>0</v>
      </c>
      <c r="F12" s="30">
        <f>F10*F11</f>
        <v>0</v>
      </c>
      <c r="G12" s="30">
        <f>G10*G11</f>
        <v>0</v>
      </c>
      <c r="H12" s="30">
        <f>H10*H11</f>
        <v>0</v>
      </c>
      <c r="I12" s="30">
        <f>I10*I11</f>
        <v>0</v>
      </c>
      <c r="J12" s="30">
        <f>J10*J11</f>
        <v>0</v>
      </c>
      <c r="K12" s="30">
        <f>K10*K11</f>
        <v>0</v>
      </c>
      <c r="L12" s="30">
        <f>L10*L11</f>
        <v>0</v>
      </c>
      <c r="M12" s="30">
        <f>M10*M11</f>
        <v>0</v>
      </c>
      <c r="N12" s="30">
        <f>N10*N11</f>
        <v>0</v>
      </c>
      <c r="O12" s="30">
        <f>O10*O11</f>
        <v>0</v>
      </c>
      <c r="P12" s="30">
        <f>P10*P11</f>
        <v>0</v>
      </c>
      <c r="Q12" s="30">
        <f>Q10*Q11</f>
        <v>0</v>
      </c>
      <c r="R12" s="30">
        <f>R10*R11</f>
        <v>0</v>
      </c>
      <c r="S12" s="30">
        <f>S10*S11</f>
        <v>0</v>
      </c>
      <c r="T12" s="30">
        <f>T10*T11</f>
        <v>0</v>
      </c>
      <c r="U12" s="30">
        <f>U10*U11</f>
        <v>0</v>
      </c>
      <c r="V12" s="30">
        <f>V10*V11</f>
        <v>0</v>
      </c>
      <c r="W12" s="30">
        <f>W10*W11</f>
        <v>0</v>
      </c>
      <c r="X12" s="30">
        <f>X10*X11</f>
        <v>0</v>
      </c>
      <c r="Y12" s="30">
        <f>Y10*Y11</f>
        <v>0</v>
      </c>
      <c r="Z12" s="30">
        <f>Z10*Z11</f>
        <v>0</v>
      </c>
      <c r="AA12" s="30">
        <f>AA10*AA11</f>
        <v>0</v>
      </c>
      <c r="AB12" s="30">
        <f>AB10*AB11</f>
        <v>0</v>
      </c>
      <c r="AC12" s="30">
        <f>AC10*AC11</f>
        <v>0</v>
      </c>
      <c r="AD12" s="30">
        <f>AD10*AD11</f>
        <v>0</v>
      </c>
      <c r="AE12" s="30">
        <f>AE10*AE11</f>
        <v>0</v>
      </c>
      <c r="AF12" s="30">
        <f>AF10*AF11</f>
        <v>0</v>
      </c>
      <c r="AG12" s="30">
        <f>AG10*AG11</f>
        <v>0</v>
      </c>
      <c r="AH12" s="30">
        <f>AH10*AH11</f>
        <v>0</v>
      </c>
      <c r="AI12" s="30">
        <f>AI10*AI11</f>
        <v>0</v>
      </c>
      <c r="AJ12" s="30">
        <f>AJ10*AJ11</f>
        <v>0</v>
      </c>
      <c r="AK12" s="30">
        <f>AK10*AK11</f>
        <v>0</v>
      </c>
      <c r="AL12" s="30">
        <f>AL10*AL11</f>
        <v>0</v>
      </c>
      <c r="AN12" s="30">
        <f>SUM(C12:E12)</f>
        <v>0</v>
      </c>
      <c r="AO12" s="30">
        <f>SUM(F12:H12)</f>
        <v>0</v>
      </c>
      <c r="AP12" s="30">
        <f>SUM(I12:K12)</f>
        <v>0</v>
      </c>
      <c r="AQ12" s="30">
        <f>SUM(L12:N12)</f>
        <v>0</v>
      </c>
      <c r="AR12" s="30">
        <f>SUM(O12:Q12)</f>
        <v>0</v>
      </c>
      <c r="AS12" s="30">
        <f>SUM(R12:T12)</f>
        <v>0</v>
      </c>
      <c r="AT12" s="30">
        <f>SUM(U12:W12)</f>
        <v>0</v>
      </c>
      <c r="AU12" s="30">
        <f>SUM(X12:Z12)</f>
        <v>0</v>
      </c>
      <c r="AV12" s="30">
        <f>SUM(AA12:AC12)</f>
        <v>0</v>
      </c>
      <c r="AW12" s="30">
        <f>SUM(AD12:AF12)</f>
        <v>0</v>
      </c>
      <c r="AX12" s="30">
        <f>SUM(AG12:AI12)</f>
        <v>0</v>
      </c>
      <c r="AY12" s="30">
        <f>SUM(AJ12:AL12)</f>
        <v>0</v>
      </c>
      <c r="BA12" s="30">
        <f>SUM(C12:N12)</f>
        <v>0</v>
      </c>
      <c r="BB12" s="30">
        <f>SUM(O12:Z12)</f>
        <v>0</v>
      </c>
      <c r="BC12" s="30">
        <f>SUM(AA12:AL12)</f>
        <v>0</v>
      </c>
    </row>
    <row r="13" spans="1:55">
      <c r="A13" s="18" t="s">
        <v>199</v>
      </c>
      <c r="B13" s="16" t="s">
        <v>200</v>
      </c>
      <c r="C13" s="20">
        <f>'Assumptions'!$F$17</f>
        <v>0</v>
      </c>
      <c r="D13" s="20">
        <f>C13*(1+'Assumptions'!$F$18)</f>
        <v>0</v>
      </c>
      <c r="E13" s="20">
        <f>D13*(1+'Assumptions'!$F$18)</f>
        <v>0</v>
      </c>
      <c r="F13" s="20">
        <f>E13*(1+'Assumptions'!$F$18)</f>
        <v>0</v>
      </c>
      <c r="G13" s="20">
        <f>F13*(1+'Assumptions'!$F$18)</f>
        <v>0</v>
      </c>
      <c r="H13" s="20">
        <f>G13*(1+'Assumptions'!$F$18)</f>
        <v>0</v>
      </c>
      <c r="I13" s="20">
        <f>H13*(1+'Assumptions'!$F$18)</f>
        <v>0</v>
      </c>
      <c r="J13" s="20">
        <f>I13*(1+'Assumptions'!$F$18)</f>
        <v>0</v>
      </c>
      <c r="K13" s="20">
        <f>J13*(1+'Assumptions'!$F$18)</f>
        <v>0</v>
      </c>
      <c r="L13" s="20">
        <f>K13*(1+'Assumptions'!$F$18)</f>
        <v>0</v>
      </c>
      <c r="M13" s="20">
        <f>L13*(1+'Assumptions'!$F$18)</f>
        <v>0</v>
      </c>
      <c r="N13" s="20">
        <f>M13*(1+'Assumptions'!$F$18)</f>
        <v>0</v>
      </c>
      <c r="O13" s="20">
        <f>N13*(1+'Assumptions'!$F$18)</f>
        <v>0</v>
      </c>
      <c r="P13" s="20">
        <f>O13*(1+'Assumptions'!$F$18)</f>
        <v>0</v>
      </c>
      <c r="Q13" s="20">
        <f>P13*(1+'Assumptions'!$F$18)</f>
        <v>0</v>
      </c>
      <c r="R13" s="20">
        <f>Q13*(1+'Assumptions'!$F$18)</f>
        <v>0</v>
      </c>
      <c r="S13" s="20">
        <f>R13*(1+'Assumptions'!$F$18)</f>
        <v>0</v>
      </c>
      <c r="T13" s="20">
        <f>S13*(1+'Assumptions'!$F$18)</f>
        <v>0</v>
      </c>
      <c r="U13" s="20">
        <f>T13*(1+'Assumptions'!$F$18)</f>
        <v>0</v>
      </c>
      <c r="V13" s="20">
        <f>U13*(1+'Assumptions'!$F$18)</f>
        <v>0</v>
      </c>
      <c r="W13" s="20">
        <f>V13*(1+'Assumptions'!$F$18)</f>
        <v>0</v>
      </c>
      <c r="X13" s="20">
        <f>W13*(1+'Assumptions'!$F$18)</f>
        <v>0</v>
      </c>
      <c r="Y13" s="20">
        <f>X13*(1+'Assumptions'!$F$18)</f>
        <v>0</v>
      </c>
      <c r="Z13" s="20">
        <f>Y13*(1+'Assumptions'!$F$18)</f>
        <v>0</v>
      </c>
      <c r="AA13" s="20">
        <f>Z13*(1+'Assumptions'!$F$18)</f>
        <v>0</v>
      </c>
      <c r="AB13" s="20">
        <f>AA13*(1+'Assumptions'!$F$18)</f>
        <v>0</v>
      </c>
      <c r="AC13" s="20">
        <f>AB13*(1+'Assumptions'!$F$18)</f>
        <v>0</v>
      </c>
      <c r="AD13" s="20">
        <f>AC13*(1+'Assumptions'!$F$18)</f>
        <v>0</v>
      </c>
      <c r="AE13" s="20">
        <f>AD13*(1+'Assumptions'!$F$18)</f>
        <v>0</v>
      </c>
      <c r="AF13" s="20">
        <f>AE13*(1+'Assumptions'!$F$18)</f>
        <v>0</v>
      </c>
      <c r="AG13" s="20">
        <f>AF13*(1+'Assumptions'!$F$18)</f>
        <v>0</v>
      </c>
      <c r="AH13" s="20">
        <f>AG13*(1+'Assumptions'!$F$18)</f>
        <v>0</v>
      </c>
      <c r="AI13" s="20">
        <f>AH13*(1+'Assumptions'!$F$18)</f>
        <v>0</v>
      </c>
      <c r="AJ13" s="20">
        <f>AI13*(1+'Assumptions'!$F$18)</f>
        <v>0</v>
      </c>
      <c r="AK13" s="20">
        <f>AJ13*(1+'Assumptions'!$F$18)</f>
        <v>0</v>
      </c>
      <c r="AL13" s="20">
        <f>AK13*(1+'Assumptions'!$F$18)</f>
        <v>0</v>
      </c>
      <c r="AN13" s="20">
        <f>AVERAGE(C13:E13)</f>
        <v>0</v>
      </c>
      <c r="AO13" s="20">
        <f>AVERAGE(F13:H13)</f>
        <v>0</v>
      </c>
      <c r="AP13" s="20">
        <f>AVERAGE(I13:K13)</f>
        <v>0</v>
      </c>
      <c r="AQ13" s="20">
        <f>AVERAGE(L13:N13)</f>
        <v>0</v>
      </c>
      <c r="AR13" s="20">
        <f>AVERAGE(O13:Q13)</f>
        <v>0</v>
      </c>
      <c r="AS13" s="20">
        <f>AVERAGE(R13:T13)</f>
        <v>0</v>
      </c>
      <c r="AT13" s="20">
        <f>AVERAGE(U13:W13)</f>
        <v>0</v>
      </c>
      <c r="AU13" s="20">
        <f>AVERAGE(X13:Z13)</f>
        <v>0</v>
      </c>
      <c r="AV13" s="20">
        <f>AVERAGE(AA13:AC13)</f>
        <v>0</v>
      </c>
      <c r="AW13" s="20">
        <f>AVERAGE(AD13:AF13)</f>
        <v>0</v>
      </c>
      <c r="AX13" s="20">
        <f>AVERAGE(AG13:AI13)</f>
        <v>0</v>
      </c>
      <c r="AY13" s="20">
        <f>AVERAGE(AJ13:AL13)</f>
        <v>0</v>
      </c>
      <c r="BA13" s="20">
        <f>AVERAGE(C13:N13)</f>
        <v>0</v>
      </c>
      <c r="BB13" s="20">
        <f>AVERAGE(O13:Z13)</f>
        <v>0</v>
      </c>
      <c r="BC13" s="20">
        <f>AVERAGE(AA13:AL13)</f>
        <v>0</v>
      </c>
    </row>
    <row r="14" spans="1:55">
      <c r="A14" s="18" t="s">
        <v>201</v>
      </c>
      <c r="B14" s="16" t="s">
        <v>202</v>
      </c>
      <c r="C14" s="20">
        <f>C12*C13</f>
        <v>0</v>
      </c>
      <c r="D14" s="20">
        <f>D12*D13</f>
        <v>0</v>
      </c>
      <c r="E14" s="20">
        <f>E12*E13</f>
        <v>0</v>
      </c>
      <c r="F14" s="20">
        <f>F12*F13</f>
        <v>0</v>
      </c>
      <c r="G14" s="20">
        <f>G12*G13</f>
        <v>0</v>
      </c>
      <c r="H14" s="20">
        <f>H12*H13</f>
        <v>0</v>
      </c>
      <c r="I14" s="20">
        <f>I12*I13</f>
        <v>0</v>
      </c>
      <c r="J14" s="20">
        <f>J12*J13</f>
        <v>0</v>
      </c>
      <c r="K14" s="20">
        <f>K12*K13</f>
        <v>0</v>
      </c>
      <c r="L14" s="20">
        <f>L12*L13</f>
        <v>0</v>
      </c>
      <c r="M14" s="20">
        <f>M12*M13</f>
        <v>0</v>
      </c>
      <c r="N14" s="20">
        <f>N12*N13</f>
        <v>0</v>
      </c>
      <c r="O14" s="20">
        <f>O12*O13</f>
        <v>0</v>
      </c>
      <c r="P14" s="20">
        <f>P12*P13</f>
        <v>0</v>
      </c>
      <c r="Q14" s="20">
        <f>Q12*Q13</f>
        <v>0</v>
      </c>
      <c r="R14" s="20">
        <f>R12*R13</f>
        <v>0</v>
      </c>
      <c r="S14" s="20">
        <f>S12*S13</f>
        <v>0</v>
      </c>
      <c r="T14" s="20">
        <f>T12*T13</f>
        <v>0</v>
      </c>
      <c r="U14" s="20">
        <f>U12*U13</f>
        <v>0</v>
      </c>
      <c r="V14" s="20">
        <f>V12*V13</f>
        <v>0</v>
      </c>
      <c r="W14" s="20">
        <f>W12*W13</f>
        <v>0</v>
      </c>
      <c r="X14" s="20">
        <f>X12*X13</f>
        <v>0</v>
      </c>
      <c r="Y14" s="20">
        <f>Y12*Y13</f>
        <v>0</v>
      </c>
      <c r="Z14" s="20">
        <f>Z12*Z13</f>
        <v>0</v>
      </c>
      <c r="AA14" s="20">
        <f>AA12*AA13</f>
        <v>0</v>
      </c>
      <c r="AB14" s="20">
        <f>AB12*AB13</f>
        <v>0</v>
      </c>
      <c r="AC14" s="20">
        <f>AC12*AC13</f>
        <v>0</v>
      </c>
      <c r="AD14" s="20">
        <f>AD12*AD13</f>
        <v>0</v>
      </c>
      <c r="AE14" s="20">
        <f>AE12*AE13</f>
        <v>0</v>
      </c>
      <c r="AF14" s="20">
        <f>AF12*AF13</f>
        <v>0</v>
      </c>
      <c r="AG14" s="20">
        <f>AG12*AG13</f>
        <v>0</v>
      </c>
      <c r="AH14" s="20">
        <f>AH12*AH13</f>
        <v>0</v>
      </c>
      <c r="AI14" s="20">
        <f>AI12*AI13</f>
        <v>0</v>
      </c>
      <c r="AJ14" s="20">
        <f>AJ12*AJ13</f>
        <v>0</v>
      </c>
      <c r="AK14" s="20">
        <f>AK12*AK13</f>
        <v>0</v>
      </c>
      <c r="AL14" s="20">
        <f>AL12*AL13</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ht="5" customHeight="1"/>
    <row r="16" spans="1:55" ht="16" customHeight="1">
      <c r="A16" s="14" t="s">
        <v>203</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row>
    <row r="17" spans="1:55">
      <c r="A17" s="18" t="s">
        <v>204</v>
      </c>
      <c r="B17" s="16" t="s">
        <v>191</v>
      </c>
      <c r="C17" s="27">
        <f>'Headcount'!$C$8</f>
        <v>0</v>
      </c>
      <c r="D17" s="27">
        <f>'Headcount'!$D$8</f>
        <v>0</v>
      </c>
      <c r="E17" s="27">
        <f>'Headcount'!$E$8</f>
        <v>0</v>
      </c>
      <c r="F17" s="27">
        <f>'Headcount'!$F$8</f>
        <v>0</v>
      </c>
      <c r="G17" s="27">
        <f>'Headcount'!$G$8</f>
        <v>0</v>
      </c>
      <c r="H17" s="27">
        <f>'Headcount'!$H$8</f>
        <v>0</v>
      </c>
      <c r="I17" s="27">
        <f>'Headcount'!$I$8</f>
        <v>0</v>
      </c>
      <c r="J17" s="27">
        <f>'Headcount'!$J$8</f>
        <v>0</v>
      </c>
      <c r="K17" s="27">
        <f>'Headcount'!$K$8</f>
        <v>0</v>
      </c>
      <c r="L17" s="27">
        <f>'Headcount'!$L$8</f>
        <v>0</v>
      </c>
      <c r="M17" s="27">
        <f>'Headcount'!$M$8</f>
        <v>0</v>
      </c>
      <c r="N17" s="27">
        <f>'Headcount'!$N$8</f>
        <v>0</v>
      </c>
      <c r="O17" s="27">
        <f>'Headcount'!$O$8</f>
        <v>0</v>
      </c>
      <c r="P17" s="27">
        <f>'Headcount'!$P$8</f>
        <v>0</v>
      </c>
      <c r="Q17" s="27">
        <f>'Headcount'!$Q$8</f>
        <v>0</v>
      </c>
      <c r="R17" s="27">
        <f>'Headcount'!$R$8</f>
        <v>0</v>
      </c>
      <c r="S17" s="27">
        <f>'Headcount'!$S$8</f>
        <v>0</v>
      </c>
      <c r="T17" s="27">
        <f>'Headcount'!$T$8</f>
        <v>0</v>
      </c>
      <c r="U17" s="27">
        <f>'Headcount'!$U$8</f>
        <v>0</v>
      </c>
      <c r="V17" s="27">
        <f>'Headcount'!$V$8</f>
        <v>0</v>
      </c>
      <c r="W17" s="27">
        <f>'Headcount'!$W$8</f>
        <v>0</v>
      </c>
      <c r="X17" s="27">
        <f>'Headcount'!$X$8</f>
        <v>0</v>
      </c>
      <c r="Y17" s="27">
        <f>'Headcount'!$Y$8</f>
        <v>0</v>
      </c>
      <c r="Z17" s="27">
        <f>'Headcount'!$Z$8</f>
        <v>0</v>
      </c>
      <c r="AA17" s="27">
        <f>'Headcount'!$AA$8</f>
        <v>0</v>
      </c>
      <c r="AB17" s="27">
        <f>'Headcount'!$AB$8</f>
        <v>0</v>
      </c>
      <c r="AC17" s="27">
        <f>'Headcount'!$AC$8</f>
        <v>0</v>
      </c>
      <c r="AD17" s="27">
        <f>'Headcount'!$AD$8</f>
        <v>0</v>
      </c>
      <c r="AE17" s="27">
        <f>'Headcount'!$AE$8</f>
        <v>0</v>
      </c>
      <c r="AF17" s="27">
        <f>'Headcount'!$AF$8</f>
        <v>0</v>
      </c>
      <c r="AG17" s="27">
        <f>'Headcount'!$AG$8</f>
        <v>0</v>
      </c>
      <c r="AH17" s="27">
        <f>'Headcount'!$AH$8</f>
        <v>0</v>
      </c>
      <c r="AI17" s="27">
        <f>'Headcount'!$AI$8</f>
        <v>0</v>
      </c>
      <c r="AJ17" s="27">
        <f>'Headcount'!$AJ$8</f>
        <v>0</v>
      </c>
      <c r="AK17" s="27">
        <f>'Headcount'!$AK$8</f>
        <v>0</v>
      </c>
      <c r="AL17" s="27">
        <f>'Headcount'!$AL$8</f>
        <v>0</v>
      </c>
      <c r="AN17" s="27">
        <f>E17</f>
        <v>0</v>
      </c>
      <c r="AO17" s="27">
        <f>H17</f>
        <v>0</v>
      </c>
      <c r="AP17" s="27">
        <f>K17</f>
        <v>0</v>
      </c>
      <c r="AQ17" s="27">
        <f>N17</f>
        <v>0</v>
      </c>
      <c r="AR17" s="27">
        <f>Q17</f>
        <v>0</v>
      </c>
      <c r="AS17" s="27">
        <f>T17</f>
        <v>0</v>
      </c>
      <c r="AT17" s="27">
        <f>W17</f>
        <v>0</v>
      </c>
      <c r="AU17" s="27">
        <f>Z17</f>
        <v>0</v>
      </c>
      <c r="AV17" s="27">
        <f>AC17</f>
        <v>0</v>
      </c>
      <c r="AW17" s="27">
        <f>AF17</f>
        <v>0</v>
      </c>
      <c r="AX17" s="27">
        <f>AI17</f>
        <v>0</v>
      </c>
      <c r="AY17" s="27">
        <f>AL17</f>
        <v>0</v>
      </c>
      <c r="BA17" s="27">
        <f>N17</f>
        <v>0</v>
      </c>
      <c r="BB17" s="27">
        <f>Z17</f>
        <v>0</v>
      </c>
      <c r="BC17" s="27">
        <f>AL17</f>
        <v>0</v>
      </c>
    </row>
    <row r="18" spans="1:55">
      <c r="A18" s="18" t="s">
        <v>205</v>
      </c>
      <c r="B18" s="16" t="s">
        <v>206</v>
      </c>
      <c r="C18" s="20">
        <f>'Assumptions'!$F$22</f>
        <v>0</v>
      </c>
      <c r="D18" s="20">
        <f>'Assumptions'!$F$22</f>
        <v>0</v>
      </c>
      <c r="E18" s="20">
        <f>'Assumptions'!$F$22</f>
        <v>0</v>
      </c>
      <c r="F18" s="20">
        <f>'Assumptions'!$F$22</f>
        <v>0</v>
      </c>
      <c r="G18" s="20">
        <f>'Assumptions'!$F$22</f>
        <v>0</v>
      </c>
      <c r="H18" s="20">
        <f>'Assumptions'!$F$22</f>
        <v>0</v>
      </c>
      <c r="I18" s="20">
        <f>'Assumptions'!$F$22</f>
        <v>0</v>
      </c>
      <c r="J18" s="20">
        <f>'Assumptions'!$F$22</f>
        <v>0</v>
      </c>
      <c r="K18" s="20">
        <f>'Assumptions'!$F$22</f>
        <v>0</v>
      </c>
      <c r="L18" s="20">
        <f>'Assumptions'!$F$22</f>
        <v>0</v>
      </c>
      <c r="M18" s="20">
        <f>'Assumptions'!$F$22</f>
        <v>0</v>
      </c>
      <c r="N18" s="20">
        <f>'Assumptions'!$F$22</f>
        <v>0</v>
      </c>
      <c r="O18" s="20">
        <f>'Assumptions'!$F$22</f>
        <v>0</v>
      </c>
      <c r="P18" s="20">
        <f>'Assumptions'!$F$22</f>
        <v>0</v>
      </c>
      <c r="Q18" s="20">
        <f>'Assumptions'!$F$22</f>
        <v>0</v>
      </c>
      <c r="R18" s="20">
        <f>'Assumptions'!$F$22</f>
        <v>0</v>
      </c>
      <c r="S18" s="20">
        <f>'Assumptions'!$F$22</f>
        <v>0</v>
      </c>
      <c r="T18" s="20">
        <f>'Assumptions'!$F$22</f>
        <v>0</v>
      </c>
      <c r="U18" s="20">
        <f>'Assumptions'!$F$22</f>
        <v>0</v>
      </c>
      <c r="V18" s="20">
        <f>'Assumptions'!$F$22</f>
        <v>0</v>
      </c>
      <c r="W18" s="20">
        <f>'Assumptions'!$F$22</f>
        <v>0</v>
      </c>
      <c r="X18" s="20">
        <f>'Assumptions'!$F$22</f>
        <v>0</v>
      </c>
      <c r="Y18" s="20">
        <f>'Assumptions'!$F$22</f>
        <v>0</v>
      </c>
      <c r="Z18" s="20">
        <f>'Assumptions'!$F$22</f>
        <v>0</v>
      </c>
      <c r="AA18" s="20">
        <f>'Assumptions'!$F$22</f>
        <v>0</v>
      </c>
      <c r="AB18" s="20">
        <f>'Assumptions'!$F$22</f>
        <v>0</v>
      </c>
      <c r="AC18" s="20">
        <f>'Assumptions'!$F$22</f>
        <v>0</v>
      </c>
      <c r="AD18" s="20">
        <f>'Assumptions'!$F$22</f>
        <v>0</v>
      </c>
      <c r="AE18" s="20">
        <f>'Assumptions'!$F$22</f>
        <v>0</v>
      </c>
      <c r="AF18" s="20">
        <f>'Assumptions'!$F$22</f>
        <v>0</v>
      </c>
      <c r="AG18" s="20">
        <f>'Assumptions'!$F$22</f>
        <v>0</v>
      </c>
      <c r="AH18" s="20">
        <f>'Assumptions'!$F$22</f>
        <v>0</v>
      </c>
      <c r="AI18" s="20">
        <f>'Assumptions'!$F$22</f>
        <v>0</v>
      </c>
      <c r="AJ18" s="20">
        <f>'Assumptions'!$F$22</f>
        <v>0</v>
      </c>
      <c r="AK18" s="20">
        <f>'Assumptions'!$F$22</f>
        <v>0</v>
      </c>
      <c r="AL18" s="20">
        <f>'Assumptions'!$F$22</f>
        <v>0</v>
      </c>
      <c r="AN18" s="20">
        <f>AVERAGE(C18:E18)</f>
        <v>0</v>
      </c>
      <c r="AO18" s="20">
        <f>AVERAGE(F18:H18)</f>
        <v>0</v>
      </c>
      <c r="AP18" s="20">
        <f>AVERAGE(I18:K18)</f>
        <v>0</v>
      </c>
      <c r="AQ18" s="20">
        <f>AVERAGE(L18:N18)</f>
        <v>0</v>
      </c>
      <c r="AR18" s="20">
        <f>AVERAGE(O18:Q18)</f>
        <v>0</v>
      </c>
      <c r="AS18" s="20">
        <f>AVERAGE(R18:T18)</f>
        <v>0</v>
      </c>
      <c r="AT18" s="20">
        <f>AVERAGE(U18:W18)</f>
        <v>0</v>
      </c>
      <c r="AU18" s="20">
        <f>AVERAGE(X18:Z18)</f>
        <v>0</v>
      </c>
      <c r="AV18" s="20">
        <f>AVERAGE(AA18:AC18)</f>
        <v>0</v>
      </c>
      <c r="AW18" s="20">
        <f>AVERAGE(AD18:AF18)</f>
        <v>0</v>
      </c>
      <c r="AX18" s="20">
        <f>AVERAGE(AG18:AI18)</f>
        <v>0</v>
      </c>
      <c r="AY18" s="20">
        <f>AVERAGE(AJ18:AL18)</f>
        <v>0</v>
      </c>
      <c r="BA18" s="20">
        <f>AVERAGE(C18:N18)</f>
        <v>0</v>
      </c>
      <c r="BB18" s="20">
        <f>AVERAGE(O18:Z18)</f>
        <v>0</v>
      </c>
      <c r="BC18" s="20">
        <f>AVERAGE(AA18:AL18)</f>
        <v>0</v>
      </c>
    </row>
    <row r="19" spans="1:55">
      <c r="A19" s="18" t="s">
        <v>207</v>
      </c>
      <c r="B19" s="16" t="s">
        <v>208</v>
      </c>
      <c r="C19" s="30">
        <f>C17*C18</f>
        <v>0</v>
      </c>
      <c r="D19" s="30">
        <f>D17*D18</f>
        <v>0</v>
      </c>
      <c r="E19" s="30">
        <f>E17*E18</f>
        <v>0</v>
      </c>
      <c r="F19" s="30">
        <f>F17*F18</f>
        <v>0</v>
      </c>
      <c r="G19" s="30">
        <f>G17*G18</f>
        <v>0</v>
      </c>
      <c r="H19" s="30">
        <f>H17*H18</f>
        <v>0</v>
      </c>
      <c r="I19" s="30">
        <f>I17*I18</f>
        <v>0</v>
      </c>
      <c r="J19" s="30">
        <f>J17*J18</f>
        <v>0</v>
      </c>
      <c r="K19" s="30">
        <f>K17*K18</f>
        <v>0</v>
      </c>
      <c r="L19" s="30">
        <f>L17*L18</f>
        <v>0</v>
      </c>
      <c r="M19" s="30">
        <f>M17*M18</f>
        <v>0</v>
      </c>
      <c r="N19" s="30">
        <f>N17*N18</f>
        <v>0</v>
      </c>
      <c r="O19" s="30">
        <f>O17*O18</f>
        <v>0</v>
      </c>
      <c r="P19" s="30">
        <f>P17*P18</f>
        <v>0</v>
      </c>
      <c r="Q19" s="30">
        <f>Q17*Q18</f>
        <v>0</v>
      </c>
      <c r="R19" s="30">
        <f>R17*R18</f>
        <v>0</v>
      </c>
      <c r="S19" s="30">
        <f>S17*S18</f>
        <v>0</v>
      </c>
      <c r="T19" s="30">
        <f>T17*T18</f>
        <v>0</v>
      </c>
      <c r="U19" s="30">
        <f>U17*U18</f>
        <v>0</v>
      </c>
      <c r="V19" s="30">
        <f>V17*V18</f>
        <v>0</v>
      </c>
      <c r="W19" s="30">
        <f>W17*W18</f>
        <v>0</v>
      </c>
      <c r="X19" s="30">
        <f>X17*X18</f>
        <v>0</v>
      </c>
      <c r="Y19" s="30">
        <f>Y17*Y18</f>
        <v>0</v>
      </c>
      <c r="Z19" s="30">
        <f>Z17*Z18</f>
        <v>0</v>
      </c>
      <c r="AA19" s="30">
        <f>AA17*AA18</f>
        <v>0</v>
      </c>
      <c r="AB19" s="30">
        <f>AB17*AB18</f>
        <v>0</v>
      </c>
      <c r="AC19" s="30">
        <f>AC17*AC18</f>
        <v>0</v>
      </c>
      <c r="AD19" s="30">
        <f>AD17*AD18</f>
        <v>0</v>
      </c>
      <c r="AE19" s="30">
        <f>AE17*AE18</f>
        <v>0</v>
      </c>
      <c r="AF19" s="30">
        <f>AF17*AF18</f>
        <v>0</v>
      </c>
      <c r="AG19" s="30">
        <f>AG17*AG18</f>
        <v>0</v>
      </c>
      <c r="AH19" s="30">
        <f>AH17*AH18</f>
        <v>0</v>
      </c>
      <c r="AI19" s="30">
        <f>AI17*AI18</f>
        <v>0</v>
      </c>
      <c r="AJ19" s="30">
        <f>AJ17*AJ18</f>
        <v>0</v>
      </c>
      <c r="AK19" s="30">
        <f>AK17*AK18</f>
        <v>0</v>
      </c>
      <c r="AL19" s="30">
        <f>AL17*AL18</f>
        <v>0</v>
      </c>
      <c r="AN19" s="30">
        <f>SUM(C19:E19)</f>
        <v>0</v>
      </c>
      <c r="AO19" s="30">
        <f>SUM(F19:H19)</f>
        <v>0</v>
      </c>
      <c r="AP19" s="30">
        <f>SUM(I19:K19)</f>
        <v>0</v>
      </c>
      <c r="AQ19" s="30">
        <f>SUM(L19:N19)</f>
        <v>0</v>
      </c>
      <c r="AR19" s="30">
        <f>SUM(O19:Q19)</f>
        <v>0</v>
      </c>
      <c r="AS19" s="30">
        <f>SUM(R19:T19)</f>
        <v>0</v>
      </c>
      <c r="AT19" s="30">
        <f>SUM(U19:W19)</f>
        <v>0</v>
      </c>
      <c r="AU19" s="30">
        <f>SUM(X19:Z19)</f>
        <v>0</v>
      </c>
      <c r="AV19" s="30">
        <f>SUM(AA19:AC19)</f>
        <v>0</v>
      </c>
      <c r="AW19" s="30">
        <f>SUM(AD19:AF19)</f>
        <v>0</v>
      </c>
      <c r="AX19" s="30">
        <f>SUM(AG19:AI19)</f>
        <v>0</v>
      </c>
      <c r="AY19" s="30">
        <f>SUM(AJ19:AL19)</f>
        <v>0</v>
      </c>
      <c r="BA19" s="30">
        <f>SUM(C19:N19)</f>
        <v>0</v>
      </c>
      <c r="BB19" s="30">
        <f>SUM(O19:Z19)</f>
        <v>0</v>
      </c>
      <c r="BC19" s="30">
        <f>SUM(AA19:AL19)</f>
        <v>0</v>
      </c>
    </row>
    <row r="20" spans="1:55">
      <c r="A20" s="18" t="s">
        <v>76</v>
      </c>
      <c r="B20" s="16" t="s">
        <v>209</v>
      </c>
      <c r="C20" s="25">
        <f>'Assumptions'!$F$27</f>
        <v>0</v>
      </c>
      <c r="D20" s="25">
        <f>'Assumptions'!$F$27</f>
        <v>0</v>
      </c>
      <c r="E20" s="25">
        <f>'Assumptions'!$F$27</f>
        <v>0</v>
      </c>
      <c r="F20" s="25">
        <f>'Assumptions'!$F$27</f>
        <v>0</v>
      </c>
      <c r="G20" s="25">
        <f>'Assumptions'!$F$27</f>
        <v>0</v>
      </c>
      <c r="H20" s="25">
        <f>'Assumptions'!$F$27</f>
        <v>0</v>
      </c>
      <c r="I20" s="25">
        <f>'Assumptions'!$F$27</f>
        <v>0</v>
      </c>
      <c r="J20" s="25">
        <f>'Assumptions'!$F$27</f>
        <v>0</v>
      </c>
      <c r="K20" s="25">
        <f>'Assumptions'!$F$27</f>
        <v>0</v>
      </c>
      <c r="L20" s="25">
        <f>'Assumptions'!$F$27</f>
        <v>0</v>
      </c>
      <c r="M20" s="25">
        <f>'Assumptions'!$F$27</f>
        <v>0</v>
      </c>
      <c r="N20" s="25">
        <f>'Assumptions'!$F$27</f>
        <v>0</v>
      </c>
      <c r="O20" s="25">
        <f>'Assumptions'!$F$27</f>
        <v>0</v>
      </c>
      <c r="P20" s="25">
        <f>'Assumptions'!$F$27</f>
        <v>0</v>
      </c>
      <c r="Q20" s="25">
        <f>'Assumptions'!$F$27</f>
        <v>0</v>
      </c>
      <c r="R20" s="25">
        <f>'Assumptions'!$F$27</f>
        <v>0</v>
      </c>
      <c r="S20" s="25">
        <f>'Assumptions'!$F$27</f>
        <v>0</v>
      </c>
      <c r="T20" s="25">
        <f>'Assumptions'!$F$27</f>
        <v>0</v>
      </c>
      <c r="U20" s="25">
        <f>'Assumptions'!$F$27</f>
        <v>0</v>
      </c>
      <c r="V20" s="25">
        <f>'Assumptions'!$F$27</f>
        <v>0</v>
      </c>
      <c r="W20" s="25">
        <f>'Assumptions'!$F$27</f>
        <v>0</v>
      </c>
      <c r="X20" s="25">
        <f>'Assumptions'!$F$27</f>
        <v>0</v>
      </c>
      <c r="Y20" s="25">
        <f>'Assumptions'!$F$27</f>
        <v>0</v>
      </c>
      <c r="Z20" s="25">
        <f>'Assumptions'!$F$27</f>
        <v>0</v>
      </c>
      <c r="AA20" s="25">
        <f>'Assumptions'!$F$27</f>
        <v>0</v>
      </c>
      <c r="AB20" s="25">
        <f>'Assumptions'!$F$27</f>
        <v>0</v>
      </c>
      <c r="AC20" s="25">
        <f>'Assumptions'!$F$27</f>
        <v>0</v>
      </c>
      <c r="AD20" s="25">
        <f>'Assumptions'!$F$27</f>
        <v>0</v>
      </c>
      <c r="AE20" s="25">
        <f>'Assumptions'!$F$27</f>
        <v>0</v>
      </c>
      <c r="AF20" s="25">
        <f>'Assumptions'!$F$27</f>
        <v>0</v>
      </c>
      <c r="AG20" s="25">
        <f>'Assumptions'!$F$27</f>
        <v>0</v>
      </c>
      <c r="AH20" s="25">
        <f>'Assumptions'!$F$27</f>
        <v>0</v>
      </c>
      <c r="AI20" s="25">
        <f>'Assumptions'!$F$27</f>
        <v>0</v>
      </c>
      <c r="AJ20" s="25">
        <f>'Assumptions'!$F$27</f>
        <v>0</v>
      </c>
      <c r="AK20" s="25">
        <f>'Assumptions'!$F$27</f>
        <v>0</v>
      </c>
      <c r="AL20" s="25">
        <f>'Assumptions'!$F$27</f>
        <v>0</v>
      </c>
      <c r="AN20" s="25">
        <f>AVERAGE(C20:E20)</f>
        <v>0</v>
      </c>
      <c r="AO20" s="25">
        <f>AVERAGE(F20:H20)</f>
        <v>0</v>
      </c>
      <c r="AP20" s="25">
        <f>AVERAGE(I20:K20)</f>
        <v>0</v>
      </c>
      <c r="AQ20" s="25">
        <f>AVERAGE(L20:N20)</f>
        <v>0</v>
      </c>
      <c r="AR20" s="25">
        <f>AVERAGE(O20:Q20)</f>
        <v>0</v>
      </c>
      <c r="AS20" s="25">
        <f>AVERAGE(R20:T20)</f>
        <v>0</v>
      </c>
      <c r="AT20" s="25">
        <f>AVERAGE(U20:W20)</f>
        <v>0</v>
      </c>
      <c r="AU20" s="25">
        <f>AVERAGE(X20:Z20)</f>
        <v>0</v>
      </c>
      <c r="AV20" s="25">
        <f>AVERAGE(AA20:AC20)</f>
        <v>0</v>
      </c>
      <c r="AW20" s="25">
        <f>AVERAGE(AD20:AF20)</f>
        <v>0</v>
      </c>
      <c r="AX20" s="25">
        <f>AVERAGE(AG20:AI20)</f>
        <v>0</v>
      </c>
      <c r="AY20" s="25">
        <f>AVERAGE(AJ20:AL20)</f>
        <v>0</v>
      </c>
      <c r="BA20" s="25">
        <f>AVERAGE(C20:N20)</f>
        <v>0</v>
      </c>
      <c r="BB20" s="25">
        <f>AVERAGE(O20:Z20)</f>
        <v>0</v>
      </c>
      <c r="BC20" s="25">
        <f>AVERAGE(AA20:AL20)</f>
        <v>0</v>
      </c>
    </row>
    <row r="21" spans="1:55">
      <c r="A21" s="18" t="s">
        <v>210</v>
      </c>
      <c r="B21" s="16" t="s">
        <v>211</v>
      </c>
      <c r="C21" s="30">
        <f>C19*(1+C20)</f>
        <v>0</v>
      </c>
      <c r="D21" s="30">
        <f>D19*(1+D20)</f>
        <v>0</v>
      </c>
      <c r="E21" s="30">
        <f>E19*(1+E20)</f>
        <v>0</v>
      </c>
      <c r="F21" s="30">
        <f>F19*(1+F20)</f>
        <v>0</v>
      </c>
      <c r="G21" s="30">
        <f>G19*(1+G20)</f>
        <v>0</v>
      </c>
      <c r="H21" s="30">
        <f>H19*(1+H20)</f>
        <v>0</v>
      </c>
      <c r="I21" s="30">
        <f>I19*(1+I20)</f>
        <v>0</v>
      </c>
      <c r="J21" s="30">
        <f>J19*(1+J20)</f>
        <v>0</v>
      </c>
      <c r="K21" s="30">
        <f>K19*(1+K20)</f>
        <v>0</v>
      </c>
      <c r="L21" s="30">
        <f>L19*(1+L20)</f>
        <v>0</v>
      </c>
      <c r="M21" s="30">
        <f>M19*(1+M20)</f>
        <v>0</v>
      </c>
      <c r="N21" s="30">
        <f>N19*(1+N20)</f>
        <v>0</v>
      </c>
      <c r="O21" s="30">
        <f>O19*(1+O20)</f>
        <v>0</v>
      </c>
      <c r="P21" s="30">
        <f>P19*(1+P20)</f>
        <v>0</v>
      </c>
      <c r="Q21" s="30">
        <f>Q19*(1+Q20)</f>
        <v>0</v>
      </c>
      <c r="R21" s="30">
        <f>R19*(1+R20)</f>
        <v>0</v>
      </c>
      <c r="S21" s="30">
        <f>S19*(1+S20)</f>
        <v>0</v>
      </c>
      <c r="T21" s="30">
        <f>T19*(1+T20)</f>
        <v>0</v>
      </c>
      <c r="U21" s="30">
        <f>U19*(1+U20)</f>
        <v>0</v>
      </c>
      <c r="V21" s="30">
        <f>V19*(1+V20)</f>
        <v>0</v>
      </c>
      <c r="W21" s="30">
        <f>W19*(1+W20)</f>
        <v>0</v>
      </c>
      <c r="X21" s="30">
        <f>X19*(1+X20)</f>
        <v>0</v>
      </c>
      <c r="Y21" s="30">
        <f>Y19*(1+Y20)</f>
        <v>0</v>
      </c>
      <c r="Z21" s="30">
        <f>Z19*(1+Z20)</f>
        <v>0</v>
      </c>
      <c r="AA21" s="30">
        <f>AA19*(1+AA20)</f>
        <v>0</v>
      </c>
      <c r="AB21" s="30">
        <f>AB19*(1+AB20)</f>
        <v>0</v>
      </c>
      <c r="AC21" s="30">
        <f>AC19*(1+AC20)</f>
        <v>0</v>
      </c>
      <c r="AD21" s="30">
        <f>AD19*(1+AD20)</f>
        <v>0</v>
      </c>
      <c r="AE21" s="30">
        <f>AE19*(1+AE20)</f>
        <v>0</v>
      </c>
      <c r="AF21" s="30">
        <f>AF19*(1+AF20)</f>
        <v>0</v>
      </c>
      <c r="AG21" s="30">
        <f>AG19*(1+AG20)</f>
        <v>0</v>
      </c>
      <c r="AH21" s="30">
        <f>AH19*(1+AH20)</f>
        <v>0</v>
      </c>
      <c r="AI21" s="30">
        <f>AI19*(1+AI20)</f>
        <v>0</v>
      </c>
      <c r="AJ21" s="30">
        <f>AJ19*(1+AJ20)</f>
        <v>0</v>
      </c>
      <c r="AK21" s="30">
        <f>AK19*(1+AK20)</f>
        <v>0</v>
      </c>
      <c r="AL21" s="30">
        <f>AL19*(1+AL20)</f>
        <v>0</v>
      </c>
      <c r="AN21" s="30">
        <f>SUM(C21:E21)</f>
        <v>0</v>
      </c>
      <c r="AO21" s="30">
        <f>SUM(F21:H21)</f>
        <v>0</v>
      </c>
      <c r="AP21" s="30">
        <f>SUM(I21:K21)</f>
        <v>0</v>
      </c>
      <c r="AQ21" s="30">
        <f>SUM(L21:N21)</f>
        <v>0</v>
      </c>
      <c r="AR21" s="30">
        <f>SUM(O21:Q21)</f>
        <v>0</v>
      </c>
      <c r="AS21" s="30">
        <f>SUM(R21:T21)</f>
        <v>0</v>
      </c>
      <c r="AT21" s="30">
        <f>SUM(U21:W21)</f>
        <v>0</v>
      </c>
      <c r="AU21" s="30">
        <f>SUM(X21:Z21)</f>
        <v>0</v>
      </c>
      <c r="AV21" s="30">
        <f>SUM(AA21:AC21)</f>
        <v>0</v>
      </c>
      <c r="AW21" s="30">
        <f>SUM(AD21:AF21)</f>
        <v>0</v>
      </c>
      <c r="AX21" s="30">
        <f>SUM(AG21:AI21)</f>
        <v>0</v>
      </c>
      <c r="AY21" s="30">
        <f>SUM(AJ21:AL21)</f>
        <v>0</v>
      </c>
      <c r="BA21" s="30">
        <f>SUM(C21:N21)</f>
        <v>0</v>
      </c>
      <c r="BB21" s="30">
        <f>SUM(O21:Z21)</f>
        <v>0</v>
      </c>
      <c r="BC21" s="30">
        <f>SUM(AA21:AL21)</f>
        <v>0</v>
      </c>
    </row>
    <row r="22" spans="1:55">
      <c r="A22" s="18" t="s">
        <v>212</v>
      </c>
      <c r="B22" s="16" t="s">
        <v>213</v>
      </c>
      <c r="C22" s="25">
        <f>'Assumptions'!$F$23</f>
        <v>0</v>
      </c>
      <c r="D22" s="25">
        <f>'Assumptions'!$F$23</f>
        <v>0</v>
      </c>
      <c r="E22" s="25">
        <f>'Assumptions'!$F$23</f>
        <v>0</v>
      </c>
      <c r="F22" s="25">
        <f>'Assumptions'!$F$23</f>
        <v>0</v>
      </c>
      <c r="G22" s="25">
        <f>'Assumptions'!$F$23</f>
        <v>0</v>
      </c>
      <c r="H22" s="25">
        <f>'Assumptions'!$F$23</f>
        <v>0</v>
      </c>
      <c r="I22" s="25">
        <f>'Assumptions'!$F$23</f>
        <v>0</v>
      </c>
      <c r="J22" s="25">
        <f>'Assumptions'!$F$23</f>
        <v>0</v>
      </c>
      <c r="K22" s="25">
        <f>'Assumptions'!$F$23</f>
        <v>0</v>
      </c>
      <c r="L22" s="25">
        <f>'Assumptions'!$F$23</f>
        <v>0</v>
      </c>
      <c r="M22" s="25">
        <f>'Assumptions'!$F$23</f>
        <v>0</v>
      </c>
      <c r="N22" s="25">
        <f>'Assumptions'!$F$23</f>
        <v>0</v>
      </c>
      <c r="O22" s="25">
        <f>'Assumptions'!$F$23</f>
        <v>0</v>
      </c>
      <c r="P22" s="25">
        <f>'Assumptions'!$F$23</f>
        <v>0</v>
      </c>
      <c r="Q22" s="25">
        <f>'Assumptions'!$F$23</f>
        <v>0</v>
      </c>
      <c r="R22" s="25">
        <f>'Assumptions'!$F$23</f>
        <v>0</v>
      </c>
      <c r="S22" s="25">
        <f>'Assumptions'!$F$23</f>
        <v>0</v>
      </c>
      <c r="T22" s="25">
        <f>'Assumptions'!$F$23</f>
        <v>0</v>
      </c>
      <c r="U22" s="25">
        <f>'Assumptions'!$F$23</f>
        <v>0</v>
      </c>
      <c r="V22" s="25">
        <f>'Assumptions'!$F$23</f>
        <v>0</v>
      </c>
      <c r="W22" s="25">
        <f>'Assumptions'!$F$23</f>
        <v>0</v>
      </c>
      <c r="X22" s="25">
        <f>'Assumptions'!$F$23</f>
        <v>0</v>
      </c>
      <c r="Y22" s="25">
        <f>'Assumptions'!$F$23</f>
        <v>0</v>
      </c>
      <c r="Z22" s="25">
        <f>'Assumptions'!$F$23</f>
        <v>0</v>
      </c>
      <c r="AA22" s="25">
        <f>'Assumptions'!$F$23</f>
        <v>0</v>
      </c>
      <c r="AB22" s="25">
        <f>'Assumptions'!$F$23</f>
        <v>0</v>
      </c>
      <c r="AC22" s="25">
        <f>'Assumptions'!$F$23</f>
        <v>0</v>
      </c>
      <c r="AD22" s="25">
        <f>'Assumptions'!$F$23</f>
        <v>0</v>
      </c>
      <c r="AE22" s="25">
        <f>'Assumptions'!$F$23</f>
        <v>0</v>
      </c>
      <c r="AF22" s="25">
        <f>'Assumptions'!$F$23</f>
        <v>0</v>
      </c>
      <c r="AG22" s="25">
        <f>'Assumptions'!$F$23</f>
        <v>0</v>
      </c>
      <c r="AH22" s="25">
        <f>'Assumptions'!$F$23</f>
        <v>0</v>
      </c>
      <c r="AI22" s="25">
        <f>'Assumptions'!$F$23</f>
        <v>0</v>
      </c>
      <c r="AJ22" s="25">
        <f>'Assumptions'!$F$23</f>
        <v>0</v>
      </c>
      <c r="AK22" s="25">
        <f>'Assumptions'!$F$23</f>
        <v>0</v>
      </c>
      <c r="AL22" s="25">
        <f>'Assumptions'!$F$23</f>
        <v>0</v>
      </c>
      <c r="AN22" s="25">
        <f>AVERAGE(C22:E22)</f>
        <v>0</v>
      </c>
      <c r="AO22" s="25">
        <f>AVERAGE(F22:H22)</f>
        <v>0</v>
      </c>
      <c r="AP22" s="25">
        <f>AVERAGE(I22:K22)</f>
        <v>0</v>
      </c>
      <c r="AQ22" s="25">
        <f>AVERAGE(L22:N22)</f>
        <v>0</v>
      </c>
      <c r="AR22" s="25">
        <f>AVERAGE(O22:Q22)</f>
        <v>0</v>
      </c>
      <c r="AS22" s="25">
        <f>AVERAGE(R22:T22)</f>
        <v>0</v>
      </c>
      <c r="AT22" s="25">
        <f>AVERAGE(U22:W22)</f>
        <v>0</v>
      </c>
      <c r="AU22" s="25">
        <f>AVERAGE(X22:Z22)</f>
        <v>0</v>
      </c>
      <c r="AV22" s="25">
        <f>AVERAGE(AA22:AC22)</f>
        <v>0</v>
      </c>
      <c r="AW22" s="25">
        <f>AVERAGE(AD22:AF22)</f>
        <v>0</v>
      </c>
      <c r="AX22" s="25">
        <f>AVERAGE(AG22:AI22)</f>
        <v>0</v>
      </c>
      <c r="AY22" s="25">
        <f>AVERAGE(AJ22:AL22)</f>
        <v>0</v>
      </c>
      <c r="BA22" s="25">
        <f>AVERAGE(C22:N22)</f>
        <v>0</v>
      </c>
      <c r="BB22" s="25">
        <f>AVERAGE(O22:Z22)</f>
        <v>0</v>
      </c>
      <c r="BC22" s="25">
        <f>AVERAGE(AA22:AL22)</f>
        <v>0</v>
      </c>
    </row>
    <row r="23" spans="1:55">
      <c r="A23" s="18" t="s">
        <v>214</v>
      </c>
      <c r="B23" s="16" t="s">
        <v>215</v>
      </c>
      <c r="C23" s="30">
        <f>'Assumptions'!$F$25</f>
        <v>0</v>
      </c>
      <c r="D23" s="30">
        <f>C23*(1+'Assumptions'!$F$26)</f>
        <v>0</v>
      </c>
      <c r="E23" s="30">
        <f>D23*(1+'Assumptions'!$F$26)</f>
        <v>0</v>
      </c>
      <c r="F23" s="30">
        <f>E23*(1+'Assumptions'!$F$26)</f>
        <v>0</v>
      </c>
      <c r="G23" s="30">
        <f>F23*(1+'Assumptions'!$F$26)</f>
        <v>0</v>
      </c>
      <c r="H23" s="30">
        <f>G23*(1+'Assumptions'!$F$26)</f>
        <v>0</v>
      </c>
      <c r="I23" s="30">
        <f>H23*(1+'Assumptions'!$F$26)</f>
        <v>0</v>
      </c>
      <c r="J23" s="30">
        <f>I23*(1+'Assumptions'!$F$26)</f>
        <v>0</v>
      </c>
      <c r="K23" s="30">
        <f>J23*(1+'Assumptions'!$F$26)</f>
        <v>0</v>
      </c>
      <c r="L23" s="30">
        <f>K23*(1+'Assumptions'!$F$26)</f>
        <v>0</v>
      </c>
      <c r="M23" s="30">
        <f>L23*(1+'Assumptions'!$F$26)</f>
        <v>0</v>
      </c>
      <c r="N23" s="30">
        <f>M23*(1+'Assumptions'!$F$26)</f>
        <v>0</v>
      </c>
      <c r="O23" s="30">
        <f>N23*(1+'Assumptions'!$F$26)</f>
        <v>0</v>
      </c>
      <c r="P23" s="30">
        <f>O23*(1+'Assumptions'!$F$26)</f>
        <v>0</v>
      </c>
      <c r="Q23" s="30">
        <f>P23*(1+'Assumptions'!$F$26)</f>
        <v>0</v>
      </c>
      <c r="R23" s="30">
        <f>Q23*(1+'Assumptions'!$F$26)</f>
        <v>0</v>
      </c>
      <c r="S23" s="30">
        <f>R23*(1+'Assumptions'!$F$26)</f>
        <v>0</v>
      </c>
      <c r="T23" s="30">
        <f>S23*(1+'Assumptions'!$F$26)</f>
        <v>0</v>
      </c>
      <c r="U23" s="30">
        <f>T23*(1+'Assumptions'!$F$26)</f>
        <v>0</v>
      </c>
      <c r="V23" s="30">
        <f>U23*(1+'Assumptions'!$F$26)</f>
        <v>0</v>
      </c>
      <c r="W23" s="30">
        <f>V23*(1+'Assumptions'!$F$26)</f>
        <v>0</v>
      </c>
      <c r="X23" s="30">
        <f>W23*(1+'Assumptions'!$F$26)</f>
        <v>0</v>
      </c>
      <c r="Y23" s="30">
        <f>X23*(1+'Assumptions'!$F$26)</f>
        <v>0</v>
      </c>
      <c r="Z23" s="30">
        <f>Y23*(1+'Assumptions'!$F$26)</f>
        <v>0</v>
      </c>
      <c r="AA23" s="30">
        <f>Z23*(1+'Assumptions'!$F$26)</f>
        <v>0</v>
      </c>
      <c r="AB23" s="30">
        <f>AA23*(1+'Assumptions'!$F$26)</f>
        <v>0</v>
      </c>
      <c r="AC23" s="30">
        <f>AB23*(1+'Assumptions'!$F$26)</f>
        <v>0</v>
      </c>
      <c r="AD23" s="30">
        <f>AC23*(1+'Assumptions'!$F$26)</f>
        <v>0</v>
      </c>
      <c r="AE23" s="30">
        <f>AD23*(1+'Assumptions'!$F$26)</f>
        <v>0</v>
      </c>
      <c r="AF23" s="30">
        <f>AE23*(1+'Assumptions'!$F$26)</f>
        <v>0</v>
      </c>
      <c r="AG23" s="30">
        <f>AF23*(1+'Assumptions'!$F$26)</f>
        <v>0</v>
      </c>
      <c r="AH23" s="30">
        <f>AG23*(1+'Assumptions'!$F$26)</f>
        <v>0</v>
      </c>
      <c r="AI23" s="30">
        <f>AH23*(1+'Assumptions'!$F$26)</f>
        <v>0</v>
      </c>
      <c r="AJ23" s="30">
        <f>AI23*(1+'Assumptions'!$F$26)</f>
        <v>0</v>
      </c>
      <c r="AK23" s="30">
        <f>AJ23*(1+'Assumptions'!$F$26)</f>
        <v>0</v>
      </c>
      <c r="AL23" s="30">
        <f>AK23*(1+'Assumptions'!$F$26)</f>
        <v>0</v>
      </c>
      <c r="AN23" s="30">
        <f>AVERAGE(C23:E23)</f>
        <v>0</v>
      </c>
      <c r="AO23" s="30">
        <f>AVERAGE(F23:H23)</f>
        <v>0</v>
      </c>
      <c r="AP23" s="30">
        <f>AVERAGE(I23:K23)</f>
        <v>0</v>
      </c>
      <c r="AQ23" s="30">
        <f>AVERAGE(L23:N23)</f>
        <v>0</v>
      </c>
      <c r="AR23" s="30">
        <f>AVERAGE(O23:Q23)</f>
        <v>0</v>
      </c>
      <c r="AS23" s="30">
        <f>AVERAGE(R23:T23)</f>
        <v>0</v>
      </c>
      <c r="AT23" s="30">
        <f>AVERAGE(U23:W23)</f>
        <v>0</v>
      </c>
      <c r="AU23" s="30">
        <f>AVERAGE(X23:Z23)</f>
        <v>0</v>
      </c>
      <c r="AV23" s="30">
        <f>AVERAGE(AA23:AC23)</f>
        <v>0</v>
      </c>
      <c r="AW23" s="30">
        <f>AVERAGE(AD23:AF23)</f>
        <v>0</v>
      </c>
      <c r="AX23" s="30">
        <f>AVERAGE(AG23:AI23)</f>
        <v>0</v>
      </c>
      <c r="AY23" s="30">
        <f>AVERAGE(AJ23:AL23)</f>
        <v>0</v>
      </c>
      <c r="BA23" s="30">
        <f>AVERAGE(C23:N23)</f>
        <v>0</v>
      </c>
      <c r="BB23" s="30">
        <f>AVERAGE(O23:Z23)</f>
        <v>0</v>
      </c>
      <c r="BC23" s="30">
        <f>AVERAGE(AA23:AL23)</f>
        <v>0</v>
      </c>
    </row>
    <row r="24" spans="1:55">
      <c r="A24" s="18" t="s">
        <v>69</v>
      </c>
      <c r="B24" s="16" t="s">
        <v>216</v>
      </c>
      <c r="C24" s="25">
        <f>'Assumptions'!$F$24</f>
        <v>0</v>
      </c>
      <c r="D24" s="25">
        <f>'Assumptions'!$F$24</f>
        <v>0</v>
      </c>
      <c r="E24" s="25">
        <f>'Assumptions'!$F$24</f>
        <v>0</v>
      </c>
      <c r="F24" s="25">
        <f>'Assumptions'!$F$24</f>
        <v>0</v>
      </c>
      <c r="G24" s="25">
        <f>'Assumptions'!$F$24</f>
        <v>0</v>
      </c>
      <c r="H24" s="25">
        <f>'Assumptions'!$F$24</f>
        <v>0</v>
      </c>
      <c r="I24" s="25">
        <f>'Assumptions'!$F$24</f>
        <v>0</v>
      </c>
      <c r="J24" s="25">
        <f>'Assumptions'!$F$24</f>
        <v>0</v>
      </c>
      <c r="K24" s="25">
        <f>'Assumptions'!$F$24</f>
        <v>0</v>
      </c>
      <c r="L24" s="25">
        <f>'Assumptions'!$F$24</f>
        <v>0</v>
      </c>
      <c r="M24" s="25">
        <f>'Assumptions'!$F$24</f>
        <v>0</v>
      </c>
      <c r="N24" s="25">
        <f>'Assumptions'!$F$24</f>
        <v>0</v>
      </c>
      <c r="O24" s="25">
        <f>'Assumptions'!$F$24</f>
        <v>0</v>
      </c>
      <c r="P24" s="25">
        <f>'Assumptions'!$F$24</f>
        <v>0</v>
      </c>
      <c r="Q24" s="25">
        <f>'Assumptions'!$F$24</f>
        <v>0</v>
      </c>
      <c r="R24" s="25">
        <f>'Assumptions'!$F$24</f>
        <v>0</v>
      </c>
      <c r="S24" s="25">
        <f>'Assumptions'!$F$24</f>
        <v>0</v>
      </c>
      <c r="T24" s="25">
        <f>'Assumptions'!$F$24</f>
        <v>0</v>
      </c>
      <c r="U24" s="25">
        <f>'Assumptions'!$F$24</f>
        <v>0</v>
      </c>
      <c r="V24" s="25">
        <f>'Assumptions'!$F$24</f>
        <v>0</v>
      </c>
      <c r="W24" s="25">
        <f>'Assumptions'!$F$24</f>
        <v>0</v>
      </c>
      <c r="X24" s="25">
        <f>'Assumptions'!$F$24</f>
        <v>0</v>
      </c>
      <c r="Y24" s="25">
        <f>'Assumptions'!$F$24</f>
        <v>0</v>
      </c>
      <c r="Z24" s="25">
        <f>'Assumptions'!$F$24</f>
        <v>0</v>
      </c>
      <c r="AA24" s="25">
        <f>'Assumptions'!$F$24</f>
        <v>0</v>
      </c>
      <c r="AB24" s="25">
        <f>'Assumptions'!$F$24</f>
        <v>0</v>
      </c>
      <c r="AC24" s="25">
        <f>'Assumptions'!$F$24</f>
        <v>0</v>
      </c>
      <c r="AD24" s="25">
        <f>'Assumptions'!$F$24</f>
        <v>0</v>
      </c>
      <c r="AE24" s="25">
        <f>'Assumptions'!$F$24</f>
        <v>0</v>
      </c>
      <c r="AF24" s="25">
        <f>'Assumptions'!$F$24</f>
        <v>0</v>
      </c>
      <c r="AG24" s="25">
        <f>'Assumptions'!$F$24</f>
        <v>0</v>
      </c>
      <c r="AH24" s="25">
        <f>'Assumptions'!$F$24</f>
        <v>0</v>
      </c>
      <c r="AI24" s="25">
        <f>'Assumptions'!$F$24</f>
        <v>0</v>
      </c>
      <c r="AJ24" s="25">
        <f>'Assumptions'!$F$24</f>
        <v>0</v>
      </c>
      <c r="AK24" s="25">
        <f>'Assumptions'!$F$24</f>
        <v>0</v>
      </c>
      <c r="AL24" s="25">
        <f>'Assumptions'!$F$24</f>
        <v>0</v>
      </c>
      <c r="AN24" s="25">
        <f>AVERAGE(C24:E24)</f>
        <v>0</v>
      </c>
      <c r="AO24" s="25">
        <f>AVERAGE(F24:H24)</f>
        <v>0</v>
      </c>
      <c r="AP24" s="25">
        <f>AVERAGE(I24:K24)</f>
        <v>0</v>
      </c>
      <c r="AQ24" s="25">
        <f>AVERAGE(L24:N24)</f>
        <v>0</v>
      </c>
      <c r="AR24" s="25">
        <f>AVERAGE(O24:Q24)</f>
        <v>0</v>
      </c>
      <c r="AS24" s="25">
        <f>AVERAGE(R24:T24)</f>
        <v>0</v>
      </c>
      <c r="AT24" s="25">
        <f>AVERAGE(U24:W24)</f>
        <v>0</v>
      </c>
      <c r="AU24" s="25">
        <f>AVERAGE(X24:Z24)</f>
        <v>0</v>
      </c>
      <c r="AV24" s="25">
        <f>AVERAGE(AA24:AC24)</f>
        <v>0</v>
      </c>
      <c r="AW24" s="25">
        <f>AVERAGE(AD24:AF24)</f>
        <v>0</v>
      </c>
      <c r="AX24" s="25">
        <f>AVERAGE(AG24:AI24)</f>
        <v>0</v>
      </c>
      <c r="AY24" s="25">
        <f>AVERAGE(AJ24:AL24)</f>
        <v>0</v>
      </c>
      <c r="BA24" s="25">
        <f>AVERAGE(C24:N24)</f>
        <v>0</v>
      </c>
      <c r="BB24" s="25">
        <f>AVERAGE(O24:Z24)</f>
        <v>0</v>
      </c>
      <c r="BC24" s="25">
        <f>AVERAGE(AA24:AL24)</f>
        <v>0</v>
      </c>
    </row>
    <row r="25" spans="1:55">
      <c r="A25" s="18" t="s">
        <v>217</v>
      </c>
      <c r="B25" s="16" t="s">
        <v>218</v>
      </c>
      <c r="C25" s="30">
        <f>C23*C24</f>
        <v>0</v>
      </c>
      <c r="D25" s="30">
        <f>D23*D24</f>
        <v>0</v>
      </c>
      <c r="E25" s="30">
        <f>E23*E24</f>
        <v>0</v>
      </c>
      <c r="F25" s="30">
        <f>F23*F24</f>
        <v>0</v>
      </c>
      <c r="G25" s="30">
        <f>G23*G24</f>
        <v>0</v>
      </c>
      <c r="H25" s="30">
        <f>H23*H24</f>
        <v>0</v>
      </c>
      <c r="I25" s="30">
        <f>I23*I24</f>
        <v>0</v>
      </c>
      <c r="J25" s="30">
        <f>J23*J24</f>
        <v>0</v>
      </c>
      <c r="K25" s="30">
        <f>K23*K24</f>
        <v>0</v>
      </c>
      <c r="L25" s="30">
        <f>L23*L24</f>
        <v>0</v>
      </c>
      <c r="M25" s="30">
        <f>M23*M24</f>
        <v>0</v>
      </c>
      <c r="N25" s="30">
        <f>N23*N24</f>
        <v>0</v>
      </c>
      <c r="O25" s="30">
        <f>O23*O24</f>
        <v>0</v>
      </c>
      <c r="P25" s="30">
        <f>P23*P24</f>
        <v>0</v>
      </c>
      <c r="Q25" s="30">
        <f>Q23*Q24</f>
        <v>0</v>
      </c>
      <c r="R25" s="30">
        <f>R23*R24</f>
        <v>0</v>
      </c>
      <c r="S25" s="30">
        <f>S23*S24</f>
        <v>0</v>
      </c>
      <c r="T25" s="30">
        <f>T23*T24</f>
        <v>0</v>
      </c>
      <c r="U25" s="30">
        <f>U23*U24</f>
        <v>0</v>
      </c>
      <c r="V25" s="30">
        <f>V23*V24</f>
        <v>0</v>
      </c>
      <c r="W25" s="30">
        <f>W23*W24</f>
        <v>0</v>
      </c>
      <c r="X25" s="30">
        <f>X23*X24</f>
        <v>0</v>
      </c>
      <c r="Y25" s="30">
        <f>Y23*Y24</f>
        <v>0</v>
      </c>
      <c r="Z25" s="30">
        <f>Z23*Z24</f>
        <v>0</v>
      </c>
      <c r="AA25" s="30">
        <f>AA23*AA24</f>
        <v>0</v>
      </c>
      <c r="AB25" s="30">
        <f>AB23*AB24</f>
        <v>0</v>
      </c>
      <c r="AC25" s="30">
        <f>AC23*AC24</f>
        <v>0</v>
      </c>
      <c r="AD25" s="30">
        <f>AD23*AD24</f>
        <v>0</v>
      </c>
      <c r="AE25" s="30">
        <f>AE23*AE24</f>
        <v>0</v>
      </c>
      <c r="AF25" s="30">
        <f>AF23*AF24</f>
        <v>0</v>
      </c>
      <c r="AG25" s="30">
        <f>AG23*AG24</f>
        <v>0</v>
      </c>
      <c r="AH25" s="30">
        <f>AH23*AH24</f>
        <v>0</v>
      </c>
      <c r="AI25" s="30">
        <f>AI23*AI24</f>
        <v>0</v>
      </c>
      <c r="AJ25" s="30">
        <f>AJ23*AJ24</f>
        <v>0</v>
      </c>
      <c r="AK25" s="30">
        <f>AK23*AK24</f>
        <v>0</v>
      </c>
      <c r="AL25" s="30">
        <f>AL23*AL24</f>
        <v>0</v>
      </c>
      <c r="AN25" s="30">
        <f>AVERAGE(C25:E25)</f>
        <v>0</v>
      </c>
      <c r="AO25" s="30">
        <f>AVERAGE(F25:H25)</f>
        <v>0</v>
      </c>
      <c r="AP25" s="30">
        <f>AVERAGE(I25:K25)</f>
        <v>0</v>
      </c>
      <c r="AQ25" s="30">
        <f>AVERAGE(L25:N25)</f>
        <v>0</v>
      </c>
      <c r="AR25" s="30">
        <f>AVERAGE(O25:Q25)</f>
        <v>0</v>
      </c>
      <c r="AS25" s="30">
        <f>AVERAGE(R25:T25)</f>
        <v>0</v>
      </c>
      <c r="AT25" s="30">
        <f>AVERAGE(U25:W25)</f>
        <v>0</v>
      </c>
      <c r="AU25" s="30">
        <f>AVERAGE(X25:Z25)</f>
        <v>0</v>
      </c>
      <c r="AV25" s="30">
        <f>AVERAGE(AA25:AC25)</f>
        <v>0</v>
      </c>
      <c r="AW25" s="30">
        <f>AVERAGE(AD25:AF25)</f>
        <v>0</v>
      </c>
      <c r="AX25" s="30">
        <f>AVERAGE(AG25:AI25)</f>
        <v>0</v>
      </c>
      <c r="AY25" s="30">
        <f>AVERAGE(AJ25:AL25)</f>
        <v>0</v>
      </c>
      <c r="BA25" s="30">
        <f>AVERAGE(C25:N25)</f>
        <v>0</v>
      </c>
      <c r="BB25" s="30">
        <f>AVERAGE(O25:Z25)</f>
        <v>0</v>
      </c>
      <c r="BC25" s="30">
        <f>AVERAGE(AA25:AL25)</f>
        <v>0</v>
      </c>
    </row>
    <row r="26" spans="1:55">
      <c r="A26" s="18" t="s">
        <v>219</v>
      </c>
      <c r="B26" s="16" t="s">
        <v>220</v>
      </c>
      <c r="C26" s="20">
        <f>C21*C22*C25</f>
        <v>0</v>
      </c>
      <c r="D26" s="20">
        <f>D21*D22*D25</f>
        <v>0</v>
      </c>
      <c r="E26" s="20">
        <f>E21*E22*E25</f>
        <v>0</v>
      </c>
      <c r="F26" s="20">
        <f>F21*F22*F25</f>
        <v>0</v>
      </c>
      <c r="G26" s="20">
        <f>G21*G22*G25</f>
        <v>0</v>
      </c>
      <c r="H26" s="20">
        <f>H21*H22*H25</f>
        <v>0</v>
      </c>
      <c r="I26" s="20">
        <f>I21*I22*I25</f>
        <v>0</v>
      </c>
      <c r="J26" s="20">
        <f>J21*J22*J25</f>
        <v>0</v>
      </c>
      <c r="K26" s="20">
        <f>K21*K22*K25</f>
        <v>0</v>
      </c>
      <c r="L26" s="20">
        <f>L21*L22*L25</f>
        <v>0</v>
      </c>
      <c r="M26" s="20">
        <f>M21*M22*M25</f>
        <v>0</v>
      </c>
      <c r="N26" s="20">
        <f>N21*N22*N25</f>
        <v>0</v>
      </c>
      <c r="O26" s="20">
        <f>O21*O22*O25</f>
        <v>0</v>
      </c>
      <c r="P26" s="20">
        <f>P21*P22*P25</f>
        <v>0</v>
      </c>
      <c r="Q26" s="20">
        <f>Q21*Q22*Q25</f>
        <v>0</v>
      </c>
      <c r="R26" s="20">
        <f>R21*R22*R25</f>
        <v>0</v>
      </c>
      <c r="S26" s="20">
        <f>S21*S22*S25</f>
        <v>0</v>
      </c>
      <c r="T26" s="20">
        <f>T21*T22*T25</f>
        <v>0</v>
      </c>
      <c r="U26" s="20">
        <f>U21*U22*U25</f>
        <v>0</v>
      </c>
      <c r="V26" s="20">
        <f>V21*V22*V25</f>
        <v>0</v>
      </c>
      <c r="W26" s="20">
        <f>W21*W22*W25</f>
        <v>0</v>
      </c>
      <c r="X26" s="20">
        <f>X21*X22*X25</f>
        <v>0</v>
      </c>
      <c r="Y26" s="20">
        <f>Y21*Y22*Y25</f>
        <v>0</v>
      </c>
      <c r="Z26" s="20">
        <f>Z21*Z22*Z25</f>
        <v>0</v>
      </c>
      <c r="AA26" s="20">
        <f>AA21*AA22*AA25</f>
        <v>0</v>
      </c>
      <c r="AB26" s="20">
        <f>AB21*AB22*AB25</f>
        <v>0</v>
      </c>
      <c r="AC26" s="20">
        <f>AC21*AC22*AC25</f>
        <v>0</v>
      </c>
      <c r="AD26" s="20">
        <f>AD21*AD22*AD25</f>
        <v>0</v>
      </c>
      <c r="AE26" s="20">
        <f>AE21*AE22*AE25</f>
        <v>0</v>
      </c>
      <c r="AF26" s="20">
        <f>AF21*AF22*AF25</f>
        <v>0</v>
      </c>
      <c r="AG26" s="20">
        <f>AG21*AG22*AG25</f>
        <v>0</v>
      </c>
      <c r="AH26" s="20">
        <f>AH21*AH22*AH25</f>
        <v>0</v>
      </c>
      <c r="AI26" s="20">
        <f>AI21*AI22*AI25</f>
        <v>0</v>
      </c>
      <c r="AJ26" s="20">
        <f>AJ21*AJ22*AJ25</f>
        <v>0</v>
      </c>
      <c r="AK26" s="20">
        <f>AK21*AK22*AK25</f>
        <v>0</v>
      </c>
      <c r="AL26" s="20">
        <f>AL21*AL22*AL25</f>
        <v>0</v>
      </c>
      <c r="AN26" s="20">
        <f>SUM(C26:E26)</f>
        <v>0</v>
      </c>
      <c r="AO26" s="20">
        <f>SUM(F26:H26)</f>
        <v>0</v>
      </c>
      <c r="AP26" s="20">
        <f>SUM(I26:K26)</f>
        <v>0</v>
      </c>
      <c r="AQ26" s="20">
        <f>SUM(L26:N26)</f>
        <v>0</v>
      </c>
      <c r="AR26" s="20">
        <f>SUM(O26:Q26)</f>
        <v>0</v>
      </c>
      <c r="AS26" s="20">
        <f>SUM(R26:T26)</f>
        <v>0</v>
      </c>
      <c r="AT26" s="20">
        <f>SUM(U26:W26)</f>
        <v>0</v>
      </c>
      <c r="AU26" s="20">
        <f>SUM(X26:Z26)</f>
        <v>0</v>
      </c>
      <c r="AV26" s="20">
        <f>SUM(AA26:AC26)</f>
        <v>0</v>
      </c>
      <c r="AW26" s="20">
        <f>SUM(AD26:AF26)</f>
        <v>0</v>
      </c>
      <c r="AX26" s="20">
        <f>SUM(AG26:AI26)</f>
        <v>0</v>
      </c>
      <c r="AY26" s="20">
        <f>SUM(AJ26:AL26)</f>
        <v>0</v>
      </c>
      <c r="BA26" s="20">
        <f>SUM(C26:N26)</f>
        <v>0</v>
      </c>
      <c r="BB26" s="20">
        <f>SUM(O26:Z26)</f>
        <v>0</v>
      </c>
      <c r="BC26" s="20">
        <f>SUM(AA26:AL26)</f>
        <v>0</v>
      </c>
    </row>
    <row r="27" spans="1:55" ht="5" customHeight="1"/>
    <row r="28" spans="1:55" ht="16" customHeight="1">
      <c r="A28" s="14" t="s">
        <v>221</v>
      </c>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row>
    <row r="29" spans="1:55">
      <c r="A29" s="18" t="s">
        <v>222</v>
      </c>
      <c r="B29" s="16" t="s">
        <v>223</v>
      </c>
      <c r="C29" s="20">
        <f>'Assumptions'!$F$13</f>
        <v>0</v>
      </c>
      <c r="D29" s="20">
        <f>C35</f>
        <v>0</v>
      </c>
      <c r="E29" s="20">
        <f>D35</f>
        <v>0</v>
      </c>
      <c r="F29" s="20">
        <f>E35</f>
        <v>0</v>
      </c>
      <c r="G29" s="20">
        <f>F35</f>
        <v>0</v>
      </c>
      <c r="H29" s="20">
        <f>G35</f>
        <v>0</v>
      </c>
      <c r="I29" s="20">
        <f>H35</f>
        <v>0</v>
      </c>
      <c r="J29" s="20">
        <f>I35</f>
        <v>0</v>
      </c>
      <c r="K29" s="20">
        <f>J35</f>
        <v>0</v>
      </c>
      <c r="L29" s="20">
        <f>K35</f>
        <v>0</v>
      </c>
      <c r="M29" s="20">
        <f>L35</f>
        <v>0</v>
      </c>
      <c r="N29" s="20">
        <f>M35</f>
        <v>0</v>
      </c>
      <c r="O29" s="20">
        <f>N35</f>
        <v>0</v>
      </c>
      <c r="P29" s="20">
        <f>O35</f>
        <v>0</v>
      </c>
      <c r="Q29" s="20">
        <f>P35</f>
        <v>0</v>
      </c>
      <c r="R29" s="20">
        <f>Q35</f>
        <v>0</v>
      </c>
      <c r="S29" s="20">
        <f>R35</f>
        <v>0</v>
      </c>
      <c r="T29" s="20">
        <f>S35</f>
        <v>0</v>
      </c>
      <c r="U29" s="20">
        <f>T35</f>
        <v>0</v>
      </c>
      <c r="V29" s="20">
        <f>U35</f>
        <v>0</v>
      </c>
      <c r="W29" s="20">
        <f>V35</f>
        <v>0</v>
      </c>
      <c r="X29" s="20">
        <f>W35</f>
        <v>0</v>
      </c>
      <c r="Y29" s="20">
        <f>X35</f>
        <v>0</v>
      </c>
      <c r="Z29" s="20">
        <f>Y35</f>
        <v>0</v>
      </c>
      <c r="AA29" s="20">
        <f>Z35</f>
        <v>0</v>
      </c>
      <c r="AB29" s="20">
        <f>AA35</f>
        <v>0</v>
      </c>
      <c r="AC29" s="20">
        <f>AB35</f>
        <v>0</v>
      </c>
      <c r="AD29" s="20">
        <f>AC35</f>
        <v>0</v>
      </c>
      <c r="AE29" s="20">
        <f>AD35</f>
        <v>0</v>
      </c>
      <c r="AF29" s="20">
        <f>AE35</f>
        <v>0</v>
      </c>
      <c r="AG29" s="20">
        <f>AF35</f>
        <v>0</v>
      </c>
      <c r="AH29" s="20">
        <f>AG35</f>
        <v>0</v>
      </c>
      <c r="AI29" s="20">
        <f>AH35</f>
        <v>0</v>
      </c>
      <c r="AJ29" s="20">
        <f>AI35</f>
        <v>0</v>
      </c>
      <c r="AK29" s="20">
        <f>AJ35</f>
        <v>0</v>
      </c>
      <c r="AL29" s="20">
        <f>AK35</f>
        <v>0</v>
      </c>
      <c r="AN29" s="20">
        <f>E29</f>
        <v>0</v>
      </c>
      <c r="AO29" s="20">
        <f>H29</f>
        <v>0</v>
      </c>
      <c r="AP29" s="20">
        <f>K29</f>
        <v>0</v>
      </c>
      <c r="AQ29" s="20">
        <f>N29</f>
        <v>0</v>
      </c>
      <c r="AR29" s="20">
        <f>Q29</f>
        <v>0</v>
      </c>
      <c r="AS29" s="20">
        <f>T29</f>
        <v>0</v>
      </c>
      <c r="AT29" s="20">
        <f>W29</f>
        <v>0</v>
      </c>
      <c r="AU29" s="20">
        <f>Z29</f>
        <v>0</v>
      </c>
      <c r="AV29" s="20">
        <f>AC29</f>
        <v>0</v>
      </c>
      <c r="AW29" s="20">
        <f>AF29</f>
        <v>0</v>
      </c>
      <c r="AX29" s="20">
        <f>AI29</f>
        <v>0</v>
      </c>
      <c r="AY29" s="20">
        <f>AL29</f>
        <v>0</v>
      </c>
      <c r="BA29" s="20">
        <f>N29</f>
        <v>0</v>
      </c>
      <c r="BB29" s="20">
        <f>Z29</f>
        <v>0</v>
      </c>
      <c r="BC29" s="20">
        <f>AL29</f>
        <v>0</v>
      </c>
    </row>
    <row r="30" spans="1:55">
      <c r="A30" s="18" t="s">
        <v>224</v>
      </c>
      <c r="B30" s="16" t="s">
        <v>225</v>
      </c>
      <c r="C30" s="20">
        <f>'Revenue'!$C$14</f>
        <v>0</v>
      </c>
      <c r="D30" s="20">
        <f>'Revenue'!$D$14</f>
        <v>0</v>
      </c>
      <c r="E30" s="20">
        <f>'Revenue'!$E$14</f>
        <v>0</v>
      </c>
      <c r="F30" s="20">
        <f>'Revenue'!$F$14</f>
        <v>0</v>
      </c>
      <c r="G30" s="20">
        <f>'Revenue'!$G$14</f>
        <v>0</v>
      </c>
      <c r="H30" s="20">
        <f>'Revenue'!$H$14</f>
        <v>0</v>
      </c>
      <c r="I30" s="20">
        <f>'Revenue'!$I$14</f>
        <v>0</v>
      </c>
      <c r="J30" s="20">
        <f>'Revenue'!$J$14</f>
        <v>0</v>
      </c>
      <c r="K30" s="20">
        <f>'Revenue'!$K$14</f>
        <v>0</v>
      </c>
      <c r="L30" s="20">
        <f>'Revenue'!$L$14</f>
        <v>0</v>
      </c>
      <c r="M30" s="20">
        <f>'Revenue'!$M$14</f>
        <v>0</v>
      </c>
      <c r="N30" s="20">
        <f>'Revenue'!$N$14</f>
        <v>0</v>
      </c>
      <c r="O30" s="20">
        <f>'Revenue'!$O$14</f>
        <v>0</v>
      </c>
      <c r="P30" s="20">
        <f>'Revenue'!$P$14</f>
        <v>0</v>
      </c>
      <c r="Q30" s="20">
        <f>'Revenue'!$Q$14</f>
        <v>0</v>
      </c>
      <c r="R30" s="20">
        <f>'Revenue'!$R$14</f>
        <v>0</v>
      </c>
      <c r="S30" s="20">
        <f>'Revenue'!$S$14</f>
        <v>0</v>
      </c>
      <c r="T30" s="20">
        <f>'Revenue'!$T$14</f>
        <v>0</v>
      </c>
      <c r="U30" s="20">
        <f>'Revenue'!$U$14</f>
        <v>0</v>
      </c>
      <c r="V30" s="20">
        <f>'Revenue'!$V$14</f>
        <v>0</v>
      </c>
      <c r="W30" s="20">
        <f>'Revenue'!$W$14</f>
        <v>0</v>
      </c>
      <c r="X30" s="20">
        <f>'Revenue'!$X$14</f>
        <v>0</v>
      </c>
      <c r="Y30" s="20">
        <f>'Revenue'!$Y$14</f>
        <v>0</v>
      </c>
      <c r="Z30" s="20">
        <f>'Revenue'!$Z$14</f>
        <v>0</v>
      </c>
      <c r="AA30" s="20">
        <f>'Revenue'!$AA$14</f>
        <v>0</v>
      </c>
      <c r="AB30" s="20">
        <f>'Revenue'!$AB$14</f>
        <v>0</v>
      </c>
      <c r="AC30" s="20">
        <f>'Revenue'!$AC$14</f>
        <v>0</v>
      </c>
      <c r="AD30" s="20">
        <f>'Revenue'!$AD$14</f>
        <v>0</v>
      </c>
      <c r="AE30" s="20">
        <f>'Revenue'!$AE$14</f>
        <v>0</v>
      </c>
      <c r="AF30" s="20">
        <f>'Revenue'!$AF$14</f>
        <v>0</v>
      </c>
      <c r="AG30" s="20">
        <f>'Revenue'!$AG$14</f>
        <v>0</v>
      </c>
      <c r="AH30" s="20">
        <f>'Revenue'!$AH$14</f>
        <v>0</v>
      </c>
      <c r="AI30" s="20">
        <f>'Revenue'!$AI$14</f>
        <v>0</v>
      </c>
      <c r="AJ30" s="20">
        <f>'Revenue'!$AJ$14</f>
        <v>0</v>
      </c>
      <c r="AK30" s="20">
        <f>'Revenue'!$AK$14</f>
        <v>0</v>
      </c>
      <c r="AL30" s="20">
        <f>'Revenue'!$AL$14</f>
        <v>0</v>
      </c>
      <c r="AN30" s="20">
        <f>SUM(C30:E30)</f>
        <v>0</v>
      </c>
      <c r="AO30" s="20">
        <f>SUM(F30:H30)</f>
        <v>0</v>
      </c>
      <c r="AP30" s="20">
        <f>SUM(I30:K30)</f>
        <v>0</v>
      </c>
      <c r="AQ30" s="20">
        <f>SUM(L30:N30)</f>
        <v>0</v>
      </c>
      <c r="AR30" s="20">
        <f>SUM(O30:Q30)</f>
        <v>0</v>
      </c>
      <c r="AS30" s="20">
        <f>SUM(R30:T30)</f>
        <v>0</v>
      </c>
      <c r="AT30" s="20">
        <f>SUM(U30:W30)</f>
        <v>0</v>
      </c>
      <c r="AU30" s="20">
        <f>SUM(X30:Z30)</f>
        <v>0</v>
      </c>
      <c r="AV30" s="20">
        <f>SUM(AA30:AC30)</f>
        <v>0</v>
      </c>
      <c r="AW30" s="20">
        <f>SUM(AD30:AF30)</f>
        <v>0</v>
      </c>
      <c r="AX30" s="20">
        <f>SUM(AG30:AI30)</f>
        <v>0</v>
      </c>
      <c r="AY30" s="20">
        <f>SUM(AJ30:AL30)</f>
        <v>0</v>
      </c>
      <c r="BA30" s="20">
        <f>SUM(C30:N30)</f>
        <v>0</v>
      </c>
      <c r="BB30" s="20">
        <f>SUM(O30:Z30)</f>
        <v>0</v>
      </c>
      <c r="BC30" s="20">
        <f>SUM(AA30:AL30)</f>
        <v>0</v>
      </c>
    </row>
    <row r="31" spans="1:55">
      <c r="A31" s="28" t="s">
        <v>226</v>
      </c>
      <c r="B31" s="16" t="s">
        <v>227</v>
      </c>
      <c r="C31" s="29">
        <f>C29+'Revenue'!C14</f>
        <v>0</v>
      </c>
      <c r="D31" s="29">
        <f>D29+'Revenue'!D14</f>
        <v>0</v>
      </c>
      <c r="E31" s="29">
        <f>E29+'Revenue'!E14</f>
        <v>0</v>
      </c>
      <c r="F31" s="29">
        <f>F29+'Revenue'!F14</f>
        <v>0</v>
      </c>
      <c r="G31" s="29">
        <f>G29+'Revenue'!G14</f>
        <v>0</v>
      </c>
      <c r="H31" s="29">
        <f>H29+'Revenue'!H14</f>
        <v>0</v>
      </c>
      <c r="I31" s="29">
        <f>I29+'Revenue'!I14</f>
        <v>0</v>
      </c>
      <c r="J31" s="29">
        <f>J29+'Revenue'!J14</f>
        <v>0</v>
      </c>
      <c r="K31" s="29">
        <f>K29+'Revenue'!K14</f>
        <v>0</v>
      </c>
      <c r="L31" s="29">
        <f>L29+'Revenue'!L14</f>
        <v>0</v>
      </c>
      <c r="M31" s="29">
        <f>M29+'Revenue'!M14</f>
        <v>0</v>
      </c>
      <c r="N31" s="29">
        <f>N29+'Revenue'!N14</f>
        <v>0</v>
      </c>
      <c r="O31" s="29">
        <f>O29+'Revenue'!O14</f>
        <v>0</v>
      </c>
      <c r="P31" s="29">
        <f>P29+'Revenue'!P14</f>
        <v>0</v>
      </c>
      <c r="Q31" s="29">
        <f>Q29+'Revenue'!Q14</f>
        <v>0</v>
      </c>
      <c r="R31" s="29">
        <f>R29+'Revenue'!R14</f>
        <v>0</v>
      </c>
      <c r="S31" s="29">
        <f>S29+'Revenue'!S14</f>
        <v>0</v>
      </c>
      <c r="T31" s="29">
        <f>T29+'Revenue'!T14</f>
        <v>0</v>
      </c>
      <c r="U31" s="29">
        <f>U29+'Revenue'!U14</f>
        <v>0</v>
      </c>
      <c r="V31" s="29">
        <f>V29+'Revenue'!V14</f>
        <v>0</v>
      </c>
      <c r="W31" s="29">
        <f>W29+'Revenue'!W14</f>
        <v>0</v>
      </c>
      <c r="X31" s="29">
        <f>X29+'Revenue'!X14</f>
        <v>0</v>
      </c>
      <c r="Y31" s="29">
        <f>Y29+'Revenue'!Y14</f>
        <v>0</v>
      </c>
      <c r="Z31" s="29">
        <f>Z29+'Revenue'!Z14</f>
        <v>0</v>
      </c>
      <c r="AA31" s="29">
        <f>AA29+'Revenue'!AA14</f>
        <v>0</v>
      </c>
      <c r="AB31" s="29">
        <f>AB29+'Revenue'!AB14</f>
        <v>0</v>
      </c>
      <c r="AC31" s="29">
        <f>AC29+'Revenue'!AC14</f>
        <v>0</v>
      </c>
      <c r="AD31" s="29">
        <f>AD29+'Revenue'!AD14</f>
        <v>0</v>
      </c>
      <c r="AE31" s="29">
        <f>AE29+'Revenue'!AE14</f>
        <v>0</v>
      </c>
      <c r="AF31" s="29">
        <f>AF29+'Revenue'!AF14</f>
        <v>0</v>
      </c>
      <c r="AG31" s="29">
        <f>AG29+'Revenue'!AG14</f>
        <v>0</v>
      </c>
      <c r="AH31" s="29">
        <f>AH29+'Revenue'!AH14</f>
        <v>0</v>
      </c>
      <c r="AI31" s="29">
        <f>AI29+'Revenue'!AI14</f>
        <v>0</v>
      </c>
      <c r="AJ31" s="29">
        <f>AJ29+'Revenue'!AJ14</f>
        <v>0</v>
      </c>
      <c r="AK31" s="29">
        <f>AK29+'Revenue'!AK14</f>
        <v>0</v>
      </c>
      <c r="AL31" s="29">
        <f>AL29+'Revenue'!AL14</f>
        <v>0</v>
      </c>
      <c r="AN31" s="29">
        <f>E31</f>
        <v>0</v>
      </c>
      <c r="AO31" s="29">
        <f>H31</f>
        <v>0</v>
      </c>
      <c r="AP31" s="29">
        <f>K31</f>
        <v>0</v>
      </c>
      <c r="AQ31" s="29">
        <f>N31</f>
        <v>0</v>
      </c>
      <c r="AR31" s="29">
        <f>Q31</f>
        <v>0</v>
      </c>
      <c r="AS31" s="29">
        <f>T31</f>
        <v>0</v>
      </c>
      <c r="AT31" s="29">
        <f>W31</f>
        <v>0</v>
      </c>
      <c r="AU31" s="29">
        <f>Z31</f>
        <v>0</v>
      </c>
      <c r="AV31" s="29">
        <f>AC31</f>
        <v>0</v>
      </c>
      <c r="AW31" s="29">
        <f>AF31</f>
        <v>0</v>
      </c>
      <c r="AX31" s="29">
        <f>AI31</f>
        <v>0</v>
      </c>
      <c r="AY31" s="29">
        <f>AL31</f>
        <v>0</v>
      </c>
      <c r="BA31" s="29">
        <f>N31</f>
        <v>0</v>
      </c>
      <c r="BB31" s="29">
        <f>Z31</f>
        <v>0</v>
      </c>
      <c r="BC31" s="29">
        <f>AL31</f>
        <v>0</v>
      </c>
    </row>
    <row r="32" spans="1:55">
      <c r="A32" s="18" t="s">
        <v>228</v>
      </c>
      <c r="B32" s="16" t="s">
        <v>229</v>
      </c>
      <c r="C32" s="20">
        <f>C31/MAX(1,'Assumptions'!$F$19)</f>
        <v>0</v>
      </c>
      <c r="D32" s="20">
        <f>D31/MAX(1,'Assumptions'!$F$19)</f>
        <v>0</v>
      </c>
      <c r="E32" s="20">
        <f>E31/MAX(1,'Assumptions'!$F$19)</f>
        <v>0</v>
      </c>
      <c r="F32" s="20">
        <f>F31/MAX(1,'Assumptions'!$F$19)</f>
        <v>0</v>
      </c>
      <c r="G32" s="20">
        <f>G31/MAX(1,'Assumptions'!$F$19)</f>
        <v>0</v>
      </c>
      <c r="H32" s="20">
        <f>H31/MAX(1,'Assumptions'!$F$19)</f>
        <v>0</v>
      </c>
      <c r="I32" s="20">
        <f>I31/MAX(1,'Assumptions'!$F$19)</f>
        <v>0</v>
      </c>
      <c r="J32" s="20">
        <f>J31/MAX(1,'Assumptions'!$F$19)</f>
        <v>0</v>
      </c>
      <c r="K32" s="20">
        <f>K31/MAX(1,'Assumptions'!$F$19)</f>
        <v>0</v>
      </c>
      <c r="L32" s="20">
        <f>L31/MAX(1,'Assumptions'!$F$19)</f>
        <v>0</v>
      </c>
      <c r="M32" s="20">
        <f>M31/MAX(1,'Assumptions'!$F$19)</f>
        <v>0</v>
      </c>
      <c r="N32" s="20">
        <f>N31/MAX(1,'Assumptions'!$F$19)</f>
        <v>0</v>
      </c>
      <c r="O32" s="20">
        <f>O31/MAX(1,'Assumptions'!$F$19)</f>
        <v>0</v>
      </c>
      <c r="P32" s="20">
        <f>P31/MAX(1,'Assumptions'!$F$19)</f>
        <v>0</v>
      </c>
      <c r="Q32" s="20">
        <f>Q31/MAX(1,'Assumptions'!$F$19)</f>
        <v>0</v>
      </c>
      <c r="R32" s="20">
        <f>R31/MAX(1,'Assumptions'!$F$19)</f>
        <v>0</v>
      </c>
      <c r="S32" s="20">
        <f>S31/MAX(1,'Assumptions'!$F$19)</f>
        <v>0</v>
      </c>
      <c r="T32" s="20">
        <f>T31/MAX(1,'Assumptions'!$F$19)</f>
        <v>0</v>
      </c>
      <c r="U32" s="20">
        <f>U31/MAX(1,'Assumptions'!$F$19)</f>
        <v>0</v>
      </c>
      <c r="V32" s="20">
        <f>V31/MAX(1,'Assumptions'!$F$19)</f>
        <v>0</v>
      </c>
      <c r="W32" s="20">
        <f>W31/MAX(1,'Assumptions'!$F$19)</f>
        <v>0</v>
      </c>
      <c r="X32" s="20">
        <f>X31/MAX(1,'Assumptions'!$F$19)</f>
        <v>0</v>
      </c>
      <c r="Y32" s="20">
        <f>Y31/MAX(1,'Assumptions'!$F$19)</f>
        <v>0</v>
      </c>
      <c r="Z32" s="20">
        <f>Z31/MAX(1,'Assumptions'!$F$19)</f>
        <v>0</v>
      </c>
      <c r="AA32" s="20">
        <f>AA31/MAX(1,'Assumptions'!$F$19)</f>
        <v>0</v>
      </c>
      <c r="AB32" s="20">
        <f>AB31/MAX(1,'Assumptions'!$F$19)</f>
        <v>0</v>
      </c>
      <c r="AC32" s="20">
        <f>AC31/MAX(1,'Assumptions'!$F$19)</f>
        <v>0</v>
      </c>
      <c r="AD32" s="20">
        <f>AD31/MAX(1,'Assumptions'!$F$19)</f>
        <v>0</v>
      </c>
      <c r="AE32" s="20">
        <f>AE31/MAX(1,'Assumptions'!$F$19)</f>
        <v>0</v>
      </c>
      <c r="AF32" s="20">
        <f>AF31/MAX(1,'Assumptions'!$F$19)</f>
        <v>0</v>
      </c>
      <c r="AG32" s="20">
        <f>AG31/MAX(1,'Assumptions'!$F$19)</f>
        <v>0</v>
      </c>
      <c r="AH32" s="20">
        <f>AH31/MAX(1,'Assumptions'!$F$19)</f>
        <v>0</v>
      </c>
      <c r="AI32" s="20">
        <f>AI31/MAX(1,'Assumptions'!$F$19)</f>
        <v>0</v>
      </c>
      <c r="AJ32" s="20">
        <f>AJ31/MAX(1,'Assumptions'!$F$19)</f>
        <v>0</v>
      </c>
      <c r="AK32" s="20">
        <f>AK31/MAX(1,'Assumptions'!$F$19)</f>
        <v>0</v>
      </c>
      <c r="AL32" s="20">
        <f>AL31/MAX(1,'Assumptions'!$F$19)</f>
        <v>0</v>
      </c>
      <c r="AN32" s="20">
        <f>SUM(C32:E32)</f>
        <v>0</v>
      </c>
      <c r="AO32" s="20">
        <f>SUM(F32:H32)</f>
        <v>0</v>
      </c>
      <c r="AP32" s="20">
        <f>SUM(I32:K32)</f>
        <v>0</v>
      </c>
      <c r="AQ32" s="20">
        <f>SUM(L32:N32)</f>
        <v>0</v>
      </c>
      <c r="AR32" s="20">
        <f>SUM(O32:Q32)</f>
        <v>0</v>
      </c>
      <c r="AS32" s="20">
        <f>SUM(R32:T32)</f>
        <v>0</v>
      </c>
      <c r="AT32" s="20">
        <f>SUM(U32:W32)</f>
        <v>0</v>
      </c>
      <c r="AU32" s="20">
        <f>SUM(X32:Z32)</f>
        <v>0</v>
      </c>
      <c r="AV32" s="20">
        <f>SUM(AA32:AC32)</f>
        <v>0</v>
      </c>
      <c r="AW32" s="20">
        <f>SUM(AD32:AF32)</f>
        <v>0</v>
      </c>
      <c r="AX32" s="20">
        <f>SUM(AG32:AI32)</f>
        <v>0</v>
      </c>
      <c r="AY32" s="20">
        <f>SUM(AJ32:AL32)</f>
        <v>0</v>
      </c>
      <c r="BA32" s="20">
        <f>SUM(C32:N32)</f>
        <v>0</v>
      </c>
      <c r="BB32" s="20">
        <f>SUM(O32:Z32)</f>
        <v>0</v>
      </c>
      <c r="BC32" s="20">
        <f>SUM(AA32:AL32)</f>
        <v>0</v>
      </c>
    </row>
    <row r="33" spans="1:55">
      <c r="A33" s="18" t="s">
        <v>230</v>
      </c>
      <c r="B33" s="16" t="s">
        <v>231</v>
      </c>
      <c r="C33" s="20">
        <f>'Revenue'!$C$26</f>
        <v>0</v>
      </c>
      <c r="D33" s="20">
        <f>'Revenue'!$D$26</f>
        <v>0</v>
      </c>
      <c r="E33" s="20">
        <f>'Revenue'!$E$26</f>
        <v>0</v>
      </c>
      <c r="F33" s="20">
        <f>'Revenue'!$F$26</f>
        <v>0</v>
      </c>
      <c r="G33" s="20">
        <f>'Revenue'!$G$26</f>
        <v>0</v>
      </c>
      <c r="H33" s="20">
        <f>'Revenue'!$H$26</f>
        <v>0</v>
      </c>
      <c r="I33" s="20">
        <f>'Revenue'!$I$26</f>
        <v>0</v>
      </c>
      <c r="J33" s="20">
        <f>'Revenue'!$J$26</f>
        <v>0</v>
      </c>
      <c r="K33" s="20">
        <f>'Revenue'!$K$26</f>
        <v>0</v>
      </c>
      <c r="L33" s="20">
        <f>'Revenue'!$L$26</f>
        <v>0</v>
      </c>
      <c r="M33" s="20">
        <f>'Revenue'!$M$26</f>
        <v>0</v>
      </c>
      <c r="N33" s="20">
        <f>'Revenue'!$N$26</f>
        <v>0</v>
      </c>
      <c r="O33" s="20">
        <f>'Revenue'!$O$26</f>
        <v>0</v>
      </c>
      <c r="P33" s="20">
        <f>'Revenue'!$P$26</f>
        <v>0</v>
      </c>
      <c r="Q33" s="20">
        <f>'Revenue'!$Q$26</f>
        <v>0</v>
      </c>
      <c r="R33" s="20">
        <f>'Revenue'!$R$26</f>
        <v>0</v>
      </c>
      <c r="S33" s="20">
        <f>'Revenue'!$S$26</f>
        <v>0</v>
      </c>
      <c r="T33" s="20">
        <f>'Revenue'!$T$26</f>
        <v>0</v>
      </c>
      <c r="U33" s="20">
        <f>'Revenue'!$U$26</f>
        <v>0</v>
      </c>
      <c r="V33" s="20">
        <f>'Revenue'!$V$26</f>
        <v>0</v>
      </c>
      <c r="W33" s="20">
        <f>'Revenue'!$W$26</f>
        <v>0</v>
      </c>
      <c r="X33" s="20">
        <f>'Revenue'!$X$26</f>
        <v>0</v>
      </c>
      <c r="Y33" s="20">
        <f>'Revenue'!$Y$26</f>
        <v>0</v>
      </c>
      <c r="Z33" s="20">
        <f>'Revenue'!$Z$26</f>
        <v>0</v>
      </c>
      <c r="AA33" s="20">
        <f>'Revenue'!$AA$26</f>
        <v>0</v>
      </c>
      <c r="AB33" s="20">
        <f>'Revenue'!$AB$26</f>
        <v>0</v>
      </c>
      <c r="AC33" s="20">
        <f>'Revenue'!$AC$26</f>
        <v>0</v>
      </c>
      <c r="AD33" s="20">
        <f>'Revenue'!$AD$26</f>
        <v>0</v>
      </c>
      <c r="AE33" s="20">
        <f>'Revenue'!$AE$26</f>
        <v>0</v>
      </c>
      <c r="AF33" s="20">
        <f>'Revenue'!$AF$26</f>
        <v>0</v>
      </c>
      <c r="AG33" s="20">
        <f>'Revenue'!$AG$26</f>
        <v>0</v>
      </c>
      <c r="AH33" s="20">
        <f>'Revenue'!$AH$26</f>
        <v>0</v>
      </c>
      <c r="AI33" s="20">
        <f>'Revenue'!$AI$26</f>
        <v>0</v>
      </c>
      <c r="AJ33" s="20">
        <f>'Revenue'!$AJ$26</f>
        <v>0</v>
      </c>
      <c r="AK33" s="20">
        <f>'Revenue'!$AK$26</f>
        <v>0</v>
      </c>
      <c r="AL33" s="20">
        <f>'Revenue'!$AL$26</f>
        <v>0</v>
      </c>
      <c r="AN33" s="20">
        <f>SUM(C33:E33)</f>
        <v>0</v>
      </c>
      <c r="AO33" s="20">
        <f>SUM(F33:H33)</f>
        <v>0</v>
      </c>
      <c r="AP33" s="20">
        <f>SUM(I33:K33)</f>
        <v>0</v>
      </c>
      <c r="AQ33" s="20">
        <f>SUM(L33:N33)</f>
        <v>0</v>
      </c>
      <c r="AR33" s="20">
        <f>SUM(O33:Q33)</f>
        <v>0</v>
      </c>
      <c r="AS33" s="20">
        <f>SUM(R33:T33)</f>
        <v>0</v>
      </c>
      <c r="AT33" s="20">
        <f>SUM(U33:W33)</f>
        <v>0</v>
      </c>
      <c r="AU33" s="20">
        <f>SUM(X33:Z33)</f>
        <v>0</v>
      </c>
      <c r="AV33" s="20">
        <f>SUM(AA33:AC33)</f>
        <v>0</v>
      </c>
      <c r="AW33" s="20">
        <f>SUM(AD33:AF33)</f>
        <v>0</v>
      </c>
      <c r="AX33" s="20">
        <f>SUM(AG33:AI33)</f>
        <v>0</v>
      </c>
      <c r="AY33" s="20">
        <f>SUM(AJ33:AL33)</f>
        <v>0</v>
      </c>
      <c r="BA33" s="20">
        <f>SUM(C33:N33)</f>
        <v>0</v>
      </c>
      <c r="BB33" s="20">
        <f>SUM(O33:Z33)</f>
        <v>0</v>
      </c>
      <c r="BC33" s="20">
        <f>SUM(AA33:AL33)</f>
        <v>0</v>
      </c>
    </row>
    <row r="34" spans="1:55">
      <c r="A34" s="28" t="s">
        <v>232</v>
      </c>
      <c r="B34" s="16" t="s">
        <v>233</v>
      </c>
      <c r="C34" s="29">
        <f>MIN(C32,C33)</f>
        <v>0</v>
      </c>
      <c r="D34" s="29">
        <f>MIN(D32,D33)</f>
        <v>0</v>
      </c>
      <c r="E34" s="29">
        <f>MIN(E32,E33)</f>
        <v>0</v>
      </c>
      <c r="F34" s="29">
        <f>MIN(F32,F33)</f>
        <v>0</v>
      </c>
      <c r="G34" s="29">
        <f>MIN(G32,G33)</f>
        <v>0</v>
      </c>
      <c r="H34" s="29">
        <f>MIN(H32,H33)</f>
        <v>0</v>
      </c>
      <c r="I34" s="29">
        <f>MIN(I32,I33)</f>
        <v>0</v>
      </c>
      <c r="J34" s="29">
        <f>MIN(J32,J33)</f>
        <v>0</v>
      </c>
      <c r="K34" s="29">
        <f>MIN(K32,K33)</f>
        <v>0</v>
      </c>
      <c r="L34" s="29">
        <f>MIN(L32,L33)</f>
        <v>0</v>
      </c>
      <c r="M34" s="29">
        <f>MIN(M32,M33)</f>
        <v>0</v>
      </c>
      <c r="N34" s="29">
        <f>MIN(N32,N33)</f>
        <v>0</v>
      </c>
      <c r="O34" s="29">
        <f>MIN(O32,O33)</f>
        <v>0</v>
      </c>
      <c r="P34" s="29">
        <f>MIN(P32,P33)</f>
        <v>0</v>
      </c>
      <c r="Q34" s="29">
        <f>MIN(Q32,Q33)</f>
        <v>0</v>
      </c>
      <c r="R34" s="29">
        <f>MIN(R32,R33)</f>
        <v>0</v>
      </c>
      <c r="S34" s="29">
        <f>MIN(S32,S33)</f>
        <v>0</v>
      </c>
      <c r="T34" s="29">
        <f>MIN(T32,T33)</f>
        <v>0</v>
      </c>
      <c r="U34" s="29">
        <f>MIN(U32,U33)</f>
        <v>0</v>
      </c>
      <c r="V34" s="29">
        <f>MIN(V32,V33)</f>
        <v>0</v>
      </c>
      <c r="W34" s="29">
        <f>MIN(W32,W33)</f>
        <v>0</v>
      </c>
      <c r="X34" s="29">
        <f>MIN(X32,X33)</f>
        <v>0</v>
      </c>
      <c r="Y34" s="29">
        <f>MIN(Y32,Y33)</f>
        <v>0</v>
      </c>
      <c r="Z34" s="29">
        <f>MIN(Z32,Z33)</f>
        <v>0</v>
      </c>
      <c r="AA34" s="29">
        <f>MIN(AA32,AA33)</f>
        <v>0</v>
      </c>
      <c r="AB34" s="29">
        <f>MIN(AB32,AB33)</f>
        <v>0</v>
      </c>
      <c r="AC34" s="29">
        <f>MIN(AC32,AC33)</f>
        <v>0</v>
      </c>
      <c r="AD34" s="29">
        <f>MIN(AD32,AD33)</f>
        <v>0</v>
      </c>
      <c r="AE34" s="29">
        <f>MIN(AE32,AE33)</f>
        <v>0</v>
      </c>
      <c r="AF34" s="29">
        <f>MIN(AF32,AF33)</f>
        <v>0</v>
      </c>
      <c r="AG34" s="29">
        <f>MIN(AG32,AG33)</f>
        <v>0</v>
      </c>
      <c r="AH34" s="29">
        <f>MIN(AH32,AH33)</f>
        <v>0</v>
      </c>
      <c r="AI34" s="29">
        <f>MIN(AI32,AI33)</f>
        <v>0</v>
      </c>
      <c r="AJ34" s="29">
        <f>MIN(AJ32,AJ33)</f>
        <v>0</v>
      </c>
      <c r="AK34" s="29">
        <f>MIN(AK32,AK33)</f>
        <v>0</v>
      </c>
      <c r="AL34" s="29">
        <f>MIN(AL32,AL33)</f>
        <v>0</v>
      </c>
      <c r="AN34" s="29">
        <f>SUM(C34:E34)</f>
        <v>0</v>
      </c>
      <c r="AO34" s="29">
        <f>SUM(F34:H34)</f>
        <v>0</v>
      </c>
      <c r="AP34" s="29">
        <f>SUM(I34:K34)</f>
        <v>0</v>
      </c>
      <c r="AQ34" s="29">
        <f>SUM(L34:N34)</f>
        <v>0</v>
      </c>
      <c r="AR34" s="29">
        <f>SUM(O34:Q34)</f>
        <v>0</v>
      </c>
      <c r="AS34" s="29">
        <f>SUM(R34:T34)</f>
        <v>0</v>
      </c>
      <c r="AT34" s="29">
        <f>SUM(U34:W34)</f>
        <v>0</v>
      </c>
      <c r="AU34" s="29">
        <f>SUM(X34:Z34)</f>
        <v>0</v>
      </c>
      <c r="AV34" s="29">
        <f>SUM(AA34:AC34)</f>
        <v>0</v>
      </c>
      <c r="AW34" s="29">
        <f>SUM(AD34:AF34)</f>
        <v>0</v>
      </c>
      <c r="AX34" s="29">
        <f>SUM(AG34:AI34)</f>
        <v>0</v>
      </c>
      <c r="AY34" s="29">
        <f>SUM(AJ34:AL34)</f>
        <v>0</v>
      </c>
      <c r="BA34" s="29">
        <f>SUM(C34:N34)</f>
        <v>0</v>
      </c>
      <c r="BB34" s="29">
        <f>SUM(O34:Z34)</f>
        <v>0</v>
      </c>
      <c r="BC34" s="29">
        <f>SUM(AA34:AL34)</f>
        <v>0</v>
      </c>
    </row>
    <row r="35" spans="1:55">
      <c r="A35" s="18" t="s">
        <v>234</v>
      </c>
      <c r="B35" s="16" t="s">
        <v>235</v>
      </c>
      <c r="C35" s="20">
        <f>C31-C34</f>
        <v>0</v>
      </c>
      <c r="D35" s="20">
        <f>D31-D34</f>
        <v>0</v>
      </c>
      <c r="E35" s="20">
        <f>E31-E34</f>
        <v>0</v>
      </c>
      <c r="F35" s="20">
        <f>F31-F34</f>
        <v>0</v>
      </c>
      <c r="G35" s="20">
        <f>G31-G34</f>
        <v>0</v>
      </c>
      <c r="H35" s="20">
        <f>H31-H34</f>
        <v>0</v>
      </c>
      <c r="I35" s="20">
        <f>I31-I34</f>
        <v>0</v>
      </c>
      <c r="J35" s="20">
        <f>J31-J34</f>
        <v>0</v>
      </c>
      <c r="K35" s="20">
        <f>K31-K34</f>
        <v>0</v>
      </c>
      <c r="L35" s="20">
        <f>L31-L34</f>
        <v>0</v>
      </c>
      <c r="M35" s="20">
        <f>M31-M34</f>
        <v>0</v>
      </c>
      <c r="N35" s="20">
        <f>N31-N34</f>
        <v>0</v>
      </c>
      <c r="O35" s="20">
        <f>O31-O34</f>
        <v>0</v>
      </c>
      <c r="P35" s="20">
        <f>P31-P34</f>
        <v>0</v>
      </c>
      <c r="Q35" s="20">
        <f>Q31-Q34</f>
        <v>0</v>
      </c>
      <c r="R35" s="20">
        <f>R31-R34</f>
        <v>0</v>
      </c>
      <c r="S35" s="20">
        <f>S31-S34</f>
        <v>0</v>
      </c>
      <c r="T35" s="20">
        <f>T31-T34</f>
        <v>0</v>
      </c>
      <c r="U35" s="20">
        <f>U31-U34</f>
        <v>0</v>
      </c>
      <c r="V35" s="20">
        <f>V31-V34</f>
        <v>0</v>
      </c>
      <c r="W35" s="20">
        <f>W31-W34</f>
        <v>0</v>
      </c>
      <c r="X35" s="20">
        <f>X31-X34</f>
        <v>0</v>
      </c>
      <c r="Y35" s="20">
        <f>Y31-Y34</f>
        <v>0</v>
      </c>
      <c r="Z35" s="20">
        <f>Z31-Z34</f>
        <v>0</v>
      </c>
      <c r="AA35" s="20">
        <f>AA31-AA34</f>
        <v>0</v>
      </c>
      <c r="AB35" s="20">
        <f>AB31-AB34</f>
        <v>0</v>
      </c>
      <c r="AC35" s="20">
        <f>AC31-AC34</f>
        <v>0</v>
      </c>
      <c r="AD35" s="20">
        <f>AD31-AD34</f>
        <v>0</v>
      </c>
      <c r="AE35" s="20">
        <f>AE31-AE34</f>
        <v>0</v>
      </c>
      <c r="AF35" s="20">
        <f>AF31-AF34</f>
        <v>0</v>
      </c>
      <c r="AG35" s="20">
        <f>AG31-AG34</f>
        <v>0</v>
      </c>
      <c r="AH35" s="20">
        <f>AH31-AH34</f>
        <v>0</v>
      </c>
      <c r="AI35" s="20">
        <f>AI31-AI34</f>
        <v>0</v>
      </c>
      <c r="AJ35" s="20">
        <f>AJ31-AJ34</f>
        <v>0</v>
      </c>
      <c r="AK35" s="20">
        <f>AK31-AK34</f>
        <v>0</v>
      </c>
      <c r="AL35" s="20">
        <f>AL31-AL34</f>
        <v>0</v>
      </c>
      <c r="AN35" s="20">
        <f>E35</f>
        <v>0</v>
      </c>
      <c r="AO35" s="20">
        <f>H35</f>
        <v>0</v>
      </c>
      <c r="AP35" s="20">
        <f>K35</f>
        <v>0</v>
      </c>
      <c r="AQ35" s="20">
        <f>N35</f>
        <v>0</v>
      </c>
      <c r="AR35" s="20">
        <f>Q35</f>
        <v>0</v>
      </c>
      <c r="AS35" s="20">
        <f>T35</f>
        <v>0</v>
      </c>
      <c r="AT35" s="20">
        <f>W35</f>
        <v>0</v>
      </c>
      <c r="AU35" s="20">
        <f>Z35</f>
        <v>0</v>
      </c>
      <c r="AV35" s="20">
        <f>AC35</f>
        <v>0</v>
      </c>
      <c r="AW35" s="20">
        <f>AF35</f>
        <v>0</v>
      </c>
      <c r="AX35" s="20">
        <f>AI35</f>
        <v>0</v>
      </c>
      <c r="AY35" s="20">
        <f>AL35</f>
        <v>0</v>
      </c>
      <c r="BA35" s="20">
        <f>N35</f>
        <v>0</v>
      </c>
      <c r="BB35" s="20">
        <f>Z35</f>
        <v>0</v>
      </c>
      <c r="BC35" s="20">
        <f>AL35</f>
        <v>0</v>
      </c>
    </row>
    <row r="36" spans="1:55">
      <c r="A36" s="31" t="s">
        <v>236</v>
      </c>
      <c r="B36" s="16" t="s">
        <v>237</v>
      </c>
      <c r="C36" s="32">
        <f>'Revenue'!$C$34</f>
        <v>0</v>
      </c>
      <c r="D36" s="32">
        <f>'Revenue'!$D$34</f>
        <v>0</v>
      </c>
      <c r="E36" s="32">
        <f>'Revenue'!$E$34</f>
        <v>0</v>
      </c>
      <c r="F36" s="32">
        <f>'Revenue'!$F$34</f>
        <v>0</v>
      </c>
      <c r="G36" s="32">
        <f>'Revenue'!$G$34</f>
        <v>0</v>
      </c>
      <c r="H36" s="32">
        <f>'Revenue'!$H$34</f>
        <v>0</v>
      </c>
      <c r="I36" s="32">
        <f>'Revenue'!$I$34</f>
        <v>0</v>
      </c>
      <c r="J36" s="32">
        <f>'Revenue'!$J$34</f>
        <v>0</v>
      </c>
      <c r="K36" s="32">
        <f>'Revenue'!$K$34</f>
        <v>0</v>
      </c>
      <c r="L36" s="32">
        <f>'Revenue'!$L$34</f>
        <v>0</v>
      </c>
      <c r="M36" s="32">
        <f>'Revenue'!$M$34</f>
        <v>0</v>
      </c>
      <c r="N36" s="32">
        <f>'Revenue'!$N$34</f>
        <v>0</v>
      </c>
      <c r="O36" s="32">
        <f>'Revenue'!$O$34</f>
        <v>0</v>
      </c>
      <c r="P36" s="32">
        <f>'Revenue'!$P$34</f>
        <v>0</v>
      </c>
      <c r="Q36" s="32">
        <f>'Revenue'!$Q$34</f>
        <v>0</v>
      </c>
      <c r="R36" s="32">
        <f>'Revenue'!$R$34</f>
        <v>0</v>
      </c>
      <c r="S36" s="32">
        <f>'Revenue'!$S$34</f>
        <v>0</v>
      </c>
      <c r="T36" s="32">
        <f>'Revenue'!$T$34</f>
        <v>0</v>
      </c>
      <c r="U36" s="32">
        <f>'Revenue'!$U$34</f>
        <v>0</v>
      </c>
      <c r="V36" s="32">
        <f>'Revenue'!$V$34</f>
        <v>0</v>
      </c>
      <c r="W36" s="32">
        <f>'Revenue'!$W$34</f>
        <v>0</v>
      </c>
      <c r="X36" s="32">
        <f>'Revenue'!$X$34</f>
        <v>0</v>
      </c>
      <c r="Y36" s="32">
        <f>'Revenue'!$Y$34</f>
        <v>0</v>
      </c>
      <c r="Z36" s="32">
        <f>'Revenue'!$Z$34</f>
        <v>0</v>
      </c>
      <c r="AA36" s="32">
        <f>'Revenue'!$AA$34</f>
        <v>0</v>
      </c>
      <c r="AB36" s="32">
        <f>'Revenue'!$AB$34</f>
        <v>0</v>
      </c>
      <c r="AC36" s="32">
        <f>'Revenue'!$AC$34</f>
        <v>0</v>
      </c>
      <c r="AD36" s="32">
        <f>'Revenue'!$AD$34</f>
        <v>0</v>
      </c>
      <c r="AE36" s="32">
        <f>'Revenue'!$AE$34</f>
        <v>0</v>
      </c>
      <c r="AF36" s="32">
        <f>'Revenue'!$AF$34</f>
        <v>0</v>
      </c>
      <c r="AG36" s="32">
        <f>'Revenue'!$AG$34</f>
        <v>0</v>
      </c>
      <c r="AH36" s="32">
        <f>'Revenue'!$AH$34</f>
        <v>0</v>
      </c>
      <c r="AI36" s="32">
        <f>'Revenue'!$AI$34</f>
        <v>0</v>
      </c>
      <c r="AJ36" s="32">
        <f>'Revenue'!$AJ$34</f>
        <v>0</v>
      </c>
      <c r="AK36" s="32">
        <f>'Revenue'!$AK$34</f>
        <v>0</v>
      </c>
      <c r="AL36" s="32">
        <f>'Revenue'!$AL$34</f>
        <v>0</v>
      </c>
      <c r="AN36" s="32">
        <f>SUM(C36:E36)</f>
        <v>0</v>
      </c>
      <c r="AO36" s="32">
        <f>SUM(F36:H36)</f>
        <v>0</v>
      </c>
      <c r="AP36" s="32">
        <f>SUM(I36:K36)</f>
        <v>0</v>
      </c>
      <c r="AQ36" s="32">
        <f>SUM(L36:N36)</f>
        <v>0</v>
      </c>
      <c r="AR36" s="32">
        <f>SUM(O36:Q36)</f>
        <v>0</v>
      </c>
      <c r="AS36" s="32">
        <f>SUM(R36:T36)</f>
        <v>0</v>
      </c>
      <c r="AT36" s="32">
        <f>SUM(U36:W36)</f>
        <v>0</v>
      </c>
      <c r="AU36" s="32">
        <f>SUM(X36:Z36)</f>
        <v>0</v>
      </c>
      <c r="AV36" s="32">
        <f>SUM(AA36:AC36)</f>
        <v>0</v>
      </c>
      <c r="AW36" s="32">
        <f>SUM(AD36:AF36)</f>
        <v>0</v>
      </c>
      <c r="AX36" s="32">
        <f>SUM(AG36:AI36)</f>
        <v>0</v>
      </c>
      <c r="AY36" s="32">
        <f>SUM(AJ36:AL36)</f>
        <v>0</v>
      </c>
      <c r="BA36" s="32">
        <f>SUM(C36:N36)</f>
        <v>0</v>
      </c>
      <c r="BB36" s="32">
        <f>SUM(O36:Z36)</f>
        <v>0</v>
      </c>
      <c r="BC36" s="32">
        <f>SUM(AA36:AL36)</f>
        <v>0</v>
      </c>
    </row>
    <row r="37" spans="1:55" ht="5" customHeight="1"/>
    <row r="38" spans="1:55" ht="16" customHeight="1">
      <c r="A38" s="14" t="s">
        <v>238</v>
      </c>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row>
    <row r="39" spans="1:55">
      <c r="A39" s="18" t="s">
        <v>239</v>
      </c>
      <c r="B39" s="16" t="s">
        <v>240</v>
      </c>
      <c r="C39" s="30">
        <f>IFERROR(C34/C25,0)</f>
        <v>0</v>
      </c>
      <c r="D39" s="30">
        <f>IFERROR(D34/D25,0)</f>
        <v>0</v>
      </c>
      <c r="E39" s="30">
        <f>IFERROR(E34/E25,0)</f>
        <v>0</v>
      </c>
      <c r="F39" s="30">
        <f>IFERROR(F34/F25,0)</f>
        <v>0</v>
      </c>
      <c r="G39" s="30">
        <f>IFERROR(G34/G25,0)</f>
        <v>0</v>
      </c>
      <c r="H39" s="30">
        <f>IFERROR(H34/H25,0)</f>
        <v>0</v>
      </c>
      <c r="I39" s="30">
        <f>IFERROR(I34/I25,0)</f>
        <v>0</v>
      </c>
      <c r="J39" s="30">
        <f>IFERROR(J34/J25,0)</f>
        <v>0</v>
      </c>
      <c r="K39" s="30">
        <f>IFERROR(K34/K25,0)</f>
        <v>0</v>
      </c>
      <c r="L39" s="30">
        <f>IFERROR(L34/L25,0)</f>
        <v>0</v>
      </c>
      <c r="M39" s="30">
        <f>IFERROR(M34/M25,0)</f>
        <v>0</v>
      </c>
      <c r="N39" s="30">
        <f>IFERROR(N34/N25,0)</f>
        <v>0</v>
      </c>
      <c r="O39" s="30">
        <f>IFERROR(O34/O25,0)</f>
        <v>0</v>
      </c>
      <c r="P39" s="30">
        <f>IFERROR(P34/P25,0)</f>
        <v>0</v>
      </c>
      <c r="Q39" s="30">
        <f>IFERROR(Q34/Q25,0)</f>
        <v>0</v>
      </c>
      <c r="R39" s="30">
        <f>IFERROR(R34/R25,0)</f>
        <v>0</v>
      </c>
      <c r="S39" s="30">
        <f>IFERROR(S34/S25,0)</f>
        <v>0</v>
      </c>
      <c r="T39" s="30">
        <f>IFERROR(T34/T25,0)</f>
        <v>0</v>
      </c>
      <c r="U39" s="30">
        <f>IFERROR(U34/U25,0)</f>
        <v>0</v>
      </c>
      <c r="V39" s="30">
        <f>IFERROR(V34/V25,0)</f>
        <v>0</v>
      </c>
      <c r="W39" s="30">
        <f>IFERROR(W34/W25,0)</f>
        <v>0</v>
      </c>
      <c r="X39" s="30">
        <f>IFERROR(X34/X25,0)</f>
        <v>0</v>
      </c>
      <c r="Y39" s="30">
        <f>IFERROR(Y34/Y25,0)</f>
        <v>0</v>
      </c>
      <c r="Z39" s="30">
        <f>IFERROR(Z34/Z25,0)</f>
        <v>0</v>
      </c>
      <c r="AA39" s="30">
        <f>IFERROR(AA34/AA25,0)</f>
        <v>0</v>
      </c>
      <c r="AB39" s="30">
        <f>IFERROR(AB34/AB25,0)</f>
        <v>0</v>
      </c>
      <c r="AC39" s="30">
        <f>IFERROR(AC34/AC25,0)</f>
        <v>0</v>
      </c>
      <c r="AD39" s="30">
        <f>IFERROR(AD34/AD25,0)</f>
        <v>0</v>
      </c>
      <c r="AE39" s="30">
        <f>IFERROR(AE34/AE25,0)</f>
        <v>0</v>
      </c>
      <c r="AF39" s="30">
        <f>IFERROR(AF34/AF25,0)</f>
        <v>0</v>
      </c>
      <c r="AG39" s="30">
        <f>IFERROR(AG34/AG25,0)</f>
        <v>0</v>
      </c>
      <c r="AH39" s="30">
        <f>IFERROR(AH34/AH25,0)</f>
        <v>0</v>
      </c>
      <c r="AI39" s="30">
        <f>IFERROR(AI34/AI25,0)</f>
        <v>0</v>
      </c>
      <c r="AJ39" s="30">
        <f>IFERROR(AJ34/AJ25,0)</f>
        <v>0</v>
      </c>
      <c r="AK39" s="30">
        <f>IFERROR(AK34/AK25,0)</f>
        <v>0</v>
      </c>
      <c r="AL39" s="30">
        <f>IFERROR(AL34/AL25,0)</f>
        <v>0</v>
      </c>
      <c r="AN39" s="30">
        <f>SUM(C39:E39)</f>
        <v>0</v>
      </c>
      <c r="AO39" s="30">
        <f>SUM(F39:H39)</f>
        <v>0</v>
      </c>
      <c r="AP39" s="30">
        <f>SUM(I39:K39)</f>
        <v>0</v>
      </c>
      <c r="AQ39" s="30">
        <f>SUM(L39:N39)</f>
        <v>0</v>
      </c>
      <c r="AR39" s="30">
        <f>SUM(O39:Q39)</f>
        <v>0</v>
      </c>
      <c r="AS39" s="30">
        <f>SUM(R39:T39)</f>
        <v>0</v>
      </c>
      <c r="AT39" s="30">
        <f>SUM(U39:W39)</f>
        <v>0</v>
      </c>
      <c r="AU39" s="30">
        <f>SUM(X39:Z39)</f>
        <v>0</v>
      </c>
      <c r="AV39" s="30">
        <f>SUM(AA39:AC39)</f>
        <v>0</v>
      </c>
      <c r="AW39" s="30">
        <f>SUM(AD39:AF39)</f>
        <v>0</v>
      </c>
      <c r="AX39" s="30">
        <f>SUM(AG39:AI39)</f>
        <v>0</v>
      </c>
      <c r="AY39" s="30">
        <f>SUM(AJ39:AL39)</f>
        <v>0</v>
      </c>
      <c r="BA39" s="30">
        <f>SUM(C39:N39)</f>
        <v>0</v>
      </c>
      <c r="BB39" s="30">
        <f>SUM(O39:Z39)</f>
        <v>0</v>
      </c>
      <c r="BC39" s="30">
        <f>SUM(AA39:AL39)</f>
        <v>0</v>
      </c>
    </row>
    <row r="40" spans="1:55">
      <c r="A40" s="18" t="s">
        <v>241</v>
      </c>
      <c r="B40" s="16" t="s">
        <v>242</v>
      </c>
      <c r="C40" s="25">
        <f>IFERROR(C39/C21,0)</f>
        <v>0</v>
      </c>
      <c r="D40" s="25">
        <f>IFERROR(D39/D21,0)</f>
        <v>0</v>
      </c>
      <c r="E40" s="25">
        <f>IFERROR(E39/E21,0)</f>
        <v>0</v>
      </c>
      <c r="F40" s="25">
        <f>IFERROR(F39/F21,0)</f>
        <v>0</v>
      </c>
      <c r="G40" s="25">
        <f>IFERROR(G39/G21,0)</f>
        <v>0</v>
      </c>
      <c r="H40" s="25">
        <f>IFERROR(H39/H21,0)</f>
        <v>0</v>
      </c>
      <c r="I40" s="25">
        <f>IFERROR(I39/I21,0)</f>
        <v>0</v>
      </c>
      <c r="J40" s="25">
        <f>IFERROR(J39/J21,0)</f>
        <v>0</v>
      </c>
      <c r="K40" s="25">
        <f>IFERROR(K39/K21,0)</f>
        <v>0</v>
      </c>
      <c r="L40" s="25">
        <f>IFERROR(L39/L21,0)</f>
        <v>0</v>
      </c>
      <c r="M40" s="25">
        <f>IFERROR(M39/M21,0)</f>
        <v>0</v>
      </c>
      <c r="N40" s="25">
        <f>IFERROR(N39/N21,0)</f>
        <v>0</v>
      </c>
      <c r="O40" s="25">
        <f>IFERROR(O39/O21,0)</f>
        <v>0</v>
      </c>
      <c r="P40" s="25">
        <f>IFERROR(P39/P21,0)</f>
        <v>0</v>
      </c>
      <c r="Q40" s="25">
        <f>IFERROR(Q39/Q21,0)</f>
        <v>0</v>
      </c>
      <c r="R40" s="25">
        <f>IFERROR(R39/R21,0)</f>
        <v>0</v>
      </c>
      <c r="S40" s="25">
        <f>IFERROR(S39/S21,0)</f>
        <v>0</v>
      </c>
      <c r="T40" s="25">
        <f>IFERROR(T39/T21,0)</f>
        <v>0</v>
      </c>
      <c r="U40" s="25">
        <f>IFERROR(U39/U21,0)</f>
        <v>0</v>
      </c>
      <c r="V40" s="25">
        <f>IFERROR(V39/V21,0)</f>
        <v>0</v>
      </c>
      <c r="W40" s="25">
        <f>IFERROR(W39/W21,0)</f>
        <v>0</v>
      </c>
      <c r="X40" s="25">
        <f>IFERROR(X39/X21,0)</f>
        <v>0</v>
      </c>
      <c r="Y40" s="25">
        <f>IFERROR(Y39/Y21,0)</f>
        <v>0</v>
      </c>
      <c r="Z40" s="25">
        <f>IFERROR(Z39/Z21,0)</f>
        <v>0</v>
      </c>
      <c r="AA40" s="25">
        <f>IFERROR(AA39/AA21,0)</f>
        <v>0</v>
      </c>
      <c r="AB40" s="25">
        <f>IFERROR(AB39/AB21,0)</f>
        <v>0</v>
      </c>
      <c r="AC40" s="25">
        <f>IFERROR(AC39/AC21,0)</f>
        <v>0</v>
      </c>
      <c r="AD40" s="25">
        <f>IFERROR(AD39/AD21,0)</f>
        <v>0</v>
      </c>
      <c r="AE40" s="25">
        <f>IFERROR(AE39/AE21,0)</f>
        <v>0</v>
      </c>
      <c r="AF40" s="25">
        <f>IFERROR(AF39/AF21,0)</f>
        <v>0</v>
      </c>
      <c r="AG40" s="25">
        <f>IFERROR(AG39/AG21,0)</f>
        <v>0</v>
      </c>
      <c r="AH40" s="25">
        <f>IFERROR(AH39/AH21,0)</f>
        <v>0</v>
      </c>
      <c r="AI40" s="25">
        <f>IFERROR(AI39/AI21,0)</f>
        <v>0</v>
      </c>
      <c r="AJ40" s="25">
        <f>IFERROR(AJ39/AJ21,0)</f>
        <v>0</v>
      </c>
      <c r="AK40" s="25">
        <f>IFERROR(AK39/AK21,0)</f>
        <v>0</v>
      </c>
      <c r="AL40" s="25">
        <f>IFERROR(AL39/AL21,0)</f>
        <v>0</v>
      </c>
      <c r="AN40" s="25">
        <f>AVERAGE(C40:E40)</f>
        <v>0</v>
      </c>
      <c r="AO40" s="25">
        <f>AVERAGE(F40:H40)</f>
        <v>0</v>
      </c>
      <c r="AP40" s="25">
        <f>AVERAGE(I40:K40)</f>
        <v>0</v>
      </c>
      <c r="AQ40" s="25">
        <f>AVERAGE(L40:N40)</f>
        <v>0</v>
      </c>
      <c r="AR40" s="25">
        <f>AVERAGE(O40:Q40)</f>
        <v>0</v>
      </c>
      <c r="AS40" s="25">
        <f>AVERAGE(R40:T40)</f>
        <v>0</v>
      </c>
      <c r="AT40" s="25">
        <f>AVERAGE(U40:W40)</f>
        <v>0</v>
      </c>
      <c r="AU40" s="25">
        <f>AVERAGE(X40:Z40)</f>
        <v>0</v>
      </c>
      <c r="AV40" s="25">
        <f>AVERAGE(AA40:AC40)</f>
        <v>0</v>
      </c>
      <c r="AW40" s="25">
        <f>AVERAGE(AD40:AF40)</f>
        <v>0</v>
      </c>
      <c r="AX40" s="25">
        <f>AVERAGE(AG40:AI40)</f>
        <v>0</v>
      </c>
      <c r="AY40" s="25">
        <f>AVERAGE(AJ40:AL40)</f>
        <v>0</v>
      </c>
      <c r="BA40" s="25">
        <f>AVERAGE(C40:N40)</f>
        <v>0</v>
      </c>
      <c r="BB40" s="25">
        <f>AVERAGE(O40:Z40)</f>
        <v>0</v>
      </c>
      <c r="BC40" s="25">
        <f>AVERAGE(AA40:AL40)</f>
        <v>0</v>
      </c>
    </row>
    <row r="41" spans="1:55">
      <c r="A41" s="18" t="s">
        <v>243</v>
      </c>
      <c r="B41" s="16" t="s">
        <v>244</v>
      </c>
      <c r="C41" s="25">
        <f>IFERROR(C25/C23,0)</f>
        <v>0</v>
      </c>
      <c r="D41" s="25">
        <f>IFERROR(D25/D23,0)</f>
        <v>0</v>
      </c>
      <c r="E41" s="25">
        <f>IFERROR(E25/E23,0)</f>
        <v>0</v>
      </c>
      <c r="F41" s="25">
        <f>IFERROR(F25/F23,0)</f>
        <v>0</v>
      </c>
      <c r="G41" s="25">
        <f>IFERROR(G25/G23,0)</f>
        <v>0</v>
      </c>
      <c r="H41" s="25">
        <f>IFERROR(H25/H23,0)</f>
        <v>0</v>
      </c>
      <c r="I41" s="25">
        <f>IFERROR(I25/I23,0)</f>
        <v>0</v>
      </c>
      <c r="J41" s="25">
        <f>IFERROR(J25/J23,0)</f>
        <v>0</v>
      </c>
      <c r="K41" s="25">
        <f>IFERROR(K25/K23,0)</f>
        <v>0</v>
      </c>
      <c r="L41" s="25">
        <f>IFERROR(L25/L23,0)</f>
        <v>0</v>
      </c>
      <c r="M41" s="25">
        <f>IFERROR(M25/M23,0)</f>
        <v>0</v>
      </c>
      <c r="N41" s="25">
        <f>IFERROR(N25/N23,0)</f>
        <v>0</v>
      </c>
      <c r="O41" s="25">
        <f>IFERROR(O25/O23,0)</f>
        <v>0</v>
      </c>
      <c r="P41" s="25">
        <f>IFERROR(P25/P23,0)</f>
        <v>0</v>
      </c>
      <c r="Q41" s="25">
        <f>IFERROR(Q25/Q23,0)</f>
        <v>0</v>
      </c>
      <c r="R41" s="25">
        <f>IFERROR(R25/R23,0)</f>
        <v>0</v>
      </c>
      <c r="S41" s="25">
        <f>IFERROR(S25/S23,0)</f>
        <v>0</v>
      </c>
      <c r="T41" s="25">
        <f>IFERROR(T25/T23,0)</f>
        <v>0</v>
      </c>
      <c r="U41" s="25">
        <f>IFERROR(U25/U23,0)</f>
        <v>0</v>
      </c>
      <c r="V41" s="25">
        <f>IFERROR(V25/V23,0)</f>
        <v>0</v>
      </c>
      <c r="W41" s="25">
        <f>IFERROR(W25/W23,0)</f>
        <v>0</v>
      </c>
      <c r="X41" s="25">
        <f>IFERROR(X25/X23,0)</f>
        <v>0</v>
      </c>
      <c r="Y41" s="25">
        <f>IFERROR(Y25/Y23,0)</f>
        <v>0</v>
      </c>
      <c r="Z41" s="25">
        <f>IFERROR(Z25/Z23,0)</f>
        <v>0</v>
      </c>
      <c r="AA41" s="25">
        <f>IFERROR(AA25/AA23,0)</f>
        <v>0</v>
      </c>
      <c r="AB41" s="25">
        <f>IFERROR(AB25/AB23,0)</f>
        <v>0</v>
      </c>
      <c r="AC41" s="25">
        <f>IFERROR(AC25/AC23,0)</f>
        <v>0</v>
      </c>
      <c r="AD41" s="25">
        <f>IFERROR(AD25/AD23,0)</f>
        <v>0</v>
      </c>
      <c r="AE41" s="25">
        <f>IFERROR(AE25/AE23,0)</f>
        <v>0</v>
      </c>
      <c r="AF41" s="25">
        <f>IFERROR(AF25/AF23,0)</f>
        <v>0</v>
      </c>
      <c r="AG41" s="25">
        <f>IFERROR(AG25/AG23,0)</f>
        <v>0</v>
      </c>
      <c r="AH41" s="25">
        <f>IFERROR(AH25/AH23,0)</f>
        <v>0</v>
      </c>
      <c r="AI41" s="25">
        <f>IFERROR(AI25/AI23,0)</f>
        <v>0</v>
      </c>
      <c r="AJ41" s="25">
        <f>IFERROR(AJ25/AJ23,0)</f>
        <v>0</v>
      </c>
      <c r="AK41" s="25">
        <f>IFERROR(AK25/AK23,0)</f>
        <v>0</v>
      </c>
      <c r="AL41" s="25">
        <f>IFERROR(AL25/AL23,0)</f>
        <v>0</v>
      </c>
      <c r="AN41" s="25">
        <f>AVERAGE(C41:E41)</f>
        <v>0</v>
      </c>
      <c r="AO41" s="25">
        <f>AVERAGE(F41:H41)</f>
        <v>0</v>
      </c>
      <c r="AP41" s="25">
        <f>AVERAGE(I41:K41)</f>
        <v>0</v>
      </c>
      <c r="AQ41" s="25">
        <f>AVERAGE(L41:N41)</f>
        <v>0</v>
      </c>
      <c r="AR41" s="25">
        <f>AVERAGE(O41:Q41)</f>
        <v>0</v>
      </c>
      <c r="AS41" s="25">
        <f>AVERAGE(R41:T41)</f>
        <v>0</v>
      </c>
      <c r="AT41" s="25">
        <f>AVERAGE(U41:W41)</f>
        <v>0</v>
      </c>
      <c r="AU41" s="25">
        <f>AVERAGE(X41:Z41)</f>
        <v>0</v>
      </c>
      <c r="AV41" s="25">
        <f>AVERAGE(AA41:AC41)</f>
        <v>0</v>
      </c>
      <c r="AW41" s="25">
        <f>AVERAGE(AD41:AF41)</f>
        <v>0</v>
      </c>
      <c r="AX41" s="25">
        <f>AVERAGE(AG41:AI41)</f>
        <v>0</v>
      </c>
      <c r="AY41" s="25">
        <f>AVERAGE(AJ41:AL41)</f>
        <v>0</v>
      </c>
      <c r="BA41" s="25">
        <f>AVERAGE(C41:N41)</f>
        <v>0</v>
      </c>
      <c r="BB41" s="25">
        <f>AVERAGE(O41:Z41)</f>
        <v>0</v>
      </c>
      <c r="BC41" s="25">
        <f>AVERAGE(AA41:AL41)</f>
        <v>0</v>
      </c>
    </row>
    <row r="42" spans="1:55">
      <c r="A42" s="18" t="s">
        <v>245</v>
      </c>
      <c r="B42" s="16" t="s">
        <v>246</v>
      </c>
      <c r="C42" s="20">
        <f>IFERROR(C36/C17,0)</f>
        <v>0</v>
      </c>
      <c r="D42" s="20">
        <f>IFERROR(D36/D17,0)</f>
        <v>0</v>
      </c>
      <c r="E42" s="20">
        <f>IFERROR(E36/E17,0)</f>
        <v>0</v>
      </c>
      <c r="F42" s="20">
        <f>IFERROR(F36/F17,0)</f>
        <v>0</v>
      </c>
      <c r="G42" s="20">
        <f>IFERROR(G36/G17,0)</f>
        <v>0</v>
      </c>
      <c r="H42" s="20">
        <f>IFERROR(H36/H17,0)</f>
        <v>0</v>
      </c>
      <c r="I42" s="20">
        <f>IFERROR(I36/I17,0)</f>
        <v>0</v>
      </c>
      <c r="J42" s="20">
        <f>IFERROR(J36/J17,0)</f>
        <v>0</v>
      </c>
      <c r="K42" s="20">
        <f>IFERROR(K36/K17,0)</f>
        <v>0</v>
      </c>
      <c r="L42" s="20">
        <f>IFERROR(L36/L17,0)</f>
        <v>0</v>
      </c>
      <c r="M42" s="20">
        <f>IFERROR(M36/M17,0)</f>
        <v>0</v>
      </c>
      <c r="N42" s="20">
        <f>IFERROR(N36/N17,0)</f>
        <v>0</v>
      </c>
      <c r="O42" s="20">
        <f>IFERROR(O36/O17,0)</f>
        <v>0</v>
      </c>
      <c r="P42" s="20">
        <f>IFERROR(P36/P17,0)</f>
        <v>0</v>
      </c>
      <c r="Q42" s="20">
        <f>IFERROR(Q36/Q17,0)</f>
        <v>0</v>
      </c>
      <c r="R42" s="20">
        <f>IFERROR(R36/R17,0)</f>
        <v>0</v>
      </c>
      <c r="S42" s="20">
        <f>IFERROR(S36/S17,0)</f>
        <v>0</v>
      </c>
      <c r="T42" s="20">
        <f>IFERROR(T36/T17,0)</f>
        <v>0</v>
      </c>
      <c r="U42" s="20">
        <f>IFERROR(U36/U17,0)</f>
        <v>0</v>
      </c>
      <c r="V42" s="20">
        <f>IFERROR(V36/V17,0)</f>
        <v>0</v>
      </c>
      <c r="W42" s="20">
        <f>IFERROR(W36/W17,0)</f>
        <v>0</v>
      </c>
      <c r="X42" s="20">
        <f>IFERROR(X36/X17,0)</f>
        <v>0</v>
      </c>
      <c r="Y42" s="20">
        <f>IFERROR(Y36/Y17,0)</f>
        <v>0</v>
      </c>
      <c r="Z42" s="20">
        <f>IFERROR(Z36/Z17,0)</f>
        <v>0</v>
      </c>
      <c r="AA42" s="20">
        <f>IFERROR(AA36/AA17,0)</f>
        <v>0</v>
      </c>
      <c r="AB42" s="20">
        <f>IFERROR(AB36/AB17,0)</f>
        <v>0</v>
      </c>
      <c r="AC42" s="20">
        <f>IFERROR(AC36/AC17,0)</f>
        <v>0</v>
      </c>
      <c r="AD42" s="20">
        <f>IFERROR(AD36/AD17,0)</f>
        <v>0</v>
      </c>
      <c r="AE42" s="20">
        <f>IFERROR(AE36/AE17,0)</f>
        <v>0</v>
      </c>
      <c r="AF42" s="20">
        <f>IFERROR(AF36/AF17,0)</f>
        <v>0</v>
      </c>
      <c r="AG42" s="20">
        <f>IFERROR(AG36/AG17,0)</f>
        <v>0</v>
      </c>
      <c r="AH42" s="20">
        <f>IFERROR(AH36/AH17,0)</f>
        <v>0</v>
      </c>
      <c r="AI42" s="20">
        <f>IFERROR(AI36/AI17,0)</f>
        <v>0</v>
      </c>
      <c r="AJ42" s="20">
        <f>IFERROR(AJ36/AJ17,0)</f>
        <v>0</v>
      </c>
      <c r="AK42" s="20">
        <f>IFERROR(AK36/AK17,0)</f>
        <v>0</v>
      </c>
      <c r="AL42" s="20">
        <f>IFERROR(AL36/AL17,0)</f>
        <v>0</v>
      </c>
      <c r="AN42" s="20">
        <f>AVERAGE(C42:E42)</f>
        <v>0</v>
      </c>
      <c r="AO42" s="20">
        <f>AVERAGE(F42:H42)</f>
        <v>0</v>
      </c>
      <c r="AP42" s="20">
        <f>AVERAGE(I42:K42)</f>
        <v>0</v>
      </c>
      <c r="AQ42" s="20">
        <f>AVERAGE(L42:N42)</f>
        <v>0</v>
      </c>
      <c r="AR42" s="20">
        <f>AVERAGE(O42:Q42)</f>
        <v>0</v>
      </c>
      <c r="AS42" s="20">
        <f>AVERAGE(R42:T42)</f>
        <v>0</v>
      </c>
      <c r="AT42" s="20">
        <f>AVERAGE(U42:W42)</f>
        <v>0</v>
      </c>
      <c r="AU42" s="20">
        <f>AVERAGE(X42:Z42)</f>
        <v>0</v>
      </c>
      <c r="AV42" s="20">
        <f>AVERAGE(AA42:AC42)</f>
        <v>0</v>
      </c>
      <c r="AW42" s="20">
        <f>AVERAGE(AD42:AF42)</f>
        <v>0</v>
      </c>
      <c r="AX42" s="20">
        <f>AVERAGE(AG42:AI42)</f>
        <v>0</v>
      </c>
      <c r="AY42" s="20">
        <f>AVERAGE(AJ42:AL42)</f>
        <v>0</v>
      </c>
      <c r="BA42" s="20">
        <f>AVERAGE(C42:N42)</f>
        <v>0</v>
      </c>
      <c r="BB42" s="20">
        <f>AVERAGE(O42:Z42)</f>
        <v>0</v>
      </c>
      <c r="BC42" s="20">
        <f>AVERAGE(AA42:AL42)</f>
        <v>0</v>
      </c>
    </row>
    <row r="43" spans="1:55">
      <c r="A43" s="18" t="s">
        <v>247</v>
      </c>
      <c r="B43" s="16" t="s">
        <v>248</v>
      </c>
      <c r="C43" s="20">
        <f>AVERAGE(C36:C36)</f>
        <v>0</v>
      </c>
      <c r="D43" s="20">
        <f>AVERAGE(C36:D36)</f>
        <v>0</v>
      </c>
      <c r="E43" s="20">
        <f>AVERAGE(C36:E36)</f>
        <v>0</v>
      </c>
      <c r="F43" s="20">
        <f>AVERAGE(D36:F36)</f>
        <v>0</v>
      </c>
      <c r="G43" s="20">
        <f>AVERAGE(E36:G36)</f>
        <v>0</v>
      </c>
      <c r="H43" s="20">
        <f>AVERAGE(F36:H36)</f>
        <v>0</v>
      </c>
      <c r="I43" s="20">
        <f>AVERAGE(G36:I36)</f>
        <v>0</v>
      </c>
      <c r="J43" s="20">
        <f>AVERAGE(H36:J36)</f>
        <v>0</v>
      </c>
      <c r="K43" s="20">
        <f>AVERAGE(I36:K36)</f>
        <v>0</v>
      </c>
      <c r="L43" s="20">
        <f>AVERAGE(J36:L36)</f>
        <v>0</v>
      </c>
      <c r="M43" s="20">
        <f>AVERAGE(K36:M36)</f>
        <v>0</v>
      </c>
      <c r="N43" s="20">
        <f>AVERAGE(L36:N36)</f>
        <v>0</v>
      </c>
      <c r="O43" s="20">
        <f>AVERAGE(M36:O36)</f>
        <v>0</v>
      </c>
      <c r="P43" s="20">
        <f>AVERAGE(N36:P36)</f>
        <v>0</v>
      </c>
      <c r="Q43" s="20">
        <f>AVERAGE(O36:Q36)</f>
        <v>0</v>
      </c>
      <c r="R43" s="20">
        <f>AVERAGE(P36:R36)</f>
        <v>0</v>
      </c>
      <c r="S43" s="20">
        <f>AVERAGE(Q36:S36)</f>
        <v>0</v>
      </c>
      <c r="T43" s="20">
        <f>AVERAGE(R36:T36)</f>
        <v>0</v>
      </c>
      <c r="U43" s="20">
        <f>AVERAGE(S36:U36)</f>
        <v>0</v>
      </c>
      <c r="V43" s="20">
        <f>AVERAGE(T36:V36)</f>
        <v>0</v>
      </c>
      <c r="W43" s="20">
        <f>AVERAGE(U36:W36)</f>
        <v>0</v>
      </c>
      <c r="X43" s="20">
        <f>AVERAGE(V36:X36)</f>
        <v>0</v>
      </c>
      <c r="Y43" s="20">
        <f>AVERAGE(W36:Y36)</f>
        <v>0</v>
      </c>
      <c r="Z43" s="20">
        <f>AVERAGE(X36:Z36)</f>
        <v>0</v>
      </c>
      <c r="AA43" s="20">
        <f>AVERAGE(Y36:AA36)</f>
        <v>0</v>
      </c>
      <c r="AB43" s="20">
        <f>AVERAGE(Z36:AB36)</f>
        <v>0</v>
      </c>
      <c r="AC43" s="20">
        <f>AVERAGE(AA36:AC36)</f>
        <v>0</v>
      </c>
      <c r="AD43" s="20">
        <f>AVERAGE(AB36:AD36)</f>
        <v>0</v>
      </c>
      <c r="AE43" s="20">
        <f>AVERAGE(AC36:AE36)</f>
        <v>0</v>
      </c>
      <c r="AF43" s="20">
        <f>AVERAGE(AD36:AF36)</f>
        <v>0</v>
      </c>
      <c r="AG43" s="20">
        <f>AVERAGE(AE36:AG36)</f>
        <v>0</v>
      </c>
      <c r="AH43" s="20">
        <f>AVERAGE(AF36:AH36)</f>
        <v>0</v>
      </c>
      <c r="AI43" s="20">
        <f>AVERAGE(AG36:AI36)</f>
        <v>0</v>
      </c>
      <c r="AJ43" s="20">
        <f>AVERAGE(AH36:AJ36)</f>
        <v>0</v>
      </c>
      <c r="AK43" s="20">
        <f>AVERAGE(AI36:AK36)</f>
        <v>0</v>
      </c>
      <c r="AL43" s="20">
        <f>AVERAGE(AJ36:AL36)</f>
        <v>0</v>
      </c>
      <c r="AN43" s="20">
        <f>AVERAGE(C43:E43)</f>
        <v>0</v>
      </c>
      <c r="AO43" s="20">
        <f>AVERAGE(F43:H43)</f>
        <v>0</v>
      </c>
      <c r="AP43" s="20">
        <f>AVERAGE(I43:K43)</f>
        <v>0</v>
      </c>
      <c r="AQ43" s="20">
        <f>AVERAGE(L43:N43)</f>
        <v>0</v>
      </c>
      <c r="AR43" s="20">
        <f>AVERAGE(O43:Q43)</f>
        <v>0</v>
      </c>
      <c r="AS43" s="20">
        <f>AVERAGE(R43:T43)</f>
        <v>0</v>
      </c>
      <c r="AT43" s="20">
        <f>AVERAGE(U43:W43)</f>
        <v>0</v>
      </c>
      <c r="AU43" s="20">
        <f>AVERAGE(X43:Z43)</f>
        <v>0</v>
      </c>
      <c r="AV43" s="20">
        <f>AVERAGE(AA43:AC43)</f>
        <v>0</v>
      </c>
      <c r="AW43" s="20">
        <f>AVERAGE(AD43:AF43)</f>
        <v>0</v>
      </c>
      <c r="AX43" s="20">
        <f>AVERAGE(AG43:AI43)</f>
        <v>0</v>
      </c>
      <c r="AY43" s="20">
        <f>AVERAGE(AJ43:AL43)</f>
        <v>0</v>
      </c>
      <c r="BA43" s="20">
        <f>AVERAGE(C43:N43)</f>
        <v>0</v>
      </c>
      <c r="BB43" s="20">
        <f>AVERAGE(O43:Z43)</f>
        <v>0</v>
      </c>
      <c r="BC43" s="20">
        <f>AVERAGE(AA43:AL43)</f>
        <v>0</v>
      </c>
    </row>
    <row r="44" spans="1:55">
      <c r="A44" s="18" t="s">
        <v>249</v>
      </c>
      <c r="B44" s="16" t="s">
        <v>250</v>
      </c>
      <c r="C44" s="33">
        <f>IFERROR(C35/C43,0)</f>
        <v>0</v>
      </c>
      <c r="D44" s="33">
        <f>IFERROR(D35/D43,0)</f>
        <v>0</v>
      </c>
      <c r="E44" s="33">
        <f>IFERROR(E35/E43,0)</f>
        <v>0</v>
      </c>
      <c r="F44" s="33">
        <f>IFERROR(F35/F43,0)</f>
        <v>0</v>
      </c>
      <c r="G44" s="33">
        <f>IFERROR(G35/G43,0)</f>
        <v>0</v>
      </c>
      <c r="H44" s="33">
        <f>IFERROR(H35/H43,0)</f>
        <v>0</v>
      </c>
      <c r="I44" s="33">
        <f>IFERROR(I35/I43,0)</f>
        <v>0</v>
      </c>
      <c r="J44" s="33">
        <f>IFERROR(J35/J43,0)</f>
        <v>0</v>
      </c>
      <c r="K44" s="33">
        <f>IFERROR(K35/K43,0)</f>
        <v>0</v>
      </c>
      <c r="L44" s="33">
        <f>IFERROR(L35/L43,0)</f>
        <v>0</v>
      </c>
      <c r="M44" s="33">
        <f>IFERROR(M35/M43,0)</f>
        <v>0</v>
      </c>
      <c r="N44" s="33">
        <f>IFERROR(N35/N43,0)</f>
        <v>0</v>
      </c>
      <c r="O44" s="33">
        <f>IFERROR(O35/O43,0)</f>
        <v>0</v>
      </c>
      <c r="P44" s="33">
        <f>IFERROR(P35/P43,0)</f>
        <v>0</v>
      </c>
      <c r="Q44" s="33">
        <f>IFERROR(Q35/Q43,0)</f>
        <v>0</v>
      </c>
      <c r="R44" s="33">
        <f>IFERROR(R35/R43,0)</f>
        <v>0</v>
      </c>
      <c r="S44" s="33">
        <f>IFERROR(S35/S43,0)</f>
        <v>0</v>
      </c>
      <c r="T44" s="33">
        <f>IFERROR(T35/T43,0)</f>
        <v>0</v>
      </c>
      <c r="U44" s="33">
        <f>IFERROR(U35/U43,0)</f>
        <v>0</v>
      </c>
      <c r="V44" s="33">
        <f>IFERROR(V35/V43,0)</f>
        <v>0</v>
      </c>
      <c r="W44" s="33">
        <f>IFERROR(W35/W43,0)</f>
        <v>0</v>
      </c>
      <c r="X44" s="33">
        <f>IFERROR(X35/X43,0)</f>
        <v>0</v>
      </c>
      <c r="Y44" s="33">
        <f>IFERROR(Y35/Y43,0)</f>
        <v>0</v>
      </c>
      <c r="Z44" s="33">
        <f>IFERROR(Z35/Z43,0)</f>
        <v>0</v>
      </c>
      <c r="AA44" s="33">
        <f>IFERROR(AA35/AA43,0)</f>
        <v>0</v>
      </c>
      <c r="AB44" s="33">
        <f>IFERROR(AB35/AB43,0)</f>
        <v>0</v>
      </c>
      <c r="AC44" s="33">
        <f>IFERROR(AC35/AC43,0)</f>
        <v>0</v>
      </c>
      <c r="AD44" s="33">
        <f>IFERROR(AD35/AD43,0)</f>
        <v>0</v>
      </c>
      <c r="AE44" s="33">
        <f>IFERROR(AE35/AE43,0)</f>
        <v>0</v>
      </c>
      <c r="AF44" s="33">
        <f>IFERROR(AF35/AF43,0)</f>
        <v>0</v>
      </c>
      <c r="AG44" s="33">
        <f>IFERROR(AG35/AG43,0)</f>
        <v>0</v>
      </c>
      <c r="AH44" s="33">
        <f>IFERROR(AH35/AH43,0)</f>
        <v>0</v>
      </c>
      <c r="AI44" s="33">
        <f>IFERROR(AI35/AI43,0)</f>
        <v>0</v>
      </c>
      <c r="AJ44" s="33">
        <f>IFERROR(AJ35/AJ43,0)</f>
        <v>0</v>
      </c>
      <c r="AK44" s="33">
        <f>IFERROR(AK35/AK43,0)</f>
        <v>0</v>
      </c>
      <c r="AL44" s="33">
        <f>IFERROR(AL35/AL43,0)</f>
        <v>0</v>
      </c>
      <c r="AN44" s="33">
        <f>AVERAGE(C44:E44)</f>
        <v>0</v>
      </c>
      <c r="AO44" s="33">
        <f>AVERAGE(F44:H44)</f>
        <v>0</v>
      </c>
      <c r="AP44" s="33">
        <f>AVERAGE(I44:K44)</f>
        <v>0</v>
      </c>
      <c r="AQ44" s="33">
        <f>AVERAGE(L44:N44)</f>
        <v>0</v>
      </c>
      <c r="AR44" s="33">
        <f>AVERAGE(O44:Q44)</f>
        <v>0</v>
      </c>
      <c r="AS44" s="33">
        <f>AVERAGE(R44:T44)</f>
        <v>0</v>
      </c>
      <c r="AT44" s="33">
        <f>AVERAGE(U44:W44)</f>
        <v>0</v>
      </c>
      <c r="AU44" s="33">
        <f>AVERAGE(X44:Z44)</f>
        <v>0</v>
      </c>
      <c r="AV44" s="33">
        <f>AVERAGE(AA44:AC44)</f>
        <v>0</v>
      </c>
      <c r="AW44" s="33">
        <f>AVERAGE(AD44:AF44)</f>
        <v>0</v>
      </c>
      <c r="AX44" s="33">
        <f>AVERAGE(AG44:AI44)</f>
        <v>0</v>
      </c>
      <c r="AY44" s="33">
        <f>AVERAGE(AJ44:AL44)</f>
        <v>0</v>
      </c>
      <c r="BA44" s="33">
        <f>AVERAGE(C44:N44)</f>
        <v>0</v>
      </c>
      <c r="BB44" s="33">
        <f>AVERAGE(O44:Z44)</f>
        <v>0</v>
      </c>
      <c r="BC44" s="33">
        <f>AVERAGE(AA44:AL44)</f>
        <v>0</v>
      </c>
    </row>
    <row r="45" spans="1:55">
      <c r="A45" s="18" t="s">
        <v>76</v>
      </c>
      <c r="B45" s="16" t="s">
        <v>251</v>
      </c>
      <c r="C45" s="25">
        <f>IFERROR(C21/C19-1,0)</f>
        <v>0</v>
      </c>
      <c r="D45" s="25">
        <f>IFERROR(D21/D19-1,0)</f>
        <v>0</v>
      </c>
      <c r="E45" s="25">
        <f>IFERROR(E21/E19-1,0)</f>
        <v>0</v>
      </c>
      <c r="F45" s="25">
        <f>IFERROR(F21/F19-1,0)</f>
        <v>0</v>
      </c>
      <c r="G45" s="25">
        <f>IFERROR(G21/G19-1,0)</f>
        <v>0</v>
      </c>
      <c r="H45" s="25">
        <f>IFERROR(H21/H19-1,0)</f>
        <v>0</v>
      </c>
      <c r="I45" s="25">
        <f>IFERROR(I21/I19-1,0)</f>
        <v>0</v>
      </c>
      <c r="J45" s="25">
        <f>IFERROR(J21/J19-1,0)</f>
        <v>0</v>
      </c>
      <c r="K45" s="25">
        <f>IFERROR(K21/K19-1,0)</f>
        <v>0</v>
      </c>
      <c r="L45" s="25">
        <f>IFERROR(L21/L19-1,0)</f>
        <v>0</v>
      </c>
      <c r="M45" s="25">
        <f>IFERROR(M21/M19-1,0)</f>
        <v>0</v>
      </c>
      <c r="N45" s="25">
        <f>IFERROR(N21/N19-1,0)</f>
        <v>0</v>
      </c>
      <c r="O45" s="25">
        <f>IFERROR(O21/O19-1,0)</f>
        <v>0</v>
      </c>
      <c r="P45" s="25">
        <f>IFERROR(P21/P19-1,0)</f>
        <v>0</v>
      </c>
      <c r="Q45" s="25">
        <f>IFERROR(Q21/Q19-1,0)</f>
        <v>0</v>
      </c>
      <c r="R45" s="25">
        <f>IFERROR(R21/R19-1,0)</f>
        <v>0</v>
      </c>
      <c r="S45" s="25">
        <f>IFERROR(S21/S19-1,0)</f>
        <v>0</v>
      </c>
      <c r="T45" s="25">
        <f>IFERROR(T21/T19-1,0)</f>
        <v>0</v>
      </c>
      <c r="U45" s="25">
        <f>IFERROR(U21/U19-1,0)</f>
        <v>0</v>
      </c>
      <c r="V45" s="25">
        <f>IFERROR(V21/V19-1,0)</f>
        <v>0</v>
      </c>
      <c r="W45" s="25">
        <f>IFERROR(W21/W19-1,0)</f>
        <v>0</v>
      </c>
      <c r="X45" s="25">
        <f>IFERROR(X21/X19-1,0)</f>
        <v>0</v>
      </c>
      <c r="Y45" s="25">
        <f>IFERROR(Y21/Y19-1,0)</f>
        <v>0</v>
      </c>
      <c r="Z45" s="25">
        <f>IFERROR(Z21/Z19-1,0)</f>
        <v>0</v>
      </c>
      <c r="AA45" s="25">
        <f>IFERROR(AA21/AA19-1,0)</f>
        <v>0</v>
      </c>
      <c r="AB45" s="25">
        <f>IFERROR(AB21/AB19-1,0)</f>
        <v>0</v>
      </c>
      <c r="AC45" s="25">
        <f>IFERROR(AC21/AC19-1,0)</f>
        <v>0</v>
      </c>
      <c r="AD45" s="25">
        <f>IFERROR(AD21/AD19-1,0)</f>
        <v>0</v>
      </c>
      <c r="AE45" s="25">
        <f>IFERROR(AE21/AE19-1,0)</f>
        <v>0</v>
      </c>
      <c r="AF45" s="25">
        <f>IFERROR(AF21/AF19-1,0)</f>
        <v>0</v>
      </c>
      <c r="AG45" s="25">
        <f>IFERROR(AG21/AG19-1,0)</f>
        <v>0</v>
      </c>
      <c r="AH45" s="25">
        <f>IFERROR(AH21/AH19-1,0)</f>
        <v>0</v>
      </c>
      <c r="AI45" s="25">
        <f>IFERROR(AI21/AI19-1,0)</f>
        <v>0</v>
      </c>
      <c r="AJ45" s="25">
        <f>IFERROR(AJ21/AJ19-1,0)</f>
        <v>0</v>
      </c>
      <c r="AK45" s="25">
        <f>IFERROR(AK21/AK19-1,0)</f>
        <v>0</v>
      </c>
      <c r="AL45" s="25">
        <f>IFERROR(AL21/AL19-1,0)</f>
        <v>0</v>
      </c>
      <c r="AN45" s="25">
        <f>AVERAGE(C45:E45)</f>
        <v>0</v>
      </c>
      <c r="AO45" s="25">
        <f>AVERAGE(F45:H45)</f>
        <v>0</v>
      </c>
      <c r="AP45" s="25">
        <f>AVERAGE(I45:K45)</f>
        <v>0</v>
      </c>
      <c r="AQ45" s="25">
        <f>AVERAGE(L45:N45)</f>
        <v>0</v>
      </c>
      <c r="AR45" s="25">
        <f>AVERAGE(O45:Q45)</f>
        <v>0</v>
      </c>
      <c r="AS45" s="25">
        <f>AVERAGE(R45:T45)</f>
        <v>0</v>
      </c>
      <c r="AT45" s="25">
        <f>AVERAGE(U45:W45)</f>
        <v>0</v>
      </c>
      <c r="AU45" s="25">
        <f>AVERAGE(X45:Z45)</f>
        <v>0</v>
      </c>
      <c r="AV45" s="25">
        <f>AVERAGE(AA45:AC45)</f>
        <v>0</v>
      </c>
      <c r="AW45" s="25">
        <f>AVERAGE(AD45:AF45)</f>
        <v>0</v>
      </c>
      <c r="AX45" s="25">
        <f>AVERAGE(AG45:AI45)</f>
        <v>0</v>
      </c>
      <c r="AY45" s="25">
        <f>AVERAGE(AJ45:AL45)</f>
        <v>0</v>
      </c>
      <c r="BA45" s="25">
        <f>AVERAGE(C45:N45)</f>
        <v>0</v>
      </c>
      <c r="BB45" s="25">
        <f>AVERAGE(O45:Z45)</f>
        <v>0</v>
      </c>
      <c r="BC45" s="25">
        <f>AVERAGE(AA45:AL45)</f>
        <v>0</v>
      </c>
    </row>
  </sheetData>
  <mergeCells count="9">
    <mergeCell ref="A1:BC1"/>
    <mergeCell ref="A2:BC2"/>
    <mergeCell ref="C5:AL5"/>
    <mergeCell ref="AN5:AY5"/>
    <mergeCell ref="BA5:BC5"/>
    <mergeCell ref="A7:BC7"/>
    <mergeCell ref="A16:BC16"/>
    <mergeCell ref="A28:BC28"/>
    <mergeCell ref="A38:BC38"/>
  </mergeCells>
  <pageMargins left="0.7" right="0.7" top="0.75" bottom="0.75" header="0.3" footer="0.3"/>
  <pageSetup paperSize="9" scale="55" orientation="landscape"/>
</worksheet>
</file>

<file path=xl/worksheets/sheet5.xml><?xml version="1.0" encoding="utf-8"?>
<worksheet xmlns="http://schemas.openxmlformats.org/spreadsheetml/2006/main" xmlns:r="http://schemas.openxmlformats.org/officeDocument/2006/relationships">
  <dimension ref="A1:BC2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252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253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254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255</v>
      </c>
      <c r="B8" s="16" t="s">
        <v>191</v>
      </c>
      <c r="C8" s="20">
        <f>'Headcount'!$C$9</f>
        <v>0</v>
      </c>
      <c r="D8" s="20">
        <f>'Headcount'!$D$9</f>
        <v>0</v>
      </c>
      <c r="E8" s="20">
        <f>'Headcount'!$E$9</f>
        <v>0</v>
      </c>
      <c r="F8" s="20">
        <f>'Headcount'!$F$9</f>
        <v>0</v>
      </c>
      <c r="G8" s="20">
        <f>'Headcount'!$G$9</f>
        <v>0</v>
      </c>
      <c r="H8" s="20">
        <f>'Headcount'!$H$9</f>
        <v>0</v>
      </c>
      <c r="I8" s="20">
        <f>'Headcount'!$I$9</f>
        <v>0</v>
      </c>
      <c r="J8" s="20">
        <f>'Headcount'!$J$9</f>
        <v>0</v>
      </c>
      <c r="K8" s="20">
        <f>'Headcount'!$K$9</f>
        <v>0</v>
      </c>
      <c r="L8" s="20">
        <f>'Headcount'!$L$9</f>
        <v>0</v>
      </c>
      <c r="M8" s="20">
        <f>'Headcount'!$M$9</f>
        <v>0</v>
      </c>
      <c r="N8" s="20">
        <f>'Headcount'!$N$9</f>
        <v>0</v>
      </c>
      <c r="O8" s="20">
        <f>'Headcount'!$O$9</f>
        <v>0</v>
      </c>
      <c r="P8" s="20">
        <f>'Headcount'!$P$9</f>
        <v>0</v>
      </c>
      <c r="Q8" s="20">
        <f>'Headcount'!$Q$9</f>
        <v>0</v>
      </c>
      <c r="R8" s="20">
        <f>'Headcount'!$R$9</f>
        <v>0</v>
      </c>
      <c r="S8" s="20">
        <f>'Headcount'!$S$9</f>
        <v>0</v>
      </c>
      <c r="T8" s="20">
        <f>'Headcount'!$T$9</f>
        <v>0</v>
      </c>
      <c r="U8" s="20">
        <f>'Headcount'!$U$9</f>
        <v>0</v>
      </c>
      <c r="V8" s="20">
        <f>'Headcount'!$V$9</f>
        <v>0</v>
      </c>
      <c r="W8" s="20">
        <f>'Headcount'!$W$9</f>
        <v>0</v>
      </c>
      <c r="X8" s="20">
        <f>'Headcount'!$X$9</f>
        <v>0</v>
      </c>
      <c r="Y8" s="20">
        <f>'Headcount'!$Y$9</f>
        <v>0</v>
      </c>
      <c r="Z8" s="20">
        <f>'Headcount'!$Z$9</f>
        <v>0</v>
      </c>
      <c r="AA8" s="20">
        <f>'Headcount'!$AA$9</f>
        <v>0</v>
      </c>
      <c r="AB8" s="20">
        <f>'Headcount'!$AB$9</f>
        <v>0</v>
      </c>
      <c r="AC8" s="20">
        <f>'Headcount'!$AC$9</f>
        <v>0</v>
      </c>
      <c r="AD8" s="20">
        <f>'Headcount'!$AD$9</f>
        <v>0</v>
      </c>
      <c r="AE8" s="20">
        <f>'Headcount'!$AE$9</f>
        <v>0</v>
      </c>
      <c r="AF8" s="20">
        <f>'Headcount'!$AF$9</f>
        <v>0</v>
      </c>
      <c r="AG8" s="20">
        <f>'Headcount'!$AG$9</f>
        <v>0</v>
      </c>
      <c r="AH8" s="20">
        <f>'Headcount'!$AH$9</f>
        <v>0</v>
      </c>
      <c r="AI8" s="20">
        <f>'Headcount'!$AI$9</f>
        <v>0</v>
      </c>
      <c r="AJ8" s="20">
        <f>'Headcount'!$AJ$9</f>
        <v>0</v>
      </c>
      <c r="AK8" s="20">
        <f>'Headcount'!$AK$9</f>
        <v>0</v>
      </c>
      <c r="AL8" s="20">
        <f>'Headcount'!$AL$9</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256</v>
      </c>
      <c r="B9" s="16" t="s">
        <v>191</v>
      </c>
      <c r="C9" s="20">
        <f>'Headcount'!$C$11</f>
        <v>0</v>
      </c>
      <c r="D9" s="20">
        <f>'Headcount'!$D$11</f>
        <v>0</v>
      </c>
      <c r="E9" s="20">
        <f>'Headcount'!$E$11</f>
        <v>0</v>
      </c>
      <c r="F9" s="20">
        <f>'Headcount'!$F$11</f>
        <v>0</v>
      </c>
      <c r="G9" s="20">
        <f>'Headcount'!$G$11</f>
        <v>0</v>
      </c>
      <c r="H9" s="20">
        <f>'Headcount'!$H$11</f>
        <v>0</v>
      </c>
      <c r="I9" s="20">
        <f>'Headcount'!$I$11</f>
        <v>0</v>
      </c>
      <c r="J9" s="20">
        <f>'Headcount'!$J$11</f>
        <v>0</v>
      </c>
      <c r="K9" s="20">
        <f>'Headcount'!$K$11</f>
        <v>0</v>
      </c>
      <c r="L9" s="20">
        <f>'Headcount'!$L$11</f>
        <v>0</v>
      </c>
      <c r="M9" s="20">
        <f>'Headcount'!$M$11</f>
        <v>0</v>
      </c>
      <c r="N9" s="20">
        <f>'Headcount'!$N$11</f>
        <v>0</v>
      </c>
      <c r="O9" s="20">
        <f>'Headcount'!$O$11</f>
        <v>0</v>
      </c>
      <c r="P9" s="20">
        <f>'Headcount'!$P$11</f>
        <v>0</v>
      </c>
      <c r="Q9" s="20">
        <f>'Headcount'!$Q$11</f>
        <v>0</v>
      </c>
      <c r="R9" s="20">
        <f>'Headcount'!$R$11</f>
        <v>0</v>
      </c>
      <c r="S9" s="20">
        <f>'Headcount'!$S$11</f>
        <v>0</v>
      </c>
      <c r="T9" s="20">
        <f>'Headcount'!$T$11</f>
        <v>0</v>
      </c>
      <c r="U9" s="20">
        <f>'Headcount'!$U$11</f>
        <v>0</v>
      </c>
      <c r="V9" s="20">
        <f>'Headcount'!$V$11</f>
        <v>0</v>
      </c>
      <c r="W9" s="20">
        <f>'Headcount'!$W$11</f>
        <v>0</v>
      </c>
      <c r="X9" s="20">
        <f>'Headcount'!$X$11</f>
        <v>0</v>
      </c>
      <c r="Y9" s="20">
        <f>'Headcount'!$Y$11</f>
        <v>0</v>
      </c>
      <c r="Z9" s="20">
        <f>'Headcount'!$Z$11</f>
        <v>0</v>
      </c>
      <c r="AA9" s="20">
        <f>'Headcount'!$AA$11</f>
        <v>0</v>
      </c>
      <c r="AB9" s="20">
        <f>'Headcount'!$AB$11</f>
        <v>0</v>
      </c>
      <c r="AC9" s="20">
        <f>'Headcount'!$AC$11</f>
        <v>0</v>
      </c>
      <c r="AD9" s="20">
        <f>'Headcount'!$AD$11</f>
        <v>0</v>
      </c>
      <c r="AE9" s="20">
        <f>'Headcount'!$AE$11</f>
        <v>0</v>
      </c>
      <c r="AF9" s="20">
        <f>'Headcount'!$AF$11</f>
        <v>0</v>
      </c>
      <c r="AG9" s="20">
        <f>'Headcount'!$AG$11</f>
        <v>0</v>
      </c>
      <c r="AH9" s="20">
        <f>'Headcount'!$AH$11</f>
        <v>0</v>
      </c>
      <c r="AI9" s="20">
        <f>'Headcount'!$AI$11</f>
        <v>0</v>
      </c>
      <c r="AJ9" s="20">
        <f>'Headcount'!$AJ$11</f>
        <v>0</v>
      </c>
      <c r="AK9" s="20">
        <f>'Headcount'!$AK$11</f>
        <v>0</v>
      </c>
      <c r="AL9" s="20">
        <f>'Headcount'!$AL$11</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257</v>
      </c>
      <c r="B10" s="16" t="s">
        <v>258</v>
      </c>
      <c r="C10" s="20">
        <f>'Revenue'!C36*'Assumptions'!$F$30</f>
        <v>0</v>
      </c>
      <c r="D10" s="20">
        <f>'Revenue'!D36*'Assumptions'!$F$30</f>
        <v>0</v>
      </c>
      <c r="E10" s="20">
        <f>'Revenue'!E36*'Assumptions'!$F$30</f>
        <v>0</v>
      </c>
      <c r="F10" s="20">
        <f>'Revenue'!F36*'Assumptions'!$F$30</f>
        <v>0</v>
      </c>
      <c r="G10" s="20">
        <f>'Revenue'!G36*'Assumptions'!$F$30</f>
        <v>0</v>
      </c>
      <c r="H10" s="20">
        <f>'Revenue'!H36*'Assumptions'!$F$30</f>
        <v>0</v>
      </c>
      <c r="I10" s="20">
        <f>'Revenue'!I36*'Assumptions'!$F$30</f>
        <v>0</v>
      </c>
      <c r="J10" s="20">
        <f>'Revenue'!J36*'Assumptions'!$F$30</f>
        <v>0</v>
      </c>
      <c r="K10" s="20">
        <f>'Revenue'!K36*'Assumptions'!$F$30</f>
        <v>0</v>
      </c>
      <c r="L10" s="20">
        <f>'Revenue'!L36*'Assumptions'!$F$30</f>
        <v>0</v>
      </c>
      <c r="M10" s="20">
        <f>'Revenue'!M36*'Assumptions'!$F$30</f>
        <v>0</v>
      </c>
      <c r="N10" s="20">
        <f>'Revenue'!N36*'Assumptions'!$F$30</f>
        <v>0</v>
      </c>
      <c r="O10" s="20">
        <f>'Revenue'!O36*'Assumptions'!$F$30</f>
        <v>0</v>
      </c>
      <c r="P10" s="20">
        <f>'Revenue'!P36*'Assumptions'!$F$30</f>
        <v>0</v>
      </c>
      <c r="Q10" s="20">
        <f>'Revenue'!Q36*'Assumptions'!$F$30</f>
        <v>0</v>
      </c>
      <c r="R10" s="20">
        <f>'Revenue'!R36*'Assumptions'!$F$30</f>
        <v>0</v>
      </c>
      <c r="S10" s="20">
        <f>'Revenue'!S36*'Assumptions'!$F$30</f>
        <v>0</v>
      </c>
      <c r="T10" s="20">
        <f>'Revenue'!T36*'Assumptions'!$F$30</f>
        <v>0</v>
      </c>
      <c r="U10" s="20">
        <f>'Revenue'!U36*'Assumptions'!$F$30</f>
        <v>0</v>
      </c>
      <c r="V10" s="20">
        <f>'Revenue'!V36*'Assumptions'!$F$30</f>
        <v>0</v>
      </c>
      <c r="W10" s="20">
        <f>'Revenue'!W36*'Assumptions'!$F$30</f>
        <v>0</v>
      </c>
      <c r="X10" s="20">
        <f>'Revenue'!X36*'Assumptions'!$F$30</f>
        <v>0</v>
      </c>
      <c r="Y10" s="20">
        <f>'Revenue'!Y36*'Assumptions'!$F$30</f>
        <v>0</v>
      </c>
      <c r="Z10" s="20">
        <f>'Revenue'!Z36*'Assumptions'!$F$30</f>
        <v>0</v>
      </c>
      <c r="AA10" s="20">
        <f>'Revenue'!AA36*'Assumptions'!$F$30</f>
        <v>0</v>
      </c>
      <c r="AB10" s="20">
        <f>'Revenue'!AB36*'Assumptions'!$F$30</f>
        <v>0</v>
      </c>
      <c r="AC10" s="20">
        <f>'Revenue'!AC36*'Assumptions'!$F$30</f>
        <v>0</v>
      </c>
      <c r="AD10" s="20">
        <f>'Revenue'!AD36*'Assumptions'!$F$30</f>
        <v>0</v>
      </c>
      <c r="AE10" s="20">
        <f>'Revenue'!AE36*'Assumptions'!$F$30</f>
        <v>0</v>
      </c>
      <c r="AF10" s="20">
        <f>'Revenue'!AF36*'Assumptions'!$F$30</f>
        <v>0</v>
      </c>
      <c r="AG10" s="20">
        <f>'Revenue'!AG36*'Assumptions'!$F$30</f>
        <v>0</v>
      </c>
      <c r="AH10" s="20">
        <f>'Revenue'!AH36*'Assumptions'!$F$30</f>
        <v>0</v>
      </c>
      <c r="AI10" s="20">
        <f>'Revenue'!AI36*'Assumptions'!$F$30</f>
        <v>0</v>
      </c>
      <c r="AJ10" s="20">
        <f>'Revenue'!AJ36*'Assumptions'!$F$30</f>
        <v>0</v>
      </c>
      <c r="AK10" s="20">
        <f>'Revenue'!AK36*'Assumptions'!$F$30</f>
        <v>0</v>
      </c>
      <c r="AL10" s="20">
        <f>'Revenue'!AL36*'Assumptions'!$F$30</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18" t="s">
        <v>259</v>
      </c>
      <c r="B11" s="16" t="s">
        <v>260</v>
      </c>
      <c r="C11" s="20">
        <f>'Revenue'!C17*'Assumptions'!$F$31</f>
        <v>0</v>
      </c>
      <c r="D11" s="20">
        <f>'Revenue'!D17*'Assumptions'!$F$31</f>
        <v>0</v>
      </c>
      <c r="E11" s="20">
        <f>'Revenue'!E17*'Assumptions'!$F$31</f>
        <v>0</v>
      </c>
      <c r="F11" s="20">
        <f>'Revenue'!F17*'Assumptions'!$F$31</f>
        <v>0</v>
      </c>
      <c r="G11" s="20">
        <f>'Revenue'!G17*'Assumptions'!$F$31</f>
        <v>0</v>
      </c>
      <c r="H11" s="20">
        <f>'Revenue'!H17*'Assumptions'!$F$31</f>
        <v>0</v>
      </c>
      <c r="I11" s="20">
        <f>'Revenue'!I17*'Assumptions'!$F$31</f>
        <v>0</v>
      </c>
      <c r="J11" s="20">
        <f>'Revenue'!J17*'Assumptions'!$F$31</f>
        <v>0</v>
      </c>
      <c r="K11" s="20">
        <f>'Revenue'!K17*'Assumptions'!$F$31</f>
        <v>0</v>
      </c>
      <c r="L11" s="20">
        <f>'Revenue'!L17*'Assumptions'!$F$31</f>
        <v>0</v>
      </c>
      <c r="M11" s="20">
        <f>'Revenue'!M17*'Assumptions'!$F$31</f>
        <v>0</v>
      </c>
      <c r="N11" s="20">
        <f>'Revenue'!N17*'Assumptions'!$F$31</f>
        <v>0</v>
      </c>
      <c r="O11" s="20">
        <f>'Revenue'!O17*'Assumptions'!$F$31</f>
        <v>0</v>
      </c>
      <c r="P11" s="20">
        <f>'Revenue'!P17*'Assumptions'!$F$31</f>
        <v>0</v>
      </c>
      <c r="Q11" s="20">
        <f>'Revenue'!Q17*'Assumptions'!$F$31</f>
        <v>0</v>
      </c>
      <c r="R11" s="20">
        <f>'Revenue'!R17*'Assumptions'!$F$31</f>
        <v>0</v>
      </c>
      <c r="S11" s="20">
        <f>'Revenue'!S17*'Assumptions'!$F$31</f>
        <v>0</v>
      </c>
      <c r="T11" s="20">
        <f>'Revenue'!T17*'Assumptions'!$F$31</f>
        <v>0</v>
      </c>
      <c r="U11" s="20">
        <f>'Revenue'!U17*'Assumptions'!$F$31</f>
        <v>0</v>
      </c>
      <c r="V11" s="20">
        <f>'Revenue'!V17*'Assumptions'!$F$31</f>
        <v>0</v>
      </c>
      <c r="W11" s="20">
        <f>'Revenue'!W17*'Assumptions'!$F$31</f>
        <v>0</v>
      </c>
      <c r="X11" s="20">
        <f>'Revenue'!X17*'Assumptions'!$F$31</f>
        <v>0</v>
      </c>
      <c r="Y11" s="20">
        <f>'Revenue'!Y17*'Assumptions'!$F$31</f>
        <v>0</v>
      </c>
      <c r="Z11" s="20">
        <f>'Revenue'!Z17*'Assumptions'!$F$31</f>
        <v>0</v>
      </c>
      <c r="AA11" s="20">
        <f>'Revenue'!AA17*'Assumptions'!$F$31</f>
        <v>0</v>
      </c>
      <c r="AB11" s="20">
        <f>'Revenue'!AB17*'Assumptions'!$F$31</f>
        <v>0</v>
      </c>
      <c r="AC11" s="20">
        <f>'Revenue'!AC17*'Assumptions'!$F$31</f>
        <v>0</v>
      </c>
      <c r="AD11" s="20">
        <f>'Revenue'!AD17*'Assumptions'!$F$31</f>
        <v>0</v>
      </c>
      <c r="AE11" s="20">
        <f>'Revenue'!AE17*'Assumptions'!$F$31</f>
        <v>0</v>
      </c>
      <c r="AF11" s="20">
        <f>'Revenue'!AF17*'Assumptions'!$F$31</f>
        <v>0</v>
      </c>
      <c r="AG11" s="20">
        <f>'Revenue'!AG17*'Assumptions'!$F$31</f>
        <v>0</v>
      </c>
      <c r="AH11" s="20">
        <f>'Revenue'!AH17*'Assumptions'!$F$31</f>
        <v>0</v>
      </c>
      <c r="AI11" s="20">
        <f>'Revenue'!AI17*'Assumptions'!$F$31</f>
        <v>0</v>
      </c>
      <c r="AJ11" s="20">
        <f>'Revenue'!AJ17*'Assumptions'!$F$31</f>
        <v>0</v>
      </c>
      <c r="AK11" s="20">
        <f>'Revenue'!AK17*'Assumptions'!$F$31</f>
        <v>0</v>
      </c>
      <c r="AL11" s="20">
        <f>'Revenue'!AL17*'Assumptions'!$F$31</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31" t="s">
        <v>261</v>
      </c>
      <c r="B12" s="16"/>
      <c r="C12" s="32">
        <f>C8+C9+C10+C11</f>
        <v>0</v>
      </c>
      <c r="D12" s="32">
        <f>D8+D9+D10+D11</f>
        <v>0</v>
      </c>
      <c r="E12" s="32">
        <f>E8+E9+E10+E11</f>
        <v>0</v>
      </c>
      <c r="F12" s="32">
        <f>F8+F9+F10+F11</f>
        <v>0</v>
      </c>
      <c r="G12" s="32">
        <f>G8+G9+G10+G11</f>
        <v>0</v>
      </c>
      <c r="H12" s="32">
        <f>H8+H9+H10+H11</f>
        <v>0</v>
      </c>
      <c r="I12" s="32">
        <f>I8+I9+I10+I11</f>
        <v>0</v>
      </c>
      <c r="J12" s="32">
        <f>J8+J9+J10+J11</f>
        <v>0</v>
      </c>
      <c r="K12" s="32">
        <f>K8+K9+K10+K11</f>
        <v>0</v>
      </c>
      <c r="L12" s="32">
        <f>L8+L9+L10+L11</f>
        <v>0</v>
      </c>
      <c r="M12" s="32">
        <f>M8+M9+M10+M11</f>
        <v>0</v>
      </c>
      <c r="N12" s="32">
        <f>N8+N9+N10+N11</f>
        <v>0</v>
      </c>
      <c r="O12" s="32">
        <f>O8+O9+O10+O11</f>
        <v>0</v>
      </c>
      <c r="P12" s="32">
        <f>P8+P9+P10+P11</f>
        <v>0</v>
      </c>
      <c r="Q12" s="32">
        <f>Q8+Q9+Q10+Q11</f>
        <v>0</v>
      </c>
      <c r="R12" s="32">
        <f>R8+R9+R10+R11</f>
        <v>0</v>
      </c>
      <c r="S12" s="32">
        <f>S8+S9+S10+S11</f>
        <v>0</v>
      </c>
      <c r="T12" s="32">
        <f>T8+T9+T10+T11</f>
        <v>0</v>
      </c>
      <c r="U12" s="32">
        <f>U8+U9+U10+U11</f>
        <v>0</v>
      </c>
      <c r="V12" s="32">
        <f>V8+V9+V10+V11</f>
        <v>0</v>
      </c>
      <c r="W12" s="32">
        <f>W8+W9+W10+W11</f>
        <v>0</v>
      </c>
      <c r="X12" s="32">
        <f>X8+X9+X10+X11</f>
        <v>0</v>
      </c>
      <c r="Y12" s="32">
        <f>Y8+Y9+Y10+Y11</f>
        <v>0</v>
      </c>
      <c r="Z12" s="32">
        <f>Z8+Z9+Z10+Z11</f>
        <v>0</v>
      </c>
      <c r="AA12" s="32">
        <f>AA8+AA9+AA10+AA11</f>
        <v>0</v>
      </c>
      <c r="AB12" s="32">
        <f>AB8+AB9+AB10+AB11</f>
        <v>0</v>
      </c>
      <c r="AC12" s="32">
        <f>AC8+AC9+AC10+AC11</f>
        <v>0</v>
      </c>
      <c r="AD12" s="32">
        <f>AD8+AD9+AD10+AD11</f>
        <v>0</v>
      </c>
      <c r="AE12" s="32">
        <f>AE8+AE9+AE10+AE11</f>
        <v>0</v>
      </c>
      <c r="AF12" s="32">
        <f>AF8+AF9+AF10+AF11</f>
        <v>0</v>
      </c>
      <c r="AG12" s="32">
        <f>AG8+AG9+AG10+AG11</f>
        <v>0</v>
      </c>
      <c r="AH12" s="32">
        <f>AH8+AH9+AH10+AH11</f>
        <v>0</v>
      </c>
      <c r="AI12" s="32">
        <f>AI8+AI9+AI10+AI11</f>
        <v>0</v>
      </c>
      <c r="AJ12" s="32">
        <f>AJ8+AJ9+AJ10+AJ11</f>
        <v>0</v>
      </c>
      <c r="AK12" s="32">
        <f>AK8+AK9+AK10+AK11</f>
        <v>0</v>
      </c>
      <c r="AL12" s="32">
        <f>AL8+AL9+AL10+AL11</f>
        <v>0</v>
      </c>
      <c r="AN12" s="32">
        <f>SUM(C12:E12)</f>
        <v>0</v>
      </c>
      <c r="AO12" s="32">
        <f>SUM(F12:H12)</f>
        <v>0</v>
      </c>
      <c r="AP12" s="32">
        <f>SUM(I12:K12)</f>
        <v>0</v>
      </c>
      <c r="AQ12" s="32">
        <f>SUM(L12:N12)</f>
        <v>0</v>
      </c>
      <c r="AR12" s="32">
        <f>SUM(O12:Q12)</f>
        <v>0</v>
      </c>
      <c r="AS12" s="32">
        <f>SUM(R12:T12)</f>
        <v>0</v>
      </c>
      <c r="AT12" s="32">
        <f>SUM(U12:W12)</f>
        <v>0</v>
      </c>
      <c r="AU12" s="32">
        <f>SUM(X12:Z12)</f>
        <v>0</v>
      </c>
      <c r="AV12" s="32">
        <f>SUM(AA12:AC12)</f>
        <v>0</v>
      </c>
      <c r="AW12" s="32">
        <f>SUM(AD12:AF12)</f>
        <v>0</v>
      </c>
      <c r="AX12" s="32">
        <f>SUM(AG12:AI12)</f>
        <v>0</v>
      </c>
      <c r="AY12" s="32">
        <f>SUM(AJ12:AL12)</f>
        <v>0</v>
      </c>
      <c r="BA12" s="32">
        <f>SUM(C12:N12)</f>
        <v>0</v>
      </c>
      <c r="BB12" s="32">
        <f>SUM(O12:Z12)</f>
        <v>0</v>
      </c>
      <c r="BC12" s="32">
        <f>SUM(AA12:AL12)</f>
        <v>0</v>
      </c>
    </row>
    <row r="13" spans="1:55" ht="5" customHeight="1"/>
    <row r="14" spans="1:55" ht="16" customHeight="1">
      <c r="A14" s="14" t="s">
        <v>262</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row>
    <row r="15" spans="1:55">
      <c r="A15" s="28" t="s">
        <v>263</v>
      </c>
      <c r="B15" s="16"/>
      <c r="C15" s="29">
        <f>'Revenue'!C36-C12</f>
        <v>0</v>
      </c>
      <c r="D15" s="29">
        <f>'Revenue'!D36-D12</f>
        <v>0</v>
      </c>
      <c r="E15" s="29">
        <f>'Revenue'!E36-E12</f>
        <v>0</v>
      </c>
      <c r="F15" s="29">
        <f>'Revenue'!F36-F12</f>
        <v>0</v>
      </c>
      <c r="G15" s="29">
        <f>'Revenue'!G36-G12</f>
        <v>0</v>
      </c>
      <c r="H15" s="29">
        <f>'Revenue'!H36-H12</f>
        <v>0</v>
      </c>
      <c r="I15" s="29">
        <f>'Revenue'!I36-I12</f>
        <v>0</v>
      </c>
      <c r="J15" s="29">
        <f>'Revenue'!J36-J12</f>
        <v>0</v>
      </c>
      <c r="K15" s="29">
        <f>'Revenue'!K36-K12</f>
        <v>0</v>
      </c>
      <c r="L15" s="29">
        <f>'Revenue'!L36-L12</f>
        <v>0</v>
      </c>
      <c r="M15" s="29">
        <f>'Revenue'!M36-M12</f>
        <v>0</v>
      </c>
      <c r="N15" s="29">
        <f>'Revenue'!N36-N12</f>
        <v>0</v>
      </c>
      <c r="O15" s="29">
        <f>'Revenue'!O36-O12</f>
        <v>0</v>
      </c>
      <c r="P15" s="29">
        <f>'Revenue'!P36-P12</f>
        <v>0</v>
      </c>
      <c r="Q15" s="29">
        <f>'Revenue'!Q36-Q12</f>
        <v>0</v>
      </c>
      <c r="R15" s="29">
        <f>'Revenue'!R36-R12</f>
        <v>0</v>
      </c>
      <c r="S15" s="29">
        <f>'Revenue'!S36-S12</f>
        <v>0</v>
      </c>
      <c r="T15" s="29">
        <f>'Revenue'!T36-T12</f>
        <v>0</v>
      </c>
      <c r="U15" s="29">
        <f>'Revenue'!U36-U12</f>
        <v>0</v>
      </c>
      <c r="V15" s="29">
        <f>'Revenue'!V36-V12</f>
        <v>0</v>
      </c>
      <c r="W15" s="29">
        <f>'Revenue'!W36-W12</f>
        <v>0</v>
      </c>
      <c r="X15" s="29">
        <f>'Revenue'!X36-X12</f>
        <v>0</v>
      </c>
      <c r="Y15" s="29">
        <f>'Revenue'!Y36-Y12</f>
        <v>0</v>
      </c>
      <c r="Z15" s="29">
        <f>'Revenue'!Z36-Z12</f>
        <v>0</v>
      </c>
      <c r="AA15" s="29">
        <f>'Revenue'!AA36-AA12</f>
        <v>0</v>
      </c>
      <c r="AB15" s="29">
        <f>'Revenue'!AB36-AB12</f>
        <v>0</v>
      </c>
      <c r="AC15" s="29">
        <f>'Revenue'!AC36-AC12</f>
        <v>0</v>
      </c>
      <c r="AD15" s="29">
        <f>'Revenue'!AD36-AD12</f>
        <v>0</v>
      </c>
      <c r="AE15" s="29">
        <f>'Revenue'!AE36-AE12</f>
        <v>0</v>
      </c>
      <c r="AF15" s="29">
        <f>'Revenue'!AF36-AF12</f>
        <v>0</v>
      </c>
      <c r="AG15" s="29">
        <f>'Revenue'!AG36-AG12</f>
        <v>0</v>
      </c>
      <c r="AH15" s="29">
        <f>'Revenue'!AH36-AH12</f>
        <v>0</v>
      </c>
      <c r="AI15" s="29">
        <f>'Revenue'!AI36-AI12</f>
        <v>0</v>
      </c>
      <c r="AJ15" s="29">
        <f>'Revenue'!AJ36-AJ12</f>
        <v>0</v>
      </c>
      <c r="AK15" s="29">
        <f>'Revenue'!AK36-AK12</f>
        <v>0</v>
      </c>
      <c r="AL15" s="29">
        <f>'Revenue'!AL36-AL12</f>
        <v>0</v>
      </c>
      <c r="AN15" s="29">
        <f>SUM(C15:E15)</f>
        <v>0</v>
      </c>
      <c r="AO15" s="29">
        <f>SUM(F15:H15)</f>
        <v>0</v>
      </c>
      <c r="AP15" s="29">
        <f>SUM(I15:K15)</f>
        <v>0</v>
      </c>
      <c r="AQ15" s="29">
        <f>SUM(L15:N15)</f>
        <v>0</v>
      </c>
      <c r="AR15" s="29">
        <f>SUM(O15:Q15)</f>
        <v>0</v>
      </c>
      <c r="AS15" s="29">
        <f>SUM(R15:T15)</f>
        <v>0</v>
      </c>
      <c r="AT15" s="29">
        <f>SUM(U15:W15)</f>
        <v>0</v>
      </c>
      <c r="AU15" s="29">
        <f>SUM(X15:Z15)</f>
        <v>0</v>
      </c>
      <c r="AV15" s="29">
        <f>SUM(AA15:AC15)</f>
        <v>0</v>
      </c>
      <c r="AW15" s="29">
        <f>SUM(AD15:AF15)</f>
        <v>0</v>
      </c>
      <c r="AX15" s="29">
        <f>SUM(AG15:AI15)</f>
        <v>0</v>
      </c>
      <c r="AY15" s="29">
        <f>SUM(AJ15:AL15)</f>
        <v>0</v>
      </c>
      <c r="BA15" s="29">
        <f>SUM(C15:N15)</f>
        <v>0</v>
      </c>
      <c r="BB15" s="29">
        <f>SUM(O15:Z15)</f>
        <v>0</v>
      </c>
      <c r="BC15" s="29">
        <f>SUM(AA15:AL15)</f>
        <v>0</v>
      </c>
    </row>
    <row r="16" spans="1:55">
      <c r="A16" s="18" t="s">
        <v>264</v>
      </c>
      <c r="B16" s="16"/>
      <c r="C16" s="25">
        <f>IFERROR(C15/'Revenue'!C36,0)</f>
        <v>0</v>
      </c>
      <c r="D16" s="25">
        <f>IFERROR(D15/'Revenue'!D36,0)</f>
        <v>0</v>
      </c>
      <c r="E16" s="25">
        <f>IFERROR(E15/'Revenue'!E36,0)</f>
        <v>0</v>
      </c>
      <c r="F16" s="25">
        <f>IFERROR(F15/'Revenue'!F36,0)</f>
        <v>0</v>
      </c>
      <c r="G16" s="25">
        <f>IFERROR(G15/'Revenue'!G36,0)</f>
        <v>0</v>
      </c>
      <c r="H16" s="25">
        <f>IFERROR(H15/'Revenue'!H36,0)</f>
        <v>0</v>
      </c>
      <c r="I16" s="25">
        <f>IFERROR(I15/'Revenue'!I36,0)</f>
        <v>0</v>
      </c>
      <c r="J16" s="25">
        <f>IFERROR(J15/'Revenue'!J36,0)</f>
        <v>0</v>
      </c>
      <c r="K16" s="25">
        <f>IFERROR(K15/'Revenue'!K36,0)</f>
        <v>0</v>
      </c>
      <c r="L16" s="25">
        <f>IFERROR(L15/'Revenue'!L36,0)</f>
        <v>0</v>
      </c>
      <c r="M16" s="25">
        <f>IFERROR(M15/'Revenue'!M36,0)</f>
        <v>0</v>
      </c>
      <c r="N16" s="25">
        <f>IFERROR(N15/'Revenue'!N36,0)</f>
        <v>0</v>
      </c>
      <c r="O16" s="25">
        <f>IFERROR(O15/'Revenue'!O36,0)</f>
        <v>0</v>
      </c>
      <c r="P16" s="25">
        <f>IFERROR(P15/'Revenue'!P36,0)</f>
        <v>0</v>
      </c>
      <c r="Q16" s="25">
        <f>IFERROR(Q15/'Revenue'!Q36,0)</f>
        <v>0</v>
      </c>
      <c r="R16" s="25">
        <f>IFERROR(R15/'Revenue'!R36,0)</f>
        <v>0</v>
      </c>
      <c r="S16" s="25">
        <f>IFERROR(S15/'Revenue'!S36,0)</f>
        <v>0</v>
      </c>
      <c r="T16" s="25">
        <f>IFERROR(T15/'Revenue'!T36,0)</f>
        <v>0</v>
      </c>
      <c r="U16" s="25">
        <f>IFERROR(U15/'Revenue'!U36,0)</f>
        <v>0</v>
      </c>
      <c r="V16" s="25">
        <f>IFERROR(V15/'Revenue'!V36,0)</f>
        <v>0</v>
      </c>
      <c r="W16" s="25">
        <f>IFERROR(W15/'Revenue'!W36,0)</f>
        <v>0</v>
      </c>
      <c r="X16" s="25">
        <f>IFERROR(X15/'Revenue'!X36,0)</f>
        <v>0</v>
      </c>
      <c r="Y16" s="25">
        <f>IFERROR(Y15/'Revenue'!Y36,0)</f>
        <v>0</v>
      </c>
      <c r="Z16" s="25">
        <f>IFERROR(Z15/'Revenue'!Z36,0)</f>
        <v>0</v>
      </c>
      <c r="AA16" s="25">
        <f>IFERROR(AA15/'Revenue'!AA36,0)</f>
        <v>0</v>
      </c>
      <c r="AB16" s="25">
        <f>IFERROR(AB15/'Revenue'!AB36,0)</f>
        <v>0</v>
      </c>
      <c r="AC16" s="25">
        <f>IFERROR(AC15/'Revenue'!AC36,0)</f>
        <v>0</v>
      </c>
      <c r="AD16" s="25">
        <f>IFERROR(AD15/'Revenue'!AD36,0)</f>
        <v>0</v>
      </c>
      <c r="AE16" s="25">
        <f>IFERROR(AE15/'Revenue'!AE36,0)</f>
        <v>0</v>
      </c>
      <c r="AF16" s="25">
        <f>IFERROR(AF15/'Revenue'!AF36,0)</f>
        <v>0</v>
      </c>
      <c r="AG16" s="25">
        <f>IFERROR(AG15/'Revenue'!AG36,0)</f>
        <v>0</v>
      </c>
      <c r="AH16" s="25">
        <f>IFERROR(AH15/'Revenue'!AH36,0)</f>
        <v>0</v>
      </c>
      <c r="AI16" s="25">
        <f>IFERROR(AI15/'Revenue'!AI36,0)</f>
        <v>0</v>
      </c>
      <c r="AJ16" s="25">
        <f>IFERROR(AJ15/'Revenue'!AJ36,0)</f>
        <v>0</v>
      </c>
      <c r="AK16" s="25">
        <f>IFERROR(AK15/'Revenue'!AK36,0)</f>
        <v>0</v>
      </c>
      <c r="AL16" s="25">
        <f>IFERROR(AL15/'Revenue'!AL36,0)</f>
        <v>0</v>
      </c>
      <c r="AN16" s="25">
        <f>AVERAGE(C16:E16)</f>
        <v>0</v>
      </c>
      <c r="AO16" s="25">
        <f>AVERAGE(F16:H16)</f>
        <v>0</v>
      </c>
      <c r="AP16" s="25">
        <f>AVERAGE(I16:K16)</f>
        <v>0</v>
      </c>
      <c r="AQ16" s="25">
        <f>AVERAGE(L16:N16)</f>
        <v>0</v>
      </c>
      <c r="AR16" s="25">
        <f>AVERAGE(O16:Q16)</f>
        <v>0</v>
      </c>
      <c r="AS16" s="25">
        <f>AVERAGE(R16:T16)</f>
        <v>0</v>
      </c>
      <c r="AT16" s="25">
        <f>AVERAGE(U16:W16)</f>
        <v>0</v>
      </c>
      <c r="AU16" s="25">
        <f>AVERAGE(X16:Z16)</f>
        <v>0</v>
      </c>
      <c r="AV16" s="25">
        <f>AVERAGE(AA16:AC16)</f>
        <v>0</v>
      </c>
      <c r="AW16" s="25">
        <f>AVERAGE(AD16:AF16)</f>
        <v>0</v>
      </c>
      <c r="AX16" s="25">
        <f>AVERAGE(AG16:AI16)</f>
        <v>0</v>
      </c>
      <c r="AY16" s="25">
        <f>AVERAGE(AJ16:AL16)</f>
        <v>0</v>
      </c>
      <c r="BA16" s="25">
        <f>AVERAGE(C16:N16)</f>
        <v>0</v>
      </c>
      <c r="BB16" s="25">
        <f>AVERAGE(O16:Z16)</f>
        <v>0</v>
      </c>
      <c r="BC16" s="25">
        <f>AVERAGE(AA16:AL16)</f>
        <v>0</v>
      </c>
    </row>
    <row r="17" spans="1:55">
      <c r="A17" s="18" t="s">
        <v>241</v>
      </c>
      <c r="B17" s="16" t="s">
        <v>265</v>
      </c>
      <c r="C17" s="25">
        <f>'Revenue'!$C$40</f>
        <v>0</v>
      </c>
      <c r="D17" s="25">
        <f>'Revenue'!$D$40</f>
        <v>0</v>
      </c>
      <c r="E17" s="25">
        <f>'Revenue'!$E$40</f>
        <v>0</v>
      </c>
      <c r="F17" s="25">
        <f>'Revenue'!$F$40</f>
        <v>0</v>
      </c>
      <c r="G17" s="25">
        <f>'Revenue'!$G$40</f>
        <v>0</v>
      </c>
      <c r="H17" s="25">
        <f>'Revenue'!$H$40</f>
        <v>0</v>
      </c>
      <c r="I17" s="25">
        <f>'Revenue'!$I$40</f>
        <v>0</v>
      </c>
      <c r="J17" s="25">
        <f>'Revenue'!$J$40</f>
        <v>0</v>
      </c>
      <c r="K17" s="25">
        <f>'Revenue'!$K$40</f>
        <v>0</v>
      </c>
      <c r="L17" s="25">
        <f>'Revenue'!$L$40</f>
        <v>0</v>
      </c>
      <c r="M17" s="25">
        <f>'Revenue'!$M$40</f>
        <v>0</v>
      </c>
      <c r="N17" s="25">
        <f>'Revenue'!$N$40</f>
        <v>0</v>
      </c>
      <c r="O17" s="25">
        <f>'Revenue'!$O$40</f>
        <v>0</v>
      </c>
      <c r="P17" s="25">
        <f>'Revenue'!$P$40</f>
        <v>0</v>
      </c>
      <c r="Q17" s="25">
        <f>'Revenue'!$Q$40</f>
        <v>0</v>
      </c>
      <c r="R17" s="25">
        <f>'Revenue'!$R$40</f>
        <v>0</v>
      </c>
      <c r="S17" s="25">
        <f>'Revenue'!$S$40</f>
        <v>0</v>
      </c>
      <c r="T17" s="25">
        <f>'Revenue'!$T$40</f>
        <v>0</v>
      </c>
      <c r="U17" s="25">
        <f>'Revenue'!$U$40</f>
        <v>0</v>
      </c>
      <c r="V17" s="25">
        <f>'Revenue'!$V$40</f>
        <v>0</v>
      </c>
      <c r="W17" s="25">
        <f>'Revenue'!$W$40</f>
        <v>0</v>
      </c>
      <c r="X17" s="25">
        <f>'Revenue'!$X$40</f>
        <v>0</v>
      </c>
      <c r="Y17" s="25">
        <f>'Revenue'!$Y$40</f>
        <v>0</v>
      </c>
      <c r="Z17" s="25">
        <f>'Revenue'!$Z$40</f>
        <v>0</v>
      </c>
      <c r="AA17" s="25">
        <f>'Revenue'!$AA$40</f>
        <v>0</v>
      </c>
      <c r="AB17" s="25">
        <f>'Revenue'!$AB$40</f>
        <v>0</v>
      </c>
      <c r="AC17" s="25">
        <f>'Revenue'!$AC$40</f>
        <v>0</v>
      </c>
      <c r="AD17" s="25">
        <f>'Revenue'!$AD$40</f>
        <v>0</v>
      </c>
      <c r="AE17" s="25">
        <f>'Revenue'!$AE$40</f>
        <v>0</v>
      </c>
      <c r="AF17" s="25">
        <f>'Revenue'!$AF$40</f>
        <v>0</v>
      </c>
      <c r="AG17" s="25">
        <f>'Revenue'!$AG$40</f>
        <v>0</v>
      </c>
      <c r="AH17" s="25">
        <f>'Revenue'!$AH$40</f>
        <v>0</v>
      </c>
      <c r="AI17" s="25">
        <f>'Revenue'!$AI$40</f>
        <v>0</v>
      </c>
      <c r="AJ17" s="25">
        <f>'Revenue'!$AJ$40</f>
        <v>0</v>
      </c>
      <c r="AK17" s="25">
        <f>'Revenue'!$AK$40</f>
        <v>0</v>
      </c>
      <c r="AL17" s="25">
        <f>'Revenue'!$AL$40</f>
        <v>0</v>
      </c>
      <c r="AN17" s="25">
        <f>AVERAGE(C17:E17)</f>
        <v>0</v>
      </c>
      <c r="AO17" s="25">
        <f>AVERAGE(F17:H17)</f>
        <v>0</v>
      </c>
      <c r="AP17" s="25">
        <f>AVERAGE(I17:K17)</f>
        <v>0</v>
      </c>
      <c r="AQ17" s="25">
        <f>AVERAGE(L17:N17)</f>
        <v>0</v>
      </c>
      <c r="AR17" s="25">
        <f>AVERAGE(O17:Q17)</f>
        <v>0</v>
      </c>
      <c r="AS17" s="25">
        <f>AVERAGE(R17:T17)</f>
        <v>0</v>
      </c>
      <c r="AT17" s="25">
        <f>AVERAGE(U17:W17)</f>
        <v>0</v>
      </c>
      <c r="AU17" s="25">
        <f>AVERAGE(X17:Z17)</f>
        <v>0</v>
      </c>
      <c r="AV17" s="25">
        <f>AVERAGE(AA17:AC17)</f>
        <v>0</v>
      </c>
      <c r="AW17" s="25">
        <f>AVERAGE(AD17:AF17)</f>
        <v>0</v>
      </c>
      <c r="AX17" s="25">
        <f>AVERAGE(AG17:AI17)</f>
        <v>0</v>
      </c>
      <c r="AY17" s="25">
        <f>AVERAGE(AJ17:AL17)</f>
        <v>0</v>
      </c>
      <c r="BA17" s="25">
        <f>AVERAGE(C17:N17)</f>
        <v>0</v>
      </c>
      <c r="BB17" s="25">
        <f>AVERAGE(O17:Z17)</f>
        <v>0</v>
      </c>
      <c r="BC17" s="25">
        <f>AVERAGE(AA17:AL17)</f>
        <v>0</v>
      </c>
    </row>
    <row r="18" spans="1:55">
      <c r="A18" s="18" t="s">
        <v>243</v>
      </c>
      <c r="B18" s="16" t="s">
        <v>265</v>
      </c>
      <c r="C18" s="25">
        <f>'Revenue'!$C$41</f>
        <v>0</v>
      </c>
      <c r="D18" s="25">
        <f>'Revenue'!$D$41</f>
        <v>0</v>
      </c>
      <c r="E18" s="25">
        <f>'Revenue'!$E$41</f>
        <v>0</v>
      </c>
      <c r="F18" s="25">
        <f>'Revenue'!$F$41</f>
        <v>0</v>
      </c>
      <c r="G18" s="25">
        <f>'Revenue'!$G$41</f>
        <v>0</v>
      </c>
      <c r="H18" s="25">
        <f>'Revenue'!$H$41</f>
        <v>0</v>
      </c>
      <c r="I18" s="25">
        <f>'Revenue'!$I$41</f>
        <v>0</v>
      </c>
      <c r="J18" s="25">
        <f>'Revenue'!$J$41</f>
        <v>0</v>
      </c>
      <c r="K18" s="25">
        <f>'Revenue'!$K$41</f>
        <v>0</v>
      </c>
      <c r="L18" s="25">
        <f>'Revenue'!$L$41</f>
        <v>0</v>
      </c>
      <c r="M18" s="25">
        <f>'Revenue'!$M$41</f>
        <v>0</v>
      </c>
      <c r="N18" s="25">
        <f>'Revenue'!$N$41</f>
        <v>0</v>
      </c>
      <c r="O18" s="25">
        <f>'Revenue'!$O$41</f>
        <v>0</v>
      </c>
      <c r="P18" s="25">
        <f>'Revenue'!$P$41</f>
        <v>0</v>
      </c>
      <c r="Q18" s="25">
        <f>'Revenue'!$Q$41</f>
        <v>0</v>
      </c>
      <c r="R18" s="25">
        <f>'Revenue'!$R$41</f>
        <v>0</v>
      </c>
      <c r="S18" s="25">
        <f>'Revenue'!$S$41</f>
        <v>0</v>
      </c>
      <c r="T18" s="25">
        <f>'Revenue'!$T$41</f>
        <v>0</v>
      </c>
      <c r="U18" s="25">
        <f>'Revenue'!$U$41</f>
        <v>0</v>
      </c>
      <c r="V18" s="25">
        <f>'Revenue'!$V$41</f>
        <v>0</v>
      </c>
      <c r="W18" s="25">
        <f>'Revenue'!$W$41</f>
        <v>0</v>
      </c>
      <c r="X18" s="25">
        <f>'Revenue'!$X$41</f>
        <v>0</v>
      </c>
      <c r="Y18" s="25">
        <f>'Revenue'!$Y$41</f>
        <v>0</v>
      </c>
      <c r="Z18" s="25">
        <f>'Revenue'!$Z$41</f>
        <v>0</v>
      </c>
      <c r="AA18" s="25">
        <f>'Revenue'!$AA$41</f>
        <v>0</v>
      </c>
      <c r="AB18" s="25">
        <f>'Revenue'!$AB$41</f>
        <v>0</v>
      </c>
      <c r="AC18" s="25">
        <f>'Revenue'!$AC$41</f>
        <v>0</v>
      </c>
      <c r="AD18" s="25">
        <f>'Revenue'!$AD$41</f>
        <v>0</v>
      </c>
      <c r="AE18" s="25">
        <f>'Revenue'!$AE$41</f>
        <v>0</v>
      </c>
      <c r="AF18" s="25">
        <f>'Revenue'!$AF$41</f>
        <v>0</v>
      </c>
      <c r="AG18" s="25">
        <f>'Revenue'!$AG$41</f>
        <v>0</v>
      </c>
      <c r="AH18" s="25">
        <f>'Revenue'!$AH$41</f>
        <v>0</v>
      </c>
      <c r="AI18" s="25">
        <f>'Revenue'!$AI$41</f>
        <v>0</v>
      </c>
      <c r="AJ18" s="25">
        <f>'Revenue'!$AJ$41</f>
        <v>0</v>
      </c>
      <c r="AK18" s="25">
        <f>'Revenue'!$AK$41</f>
        <v>0</v>
      </c>
      <c r="AL18" s="25">
        <f>'Revenue'!$AL$41</f>
        <v>0</v>
      </c>
      <c r="AN18" s="25">
        <f>AVERAGE(C18:E18)</f>
        <v>0</v>
      </c>
      <c r="AO18" s="25">
        <f>AVERAGE(F18:H18)</f>
        <v>0</v>
      </c>
      <c r="AP18" s="25">
        <f>AVERAGE(I18:K18)</f>
        <v>0</v>
      </c>
      <c r="AQ18" s="25">
        <f>AVERAGE(L18:N18)</f>
        <v>0</v>
      </c>
      <c r="AR18" s="25">
        <f>AVERAGE(O18:Q18)</f>
        <v>0</v>
      </c>
      <c r="AS18" s="25">
        <f>AVERAGE(R18:T18)</f>
        <v>0</v>
      </c>
      <c r="AT18" s="25">
        <f>AVERAGE(U18:W18)</f>
        <v>0</v>
      </c>
      <c r="AU18" s="25">
        <f>AVERAGE(X18:Z18)</f>
        <v>0</v>
      </c>
      <c r="AV18" s="25">
        <f>AVERAGE(AA18:AC18)</f>
        <v>0</v>
      </c>
      <c r="AW18" s="25">
        <f>AVERAGE(AD18:AF18)</f>
        <v>0</v>
      </c>
      <c r="AX18" s="25">
        <f>AVERAGE(AG18:AI18)</f>
        <v>0</v>
      </c>
      <c r="AY18" s="25">
        <f>AVERAGE(AJ18:AL18)</f>
        <v>0</v>
      </c>
      <c r="BA18" s="25">
        <f>AVERAGE(C18:N18)</f>
        <v>0</v>
      </c>
      <c r="BB18" s="25">
        <f>AVERAGE(O18:Z18)</f>
        <v>0</v>
      </c>
      <c r="BC18" s="25">
        <f>AVERAGE(AA18:AL18)</f>
        <v>0</v>
      </c>
    </row>
    <row r="19" spans="1:55">
      <c r="A19" s="18" t="s">
        <v>245</v>
      </c>
      <c r="B19" s="16" t="s">
        <v>265</v>
      </c>
      <c r="C19" s="20">
        <f>'Revenue'!$C$42</f>
        <v>0</v>
      </c>
      <c r="D19" s="20">
        <f>'Revenue'!$D$42</f>
        <v>0</v>
      </c>
      <c r="E19" s="20">
        <f>'Revenue'!$E$42</f>
        <v>0</v>
      </c>
      <c r="F19" s="20">
        <f>'Revenue'!$F$42</f>
        <v>0</v>
      </c>
      <c r="G19" s="20">
        <f>'Revenue'!$G$42</f>
        <v>0</v>
      </c>
      <c r="H19" s="20">
        <f>'Revenue'!$H$42</f>
        <v>0</v>
      </c>
      <c r="I19" s="20">
        <f>'Revenue'!$I$42</f>
        <v>0</v>
      </c>
      <c r="J19" s="20">
        <f>'Revenue'!$J$42</f>
        <v>0</v>
      </c>
      <c r="K19" s="20">
        <f>'Revenue'!$K$42</f>
        <v>0</v>
      </c>
      <c r="L19" s="20">
        <f>'Revenue'!$L$42</f>
        <v>0</v>
      </c>
      <c r="M19" s="20">
        <f>'Revenue'!$M$42</f>
        <v>0</v>
      </c>
      <c r="N19" s="20">
        <f>'Revenue'!$N$42</f>
        <v>0</v>
      </c>
      <c r="O19" s="20">
        <f>'Revenue'!$O$42</f>
        <v>0</v>
      </c>
      <c r="P19" s="20">
        <f>'Revenue'!$P$42</f>
        <v>0</v>
      </c>
      <c r="Q19" s="20">
        <f>'Revenue'!$Q$42</f>
        <v>0</v>
      </c>
      <c r="R19" s="20">
        <f>'Revenue'!$R$42</f>
        <v>0</v>
      </c>
      <c r="S19" s="20">
        <f>'Revenue'!$S$42</f>
        <v>0</v>
      </c>
      <c r="T19" s="20">
        <f>'Revenue'!$T$42</f>
        <v>0</v>
      </c>
      <c r="U19" s="20">
        <f>'Revenue'!$U$42</f>
        <v>0</v>
      </c>
      <c r="V19" s="20">
        <f>'Revenue'!$V$42</f>
        <v>0</v>
      </c>
      <c r="W19" s="20">
        <f>'Revenue'!$W$42</f>
        <v>0</v>
      </c>
      <c r="X19" s="20">
        <f>'Revenue'!$X$42</f>
        <v>0</v>
      </c>
      <c r="Y19" s="20">
        <f>'Revenue'!$Y$42</f>
        <v>0</v>
      </c>
      <c r="Z19" s="20">
        <f>'Revenue'!$Z$42</f>
        <v>0</v>
      </c>
      <c r="AA19" s="20">
        <f>'Revenue'!$AA$42</f>
        <v>0</v>
      </c>
      <c r="AB19" s="20">
        <f>'Revenue'!$AB$42</f>
        <v>0</v>
      </c>
      <c r="AC19" s="20">
        <f>'Revenue'!$AC$42</f>
        <v>0</v>
      </c>
      <c r="AD19" s="20">
        <f>'Revenue'!$AD$42</f>
        <v>0</v>
      </c>
      <c r="AE19" s="20">
        <f>'Revenue'!$AE$42</f>
        <v>0</v>
      </c>
      <c r="AF19" s="20">
        <f>'Revenue'!$AF$42</f>
        <v>0</v>
      </c>
      <c r="AG19" s="20">
        <f>'Revenue'!$AG$42</f>
        <v>0</v>
      </c>
      <c r="AH19" s="20">
        <f>'Revenue'!$AH$42</f>
        <v>0</v>
      </c>
      <c r="AI19" s="20">
        <f>'Revenue'!$AI$42</f>
        <v>0</v>
      </c>
      <c r="AJ19" s="20">
        <f>'Revenue'!$AJ$42</f>
        <v>0</v>
      </c>
      <c r="AK19" s="20">
        <f>'Revenue'!$AK$42</f>
        <v>0</v>
      </c>
      <c r="AL19" s="20">
        <f>'Revenue'!$AL$42</f>
        <v>0</v>
      </c>
      <c r="AN19" s="20">
        <f>AVERAGE(C19:E19)</f>
        <v>0</v>
      </c>
      <c r="AO19" s="20">
        <f>AVERAGE(F19:H19)</f>
        <v>0</v>
      </c>
      <c r="AP19" s="20">
        <f>AVERAGE(I19:K19)</f>
        <v>0</v>
      </c>
      <c r="AQ19" s="20">
        <f>AVERAGE(L19:N19)</f>
        <v>0</v>
      </c>
      <c r="AR19" s="20">
        <f>AVERAGE(O19:Q19)</f>
        <v>0</v>
      </c>
      <c r="AS19" s="20">
        <f>AVERAGE(R19:T19)</f>
        <v>0</v>
      </c>
      <c r="AT19" s="20">
        <f>AVERAGE(U19:W19)</f>
        <v>0</v>
      </c>
      <c r="AU19" s="20">
        <f>AVERAGE(X19:Z19)</f>
        <v>0</v>
      </c>
      <c r="AV19" s="20">
        <f>AVERAGE(AA19:AC19)</f>
        <v>0</v>
      </c>
      <c r="AW19" s="20">
        <f>AVERAGE(AD19:AF19)</f>
        <v>0</v>
      </c>
      <c r="AX19" s="20">
        <f>AVERAGE(AG19:AI19)</f>
        <v>0</v>
      </c>
      <c r="AY19" s="20">
        <f>AVERAGE(AJ19:AL19)</f>
        <v>0</v>
      </c>
      <c r="BA19" s="20">
        <f>AVERAGE(C19:N19)</f>
        <v>0</v>
      </c>
      <c r="BB19" s="20">
        <f>AVERAGE(O19:Z19)</f>
        <v>0</v>
      </c>
      <c r="BC19" s="20">
        <f>AVERAGE(AA19:AL19)</f>
        <v>0</v>
      </c>
    </row>
    <row r="20" spans="1:55">
      <c r="A20" s="18" t="s">
        <v>266</v>
      </c>
      <c r="B20" s="16" t="s">
        <v>267</v>
      </c>
      <c r="C20" s="20">
        <f>IFERROR(C15/'Revenue'!C17,0)</f>
        <v>0</v>
      </c>
      <c r="D20" s="20">
        <f>IFERROR(D15/'Revenue'!D17,0)</f>
        <v>0</v>
      </c>
      <c r="E20" s="20">
        <f>IFERROR(E15/'Revenue'!E17,0)</f>
        <v>0</v>
      </c>
      <c r="F20" s="20">
        <f>IFERROR(F15/'Revenue'!F17,0)</f>
        <v>0</v>
      </c>
      <c r="G20" s="20">
        <f>IFERROR(G15/'Revenue'!G17,0)</f>
        <v>0</v>
      </c>
      <c r="H20" s="20">
        <f>IFERROR(H15/'Revenue'!H17,0)</f>
        <v>0</v>
      </c>
      <c r="I20" s="20">
        <f>IFERROR(I15/'Revenue'!I17,0)</f>
        <v>0</v>
      </c>
      <c r="J20" s="20">
        <f>IFERROR(J15/'Revenue'!J17,0)</f>
        <v>0</v>
      </c>
      <c r="K20" s="20">
        <f>IFERROR(K15/'Revenue'!K17,0)</f>
        <v>0</v>
      </c>
      <c r="L20" s="20">
        <f>IFERROR(L15/'Revenue'!L17,0)</f>
        <v>0</v>
      </c>
      <c r="M20" s="20">
        <f>IFERROR(M15/'Revenue'!M17,0)</f>
        <v>0</v>
      </c>
      <c r="N20" s="20">
        <f>IFERROR(N15/'Revenue'!N17,0)</f>
        <v>0</v>
      </c>
      <c r="O20" s="20">
        <f>IFERROR(O15/'Revenue'!O17,0)</f>
        <v>0</v>
      </c>
      <c r="P20" s="20">
        <f>IFERROR(P15/'Revenue'!P17,0)</f>
        <v>0</v>
      </c>
      <c r="Q20" s="20">
        <f>IFERROR(Q15/'Revenue'!Q17,0)</f>
        <v>0</v>
      </c>
      <c r="R20" s="20">
        <f>IFERROR(R15/'Revenue'!R17,0)</f>
        <v>0</v>
      </c>
      <c r="S20" s="20">
        <f>IFERROR(S15/'Revenue'!S17,0)</f>
        <v>0</v>
      </c>
      <c r="T20" s="20">
        <f>IFERROR(T15/'Revenue'!T17,0)</f>
        <v>0</v>
      </c>
      <c r="U20" s="20">
        <f>IFERROR(U15/'Revenue'!U17,0)</f>
        <v>0</v>
      </c>
      <c r="V20" s="20">
        <f>IFERROR(V15/'Revenue'!V17,0)</f>
        <v>0</v>
      </c>
      <c r="W20" s="20">
        <f>IFERROR(W15/'Revenue'!W17,0)</f>
        <v>0</v>
      </c>
      <c r="X20" s="20">
        <f>IFERROR(X15/'Revenue'!X17,0)</f>
        <v>0</v>
      </c>
      <c r="Y20" s="20">
        <f>IFERROR(Y15/'Revenue'!Y17,0)</f>
        <v>0</v>
      </c>
      <c r="Z20" s="20">
        <f>IFERROR(Z15/'Revenue'!Z17,0)</f>
        <v>0</v>
      </c>
      <c r="AA20" s="20">
        <f>IFERROR(AA15/'Revenue'!AA17,0)</f>
        <v>0</v>
      </c>
      <c r="AB20" s="20">
        <f>IFERROR(AB15/'Revenue'!AB17,0)</f>
        <v>0</v>
      </c>
      <c r="AC20" s="20">
        <f>IFERROR(AC15/'Revenue'!AC17,0)</f>
        <v>0</v>
      </c>
      <c r="AD20" s="20">
        <f>IFERROR(AD15/'Revenue'!AD17,0)</f>
        <v>0</v>
      </c>
      <c r="AE20" s="20">
        <f>IFERROR(AE15/'Revenue'!AE17,0)</f>
        <v>0</v>
      </c>
      <c r="AF20" s="20">
        <f>IFERROR(AF15/'Revenue'!AF17,0)</f>
        <v>0</v>
      </c>
      <c r="AG20" s="20">
        <f>IFERROR(AG15/'Revenue'!AG17,0)</f>
        <v>0</v>
      </c>
      <c r="AH20" s="20">
        <f>IFERROR(AH15/'Revenue'!AH17,0)</f>
        <v>0</v>
      </c>
      <c r="AI20" s="20">
        <f>IFERROR(AI15/'Revenue'!AI17,0)</f>
        <v>0</v>
      </c>
      <c r="AJ20" s="20">
        <f>IFERROR(AJ15/'Revenue'!AJ17,0)</f>
        <v>0</v>
      </c>
      <c r="AK20" s="20">
        <f>IFERROR(AK15/'Revenue'!AK17,0)</f>
        <v>0</v>
      </c>
      <c r="AL20" s="20">
        <f>IFERROR(AL15/'Revenue'!AL17,0)</f>
        <v>0</v>
      </c>
      <c r="AN20" s="20">
        <f>AVERAGE(C20:E20)</f>
        <v>0</v>
      </c>
      <c r="AO20" s="20">
        <f>AVERAGE(F20:H20)</f>
        <v>0</v>
      </c>
      <c r="AP20" s="20">
        <f>AVERAGE(I20:K20)</f>
        <v>0</v>
      </c>
      <c r="AQ20" s="20">
        <f>AVERAGE(L20:N20)</f>
        <v>0</v>
      </c>
      <c r="AR20" s="20">
        <f>AVERAGE(O20:Q20)</f>
        <v>0</v>
      </c>
      <c r="AS20" s="20">
        <f>AVERAGE(R20:T20)</f>
        <v>0</v>
      </c>
      <c r="AT20" s="20">
        <f>AVERAGE(U20:W20)</f>
        <v>0</v>
      </c>
      <c r="AU20" s="20">
        <f>AVERAGE(X20:Z20)</f>
        <v>0</v>
      </c>
      <c r="AV20" s="20">
        <f>AVERAGE(AA20:AC20)</f>
        <v>0</v>
      </c>
      <c r="AW20" s="20">
        <f>AVERAGE(AD20:AF20)</f>
        <v>0</v>
      </c>
      <c r="AX20" s="20">
        <f>AVERAGE(AG20:AI20)</f>
        <v>0</v>
      </c>
      <c r="AY20" s="20">
        <f>AVERAGE(AJ20:AL20)</f>
        <v>0</v>
      </c>
      <c r="BA20" s="20">
        <f>AVERAGE(C20:N20)</f>
        <v>0</v>
      </c>
      <c r="BB20" s="20">
        <f>AVERAGE(O20:Z20)</f>
        <v>0</v>
      </c>
      <c r="BC20" s="20">
        <f>AVERAGE(AA20:AL20)</f>
        <v>0</v>
      </c>
    </row>
    <row r="21" spans="1:55">
      <c r="A21" s="18" t="s">
        <v>76</v>
      </c>
      <c r="B21" s="16" t="s">
        <v>265</v>
      </c>
      <c r="C21" s="25">
        <f>'Revenue'!$C$45</f>
        <v>0</v>
      </c>
      <c r="D21" s="25">
        <f>'Revenue'!$D$45</f>
        <v>0</v>
      </c>
      <c r="E21" s="25">
        <f>'Revenue'!$E$45</f>
        <v>0</v>
      </c>
      <c r="F21" s="25">
        <f>'Revenue'!$F$45</f>
        <v>0</v>
      </c>
      <c r="G21" s="25">
        <f>'Revenue'!$G$45</f>
        <v>0</v>
      </c>
      <c r="H21" s="25">
        <f>'Revenue'!$H$45</f>
        <v>0</v>
      </c>
      <c r="I21" s="25">
        <f>'Revenue'!$I$45</f>
        <v>0</v>
      </c>
      <c r="J21" s="25">
        <f>'Revenue'!$J$45</f>
        <v>0</v>
      </c>
      <c r="K21" s="25">
        <f>'Revenue'!$K$45</f>
        <v>0</v>
      </c>
      <c r="L21" s="25">
        <f>'Revenue'!$L$45</f>
        <v>0</v>
      </c>
      <c r="M21" s="25">
        <f>'Revenue'!$M$45</f>
        <v>0</v>
      </c>
      <c r="N21" s="25">
        <f>'Revenue'!$N$45</f>
        <v>0</v>
      </c>
      <c r="O21" s="25">
        <f>'Revenue'!$O$45</f>
        <v>0</v>
      </c>
      <c r="P21" s="25">
        <f>'Revenue'!$P$45</f>
        <v>0</v>
      </c>
      <c r="Q21" s="25">
        <f>'Revenue'!$Q$45</f>
        <v>0</v>
      </c>
      <c r="R21" s="25">
        <f>'Revenue'!$R$45</f>
        <v>0</v>
      </c>
      <c r="S21" s="25">
        <f>'Revenue'!$S$45</f>
        <v>0</v>
      </c>
      <c r="T21" s="25">
        <f>'Revenue'!$T$45</f>
        <v>0</v>
      </c>
      <c r="U21" s="25">
        <f>'Revenue'!$U$45</f>
        <v>0</v>
      </c>
      <c r="V21" s="25">
        <f>'Revenue'!$V$45</f>
        <v>0</v>
      </c>
      <c r="W21" s="25">
        <f>'Revenue'!$W$45</f>
        <v>0</v>
      </c>
      <c r="X21" s="25">
        <f>'Revenue'!$X$45</f>
        <v>0</v>
      </c>
      <c r="Y21" s="25">
        <f>'Revenue'!$Y$45</f>
        <v>0</v>
      </c>
      <c r="Z21" s="25">
        <f>'Revenue'!$Z$45</f>
        <v>0</v>
      </c>
      <c r="AA21" s="25">
        <f>'Revenue'!$AA$45</f>
        <v>0</v>
      </c>
      <c r="AB21" s="25">
        <f>'Revenue'!$AB$45</f>
        <v>0</v>
      </c>
      <c r="AC21" s="25">
        <f>'Revenue'!$AC$45</f>
        <v>0</v>
      </c>
      <c r="AD21" s="25">
        <f>'Revenue'!$AD$45</f>
        <v>0</v>
      </c>
      <c r="AE21" s="25">
        <f>'Revenue'!$AE$45</f>
        <v>0</v>
      </c>
      <c r="AF21" s="25">
        <f>'Revenue'!$AF$45</f>
        <v>0</v>
      </c>
      <c r="AG21" s="25">
        <f>'Revenue'!$AG$45</f>
        <v>0</v>
      </c>
      <c r="AH21" s="25">
        <f>'Revenue'!$AH$45</f>
        <v>0</v>
      </c>
      <c r="AI21" s="25">
        <f>'Revenue'!$AI$45</f>
        <v>0</v>
      </c>
      <c r="AJ21" s="25">
        <f>'Revenue'!$AJ$45</f>
        <v>0</v>
      </c>
      <c r="AK21" s="25">
        <f>'Revenue'!$AK$45</f>
        <v>0</v>
      </c>
      <c r="AL21" s="25">
        <f>'Revenue'!$AL$45</f>
        <v>0</v>
      </c>
      <c r="AN21" s="25">
        <f>AVERAGE(C21:E21)</f>
        <v>0</v>
      </c>
      <c r="AO21" s="25">
        <f>AVERAGE(F21:H21)</f>
        <v>0</v>
      </c>
      <c r="AP21" s="25">
        <f>AVERAGE(I21:K21)</f>
        <v>0</v>
      </c>
      <c r="AQ21" s="25">
        <f>AVERAGE(L21:N21)</f>
        <v>0</v>
      </c>
      <c r="AR21" s="25">
        <f>AVERAGE(O21:Q21)</f>
        <v>0</v>
      </c>
      <c r="AS21" s="25">
        <f>AVERAGE(R21:T21)</f>
        <v>0</v>
      </c>
      <c r="AT21" s="25">
        <f>AVERAGE(U21:W21)</f>
        <v>0</v>
      </c>
      <c r="AU21" s="25">
        <f>AVERAGE(X21:Z21)</f>
        <v>0</v>
      </c>
      <c r="AV21" s="25">
        <f>AVERAGE(AA21:AC21)</f>
        <v>0</v>
      </c>
      <c r="AW21" s="25">
        <f>AVERAGE(AD21:AF21)</f>
        <v>0</v>
      </c>
      <c r="AX21" s="25">
        <f>AVERAGE(AG21:AI21)</f>
        <v>0</v>
      </c>
      <c r="AY21" s="25">
        <f>AVERAGE(AJ21:AL21)</f>
        <v>0</v>
      </c>
      <c r="BA21" s="25">
        <f>AVERAGE(C21:N21)</f>
        <v>0</v>
      </c>
      <c r="BB21" s="25">
        <f>AVERAGE(O21:Z21)</f>
        <v>0</v>
      </c>
      <c r="BC21" s="25">
        <f>AVERAGE(AA21:AL21)</f>
        <v>0</v>
      </c>
    </row>
    <row r="23" spans="1:55" ht="16" customHeight="1">
      <c r="A23" s="14" t="s">
        <v>393</v>
      </c>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row>
    <row r="24" spans="1:55">
      <c r="A24" s="18" t="s">
        <v>394</v>
      </c>
      <c r="B24" s="16" t="s">
        <v>395</v>
      </c>
      <c r="C24" s="34">
        <f>IF(ABS('P&amp;L'!C23)&lt;1,0,'Cash Flow'!C14/'P&amp;L'!C23)</f>
        <v>0</v>
      </c>
      <c r="D24" s="34">
        <f>IF(ABS('P&amp;L'!D23)&lt;1,0,'Cash Flow'!D14/'P&amp;L'!D23)</f>
        <v>0</v>
      </c>
      <c r="E24" s="34">
        <f>IF(ABS('P&amp;L'!E23)&lt;1,0,'Cash Flow'!E14/'P&amp;L'!E23)</f>
        <v>0</v>
      </c>
      <c r="F24" s="34">
        <f>IF(ABS('P&amp;L'!F23)&lt;1,0,'Cash Flow'!F14/'P&amp;L'!F23)</f>
        <v>0</v>
      </c>
      <c r="G24" s="34">
        <f>IF(ABS('P&amp;L'!G23)&lt;1,0,'Cash Flow'!G14/'P&amp;L'!G23)</f>
        <v>0</v>
      </c>
      <c r="H24" s="34">
        <f>IF(ABS('P&amp;L'!H23)&lt;1,0,'Cash Flow'!H14/'P&amp;L'!H23)</f>
        <v>0</v>
      </c>
      <c r="I24" s="34">
        <f>IF(ABS('P&amp;L'!I23)&lt;1,0,'Cash Flow'!I14/'P&amp;L'!I23)</f>
        <v>0</v>
      </c>
      <c r="J24" s="34">
        <f>IF(ABS('P&amp;L'!J23)&lt;1,0,'Cash Flow'!J14/'P&amp;L'!J23)</f>
        <v>0</v>
      </c>
      <c r="K24" s="34">
        <f>IF(ABS('P&amp;L'!K23)&lt;1,0,'Cash Flow'!K14/'P&amp;L'!K23)</f>
        <v>0</v>
      </c>
      <c r="L24" s="34">
        <f>IF(ABS('P&amp;L'!L23)&lt;1,0,'Cash Flow'!L14/'P&amp;L'!L23)</f>
        <v>0</v>
      </c>
      <c r="M24" s="34">
        <f>IF(ABS('P&amp;L'!M23)&lt;1,0,'Cash Flow'!M14/'P&amp;L'!M23)</f>
        <v>0</v>
      </c>
      <c r="N24" s="34">
        <f>IF(ABS('P&amp;L'!N23)&lt;1,0,'Cash Flow'!N14/'P&amp;L'!N23)</f>
        <v>0</v>
      </c>
      <c r="O24" s="34">
        <f>IF(ABS('P&amp;L'!O23)&lt;1,0,'Cash Flow'!O14/'P&amp;L'!O23)</f>
        <v>0</v>
      </c>
      <c r="P24" s="34">
        <f>IF(ABS('P&amp;L'!P23)&lt;1,0,'Cash Flow'!P14/'P&amp;L'!P23)</f>
        <v>0</v>
      </c>
      <c r="Q24" s="34">
        <f>IF(ABS('P&amp;L'!Q23)&lt;1,0,'Cash Flow'!Q14/'P&amp;L'!Q23)</f>
        <v>0</v>
      </c>
      <c r="R24" s="34">
        <f>IF(ABS('P&amp;L'!R23)&lt;1,0,'Cash Flow'!R14/'P&amp;L'!R23)</f>
        <v>0</v>
      </c>
      <c r="S24" s="34">
        <f>IF(ABS('P&amp;L'!S23)&lt;1,0,'Cash Flow'!S14/'P&amp;L'!S23)</f>
        <v>0</v>
      </c>
      <c r="T24" s="34">
        <f>IF(ABS('P&amp;L'!T23)&lt;1,0,'Cash Flow'!T14/'P&amp;L'!T23)</f>
        <v>0</v>
      </c>
      <c r="U24" s="34">
        <f>IF(ABS('P&amp;L'!U23)&lt;1,0,'Cash Flow'!U14/'P&amp;L'!U23)</f>
        <v>0</v>
      </c>
      <c r="V24" s="34">
        <f>IF(ABS('P&amp;L'!V23)&lt;1,0,'Cash Flow'!V14/'P&amp;L'!V23)</f>
        <v>0</v>
      </c>
      <c r="W24" s="34">
        <f>IF(ABS('P&amp;L'!W23)&lt;1,0,'Cash Flow'!W14/'P&amp;L'!W23)</f>
        <v>0</v>
      </c>
      <c r="X24" s="34">
        <f>IF(ABS('P&amp;L'!X23)&lt;1,0,'Cash Flow'!X14/'P&amp;L'!X23)</f>
        <v>0</v>
      </c>
      <c r="Y24" s="34">
        <f>IF(ABS('P&amp;L'!Y23)&lt;1,0,'Cash Flow'!Y14/'P&amp;L'!Y23)</f>
        <v>0</v>
      </c>
      <c r="Z24" s="34">
        <f>IF(ABS('P&amp;L'!Z23)&lt;1,0,'Cash Flow'!Z14/'P&amp;L'!Z23)</f>
        <v>0</v>
      </c>
      <c r="AA24" s="34">
        <f>IF(ABS('P&amp;L'!AA23)&lt;1,0,'Cash Flow'!AA14/'P&amp;L'!AA23)</f>
        <v>0</v>
      </c>
      <c r="AB24" s="34">
        <f>IF(ABS('P&amp;L'!AB23)&lt;1,0,'Cash Flow'!AB14/'P&amp;L'!AB23)</f>
        <v>0</v>
      </c>
      <c r="AC24" s="34">
        <f>IF(ABS('P&amp;L'!AC23)&lt;1,0,'Cash Flow'!AC14/'P&amp;L'!AC23)</f>
        <v>0</v>
      </c>
      <c r="AD24" s="34">
        <f>IF(ABS('P&amp;L'!AD23)&lt;1,0,'Cash Flow'!AD14/'P&amp;L'!AD23)</f>
        <v>0</v>
      </c>
      <c r="AE24" s="34">
        <f>IF(ABS('P&amp;L'!AE23)&lt;1,0,'Cash Flow'!AE14/'P&amp;L'!AE23)</f>
        <v>0</v>
      </c>
      <c r="AF24" s="34">
        <f>IF(ABS('P&amp;L'!AF23)&lt;1,0,'Cash Flow'!AF14/'P&amp;L'!AF23)</f>
        <v>0</v>
      </c>
      <c r="AG24" s="34">
        <f>IF(ABS('P&amp;L'!AG23)&lt;1,0,'Cash Flow'!AG14/'P&amp;L'!AG23)</f>
        <v>0</v>
      </c>
      <c r="AH24" s="34">
        <f>IF(ABS('P&amp;L'!AH23)&lt;1,0,'Cash Flow'!AH14/'P&amp;L'!AH23)</f>
        <v>0</v>
      </c>
      <c r="AI24" s="34">
        <f>IF(ABS('P&amp;L'!AI23)&lt;1,0,'Cash Flow'!AI14/'P&amp;L'!AI23)</f>
        <v>0</v>
      </c>
      <c r="AJ24" s="34">
        <f>IF(ABS('P&amp;L'!AJ23)&lt;1,0,'Cash Flow'!AJ14/'P&amp;L'!AJ23)</f>
        <v>0</v>
      </c>
      <c r="AK24" s="34">
        <f>IF(ABS('P&amp;L'!AK23)&lt;1,0,'Cash Flow'!AK14/'P&amp;L'!AK23)</f>
        <v>0</v>
      </c>
      <c r="AL24" s="34">
        <f>IF(ABS('P&amp;L'!AL23)&lt;1,0,'Cash Flow'!AL14/'P&amp;L'!AL23)</f>
        <v>0</v>
      </c>
      <c r="AN24" s="34">
        <f>AVERAGE(C24:E24)</f>
        <v>0</v>
      </c>
      <c r="AO24" s="34">
        <f>AVERAGE(F24:H24)</f>
        <v>0</v>
      </c>
      <c r="AP24" s="34">
        <f>AVERAGE(I24:K24)</f>
        <v>0</v>
      </c>
      <c r="AQ24" s="34">
        <f>AVERAGE(L24:N24)</f>
        <v>0</v>
      </c>
      <c r="AR24" s="34">
        <f>AVERAGE(O24:Q24)</f>
        <v>0</v>
      </c>
      <c r="AS24" s="34">
        <f>AVERAGE(R24:T24)</f>
        <v>0</v>
      </c>
      <c r="AT24" s="34">
        <f>AVERAGE(U24:W24)</f>
        <v>0</v>
      </c>
      <c r="AU24" s="34">
        <f>AVERAGE(X24:Z24)</f>
        <v>0</v>
      </c>
      <c r="AV24" s="34">
        <f>AVERAGE(AA24:AC24)</f>
        <v>0</v>
      </c>
      <c r="AW24" s="34">
        <f>AVERAGE(AD24:AF24)</f>
        <v>0</v>
      </c>
      <c r="AX24" s="34">
        <f>AVERAGE(AG24:AI24)</f>
        <v>0</v>
      </c>
      <c r="AY24" s="34">
        <f>AVERAGE(AJ24:AL24)</f>
        <v>0</v>
      </c>
      <c r="BA24" s="34">
        <f>AVERAGE(C24:N24)</f>
        <v>0</v>
      </c>
      <c r="BB24" s="34">
        <f>AVERAGE(O24:Z24)</f>
        <v>0</v>
      </c>
      <c r="BC24" s="34">
        <f>AVERAGE(AA24:AL24)</f>
        <v>0</v>
      </c>
    </row>
  </sheetData>
  <mergeCells count="8">
    <mergeCell ref="A1:BC1"/>
    <mergeCell ref="A2:BC2"/>
    <mergeCell ref="C5:AL5"/>
    <mergeCell ref="AN5:AY5"/>
    <mergeCell ref="BA5:BC5"/>
    <mergeCell ref="A7:BC7"/>
    <mergeCell ref="A14:BC14"/>
    <mergeCell ref="A23:BC23"/>
  </mergeCells>
  <pageMargins left="0.7" right="0.7" top="0.75" bottom="0.75" header="0.3" footer="0.3"/>
  <pageSetup paperSize="9" scale="55" orientation="landscape"/>
</worksheet>
</file>

<file path=xl/worksheets/sheet6.xml><?xml version="1.0" encoding="utf-8"?>
<worksheet xmlns="http://schemas.openxmlformats.org/spreadsheetml/2006/main" xmlns:r="http://schemas.openxmlformats.org/officeDocument/2006/relationships">
  <dimension ref="A1:BC20"/>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268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269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270</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271</v>
      </c>
      <c r="B8" s="16" t="s">
        <v>191</v>
      </c>
      <c r="C8" s="20">
        <f>'Headcount'!$C$24</f>
        <v>0</v>
      </c>
      <c r="D8" s="20">
        <f>'Headcount'!$D$24</f>
        <v>0</v>
      </c>
      <c r="E8" s="20">
        <f>'Headcount'!$E$24</f>
        <v>0</v>
      </c>
      <c r="F8" s="20">
        <f>'Headcount'!$F$24</f>
        <v>0</v>
      </c>
      <c r="G8" s="20">
        <f>'Headcount'!$G$24</f>
        <v>0</v>
      </c>
      <c r="H8" s="20">
        <f>'Headcount'!$H$24</f>
        <v>0</v>
      </c>
      <c r="I8" s="20">
        <f>'Headcount'!$I$24</f>
        <v>0</v>
      </c>
      <c r="J8" s="20">
        <f>'Headcount'!$J$24</f>
        <v>0</v>
      </c>
      <c r="K8" s="20">
        <f>'Headcount'!$K$24</f>
        <v>0</v>
      </c>
      <c r="L8" s="20">
        <f>'Headcount'!$L$24</f>
        <v>0</v>
      </c>
      <c r="M8" s="20">
        <f>'Headcount'!$M$24</f>
        <v>0</v>
      </c>
      <c r="N8" s="20">
        <f>'Headcount'!$N$24</f>
        <v>0</v>
      </c>
      <c r="O8" s="20">
        <f>'Headcount'!$O$24</f>
        <v>0</v>
      </c>
      <c r="P8" s="20">
        <f>'Headcount'!$P$24</f>
        <v>0</v>
      </c>
      <c r="Q8" s="20">
        <f>'Headcount'!$Q$24</f>
        <v>0</v>
      </c>
      <c r="R8" s="20">
        <f>'Headcount'!$R$24</f>
        <v>0</v>
      </c>
      <c r="S8" s="20">
        <f>'Headcount'!$S$24</f>
        <v>0</v>
      </c>
      <c r="T8" s="20">
        <f>'Headcount'!$T$24</f>
        <v>0</v>
      </c>
      <c r="U8" s="20">
        <f>'Headcount'!$U$24</f>
        <v>0</v>
      </c>
      <c r="V8" s="20">
        <f>'Headcount'!$V$24</f>
        <v>0</v>
      </c>
      <c r="W8" s="20">
        <f>'Headcount'!$W$24</f>
        <v>0</v>
      </c>
      <c r="X8" s="20">
        <f>'Headcount'!$X$24</f>
        <v>0</v>
      </c>
      <c r="Y8" s="20">
        <f>'Headcount'!$Y$24</f>
        <v>0</v>
      </c>
      <c r="Z8" s="20">
        <f>'Headcount'!$Z$24</f>
        <v>0</v>
      </c>
      <c r="AA8" s="20">
        <f>'Headcount'!$AA$24</f>
        <v>0</v>
      </c>
      <c r="AB8" s="20">
        <f>'Headcount'!$AB$24</f>
        <v>0</v>
      </c>
      <c r="AC8" s="20">
        <f>'Headcount'!$AC$24</f>
        <v>0</v>
      </c>
      <c r="AD8" s="20">
        <f>'Headcount'!$AD$24</f>
        <v>0</v>
      </c>
      <c r="AE8" s="20">
        <f>'Headcount'!$AE$24</f>
        <v>0</v>
      </c>
      <c r="AF8" s="20">
        <f>'Headcount'!$AF$24</f>
        <v>0</v>
      </c>
      <c r="AG8" s="20">
        <f>'Headcount'!$AG$24</f>
        <v>0</v>
      </c>
      <c r="AH8" s="20">
        <f>'Headcount'!$AH$24</f>
        <v>0</v>
      </c>
      <c r="AI8" s="20">
        <f>'Headcount'!$AI$24</f>
        <v>0</v>
      </c>
      <c r="AJ8" s="20">
        <f>'Headcount'!$AJ$24</f>
        <v>0</v>
      </c>
      <c r="AK8" s="20">
        <f>'Headcount'!$AK$24</f>
        <v>0</v>
      </c>
      <c r="AL8" s="20">
        <f>'Headcount'!$AL$24</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272</v>
      </c>
      <c r="B9" s="16" t="s">
        <v>273</v>
      </c>
      <c r="C9" s="20">
        <f>'Revenue'!C14*'Assumptions'!$F$54</f>
        <v>0</v>
      </c>
      <c r="D9" s="20">
        <f>'Revenue'!D14*'Assumptions'!$F$54</f>
        <v>0</v>
      </c>
      <c r="E9" s="20">
        <f>'Revenue'!E14*'Assumptions'!$F$54</f>
        <v>0</v>
      </c>
      <c r="F9" s="20">
        <f>'Revenue'!F14*'Assumptions'!$F$54</f>
        <v>0</v>
      </c>
      <c r="G9" s="20">
        <f>'Revenue'!G14*'Assumptions'!$F$54</f>
        <v>0</v>
      </c>
      <c r="H9" s="20">
        <f>'Revenue'!H14*'Assumptions'!$F$54</f>
        <v>0</v>
      </c>
      <c r="I9" s="20">
        <f>'Revenue'!I14*'Assumptions'!$F$54</f>
        <v>0</v>
      </c>
      <c r="J9" s="20">
        <f>'Revenue'!J14*'Assumptions'!$F$54</f>
        <v>0</v>
      </c>
      <c r="K9" s="20">
        <f>'Revenue'!K14*'Assumptions'!$F$54</f>
        <v>0</v>
      </c>
      <c r="L9" s="20">
        <f>'Revenue'!L14*'Assumptions'!$F$54</f>
        <v>0</v>
      </c>
      <c r="M9" s="20">
        <f>'Revenue'!M14*'Assumptions'!$F$54</f>
        <v>0</v>
      </c>
      <c r="N9" s="20">
        <f>'Revenue'!N14*'Assumptions'!$F$54</f>
        <v>0</v>
      </c>
      <c r="O9" s="20">
        <f>'Revenue'!O14*'Assumptions'!$F$54</f>
        <v>0</v>
      </c>
      <c r="P9" s="20">
        <f>'Revenue'!P14*'Assumptions'!$F$54</f>
        <v>0</v>
      </c>
      <c r="Q9" s="20">
        <f>'Revenue'!Q14*'Assumptions'!$F$54</f>
        <v>0</v>
      </c>
      <c r="R9" s="20">
        <f>'Revenue'!R14*'Assumptions'!$F$54</f>
        <v>0</v>
      </c>
      <c r="S9" s="20">
        <f>'Revenue'!S14*'Assumptions'!$F$54</f>
        <v>0</v>
      </c>
      <c r="T9" s="20">
        <f>'Revenue'!T14*'Assumptions'!$F$54</f>
        <v>0</v>
      </c>
      <c r="U9" s="20">
        <f>'Revenue'!U14*'Assumptions'!$F$54</f>
        <v>0</v>
      </c>
      <c r="V9" s="20">
        <f>'Revenue'!V14*'Assumptions'!$F$54</f>
        <v>0</v>
      </c>
      <c r="W9" s="20">
        <f>'Revenue'!W14*'Assumptions'!$F$54</f>
        <v>0</v>
      </c>
      <c r="X9" s="20">
        <f>'Revenue'!X14*'Assumptions'!$F$54</f>
        <v>0</v>
      </c>
      <c r="Y9" s="20">
        <f>'Revenue'!Y14*'Assumptions'!$F$54</f>
        <v>0</v>
      </c>
      <c r="Z9" s="20">
        <f>'Revenue'!Z14*'Assumptions'!$F$54</f>
        <v>0</v>
      </c>
      <c r="AA9" s="20">
        <f>'Revenue'!AA14*'Assumptions'!$F$54</f>
        <v>0</v>
      </c>
      <c r="AB9" s="20">
        <f>'Revenue'!AB14*'Assumptions'!$F$54</f>
        <v>0</v>
      </c>
      <c r="AC9" s="20">
        <f>'Revenue'!AC14*'Assumptions'!$F$54</f>
        <v>0</v>
      </c>
      <c r="AD9" s="20">
        <f>'Revenue'!AD14*'Assumptions'!$F$54</f>
        <v>0</v>
      </c>
      <c r="AE9" s="20">
        <f>'Revenue'!AE14*'Assumptions'!$F$54</f>
        <v>0</v>
      </c>
      <c r="AF9" s="20">
        <f>'Revenue'!AF14*'Assumptions'!$F$54</f>
        <v>0</v>
      </c>
      <c r="AG9" s="20">
        <f>'Revenue'!AG14*'Assumptions'!$F$54</f>
        <v>0</v>
      </c>
      <c r="AH9" s="20">
        <f>'Revenue'!AH14*'Assumptions'!$F$54</f>
        <v>0</v>
      </c>
      <c r="AI9" s="20">
        <f>'Revenue'!AI14*'Assumptions'!$F$54</f>
        <v>0</v>
      </c>
      <c r="AJ9" s="20">
        <f>'Revenue'!AJ14*'Assumptions'!$F$54</f>
        <v>0</v>
      </c>
      <c r="AK9" s="20">
        <f>'Revenue'!AK14*'Assumptions'!$F$54</f>
        <v>0</v>
      </c>
      <c r="AL9" s="20">
        <f>'Revenue'!AL14*'Assumptions'!$F$54</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274</v>
      </c>
      <c r="B10" s="16" t="s">
        <v>275</v>
      </c>
      <c r="C10" s="20">
        <f>'Assumptions'!$F$55*(1+'Assumptions'!$F$56)^0</f>
        <v>0</v>
      </c>
      <c r="D10" s="20">
        <f>'Assumptions'!$F$55*(1+'Assumptions'!$F$56)^1</f>
        <v>0</v>
      </c>
      <c r="E10" s="20">
        <f>'Assumptions'!$F$55*(1+'Assumptions'!$F$56)^2</f>
        <v>0</v>
      </c>
      <c r="F10" s="20">
        <f>'Assumptions'!$F$55*(1+'Assumptions'!$F$56)^3</f>
        <v>0</v>
      </c>
      <c r="G10" s="20">
        <f>'Assumptions'!$F$55*(1+'Assumptions'!$F$56)^4</f>
        <v>0</v>
      </c>
      <c r="H10" s="20">
        <f>'Assumptions'!$F$55*(1+'Assumptions'!$F$56)^5</f>
        <v>0</v>
      </c>
      <c r="I10" s="20">
        <f>'Assumptions'!$F$55*(1+'Assumptions'!$F$56)^6</f>
        <v>0</v>
      </c>
      <c r="J10" s="20">
        <f>'Assumptions'!$F$55*(1+'Assumptions'!$F$56)^7</f>
        <v>0</v>
      </c>
      <c r="K10" s="20">
        <f>'Assumptions'!$F$55*(1+'Assumptions'!$F$56)^8</f>
        <v>0</v>
      </c>
      <c r="L10" s="20">
        <f>'Assumptions'!$F$55*(1+'Assumptions'!$F$56)^9</f>
        <v>0</v>
      </c>
      <c r="M10" s="20">
        <f>'Assumptions'!$F$55*(1+'Assumptions'!$F$56)^10</f>
        <v>0</v>
      </c>
      <c r="N10" s="20">
        <f>'Assumptions'!$F$55*(1+'Assumptions'!$F$56)^11</f>
        <v>0</v>
      </c>
      <c r="O10" s="20">
        <f>'Assumptions'!$F$55*(1+'Assumptions'!$F$56)^12</f>
        <v>0</v>
      </c>
      <c r="P10" s="20">
        <f>'Assumptions'!$F$55*(1+'Assumptions'!$F$56)^13</f>
        <v>0</v>
      </c>
      <c r="Q10" s="20">
        <f>'Assumptions'!$F$55*(1+'Assumptions'!$F$56)^14</f>
        <v>0</v>
      </c>
      <c r="R10" s="20">
        <f>'Assumptions'!$F$55*(1+'Assumptions'!$F$56)^15</f>
        <v>0</v>
      </c>
      <c r="S10" s="20">
        <f>'Assumptions'!$F$55*(1+'Assumptions'!$F$56)^16</f>
        <v>0</v>
      </c>
      <c r="T10" s="20">
        <f>'Assumptions'!$F$55*(1+'Assumptions'!$F$56)^17</f>
        <v>0</v>
      </c>
      <c r="U10" s="20">
        <f>'Assumptions'!$F$55*(1+'Assumptions'!$F$56)^18</f>
        <v>0</v>
      </c>
      <c r="V10" s="20">
        <f>'Assumptions'!$F$55*(1+'Assumptions'!$F$56)^19</f>
        <v>0</v>
      </c>
      <c r="W10" s="20">
        <f>'Assumptions'!$F$55*(1+'Assumptions'!$F$56)^20</f>
        <v>0</v>
      </c>
      <c r="X10" s="20">
        <f>'Assumptions'!$F$55*(1+'Assumptions'!$F$56)^21</f>
        <v>0</v>
      </c>
      <c r="Y10" s="20">
        <f>'Assumptions'!$F$55*(1+'Assumptions'!$F$56)^22</f>
        <v>0</v>
      </c>
      <c r="Z10" s="20">
        <f>'Assumptions'!$F$55*(1+'Assumptions'!$F$56)^23</f>
        <v>0</v>
      </c>
      <c r="AA10" s="20">
        <f>'Assumptions'!$F$55*(1+'Assumptions'!$F$56)^24</f>
        <v>0</v>
      </c>
      <c r="AB10" s="20">
        <f>'Assumptions'!$F$55*(1+'Assumptions'!$F$56)^25</f>
        <v>0</v>
      </c>
      <c r="AC10" s="20">
        <f>'Assumptions'!$F$55*(1+'Assumptions'!$F$56)^26</f>
        <v>0</v>
      </c>
      <c r="AD10" s="20">
        <f>'Assumptions'!$F$55*(1+'Assumptions'!$F$56)^27</f>
        <v>0</v>
      </c>
      <c r="AE10" s="20">
        <f>'Assumptions'!$F$55*(1+'Assumptions'!$F$56)^28</f>
        <v>0</v>
      </c>
      <c r="AF10" s="20">
        <f>'Assumptions'!$F$55*(1+'Assumptions'!$F$56)^29</f>
        <v>0</v>
      </c>
      <c r="AG10" s="20">
        <f>'Assumptions'!$F$55*(1+'Assumptions'!$F$56)^30</f>
        <v>0</v>
      </c>
      <c r="AH10" s="20">
        <f>'Assumptions'!$F$55*(1+'Assumptions'!$F$56)^31</f>
        <v>0</v>
      </c>
      <c r="AI10" s="20">
        <f>'Assumptions'!$F$55*(1+'Assumptions'!$F$56)^32</f>
        <v>0</v>
      </c>
      <c r="AJ10" s="20">
        <f>'Assumptions'!$F$55*(1+'Assumptions'!$F$56)^33</f>
        <v>0</v>
      </c>
      <c r="AK10" s="20">
        <f>'Assumptions'!$F$55*(1+'Assumptions'!$F$56)^34</f>
        <v>0</v>
      </c>
      <c r="AL10" s="20">
        <f>'Assumptions'!$F$55*(1+'Assumptions'!$F$56)^35</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28" t="s">
        <v>276</v>
      </c>
      <c r="B11" s="16"/>
      <c r="C11" s="29">
        <f>C8+C9+C10</f>
        <v>0</v>
      </c>
      <c r="D11" s="29">
        <f>D8+D9+D10</f>
        <v>0</v>
      </c>
      <c r="E11" s="29">
        <f>E8+E9+E10</f>
        <v>0</v>
      </c>
      <c r="F11" s="29">
        <f>F8+F9+F10</f>
        <v>0</v>
      </c>
      <c r="G11" s="29">
        <f>G8+G9+G10</f>
        <v>0</v>
      </c>
      <c r="H11" s="29">
        <f>H8+H9+H10</f>
        <v>0</v>
      </c>
      <c r="I11" s="29">
        <f>I8+I9+I10</f>
        <v>0</v>
      </c>
      <c r="J11" s="29">
        <f>J8+J9+J10</f>
        <v>0</v>
      </c>
      <c r="K11" s="29">
        <f>K8+K9+K10</f>
        <v>0</v>
      </c>
      <c r="L11" s="29">
        <f>L8+L9+L10</f>
        <v>0</v>
      </c>
      <c r="M11" s="29">
        <f>M8+M9+M10</f>
        <v>0</v>
      </c>
      <c r="N11" s="29">
        <f>N8+N9+N10</f>
        <v>0</v>
      </c>
      <c r="O11" s="29">
        <f>O8+O9+O10</f>
        <v>0</v>
      </c>
      <c r="P11" s="29">
        <f>P8+P9+P10</f>
        <v>0</v>
      </c>
      <c r="Q11" s="29">
        <f>Q8+Q9+Q10</f>
        <v>0</v>
      </c>
      <c r="R11" s="29">
        <f>R8+R9+R10</f>
        <v>0</v>
      </c>
      <c r="S11" s="29">
        <f>S8+S9+S10</f>
        <v>0</v>
      </c>
      <c r="T11" s="29">
        <f>T8+T9+T10</f>
        <v>0</v>
      </c>
      <c r="U11" s="29">
        <f>U8+U9+U10</f>
        <v>0</v>
      </c>
      <c r="V11" s="29">
        <f>V8+V9+V10</f>
        <v>0</v>
      </c>
      <c r="W11" s="29">
        <f>W8+W9+W10</f>
        <v>0</v>
      </c>
      <c r="X11" s="29">
        <f>X8+X9+X10</f>
        <v>0</v>
      </c>
      <c r="Y11" s="29">
        <f>Y8+Y9+Y10</f>
        <v>0</v>
      </c>
      <c r="Z11" s="29">
        <f>Z8+Z9+Z10</f>
        <v>0</v>
      </c>
      <c r="AA11" s="29">
        <f>AA8+AA9+AA10</f>
        <v>0</v>
      </c>
      <c r="AB11" s="29">
        <f>AB8+AB9+AB10</f>
        <v>0</v>
      </c>
      <c r="AC11" s="29">
        <f>AC8+AC9+AC10</f>
        <v>0</v>
      </c>
      <c r="AD11" s="29">
        <f>AD8+AD9+AD10</f>
        <v>0</v>
      </c>
      <c r="AE11" s="29">
        <f>AE8+AE9+AE10</f>
        <v>0</v>
      </c>
      <c r="AF11" s="29">
        <f>AF8+AF9+AF10</f>
        <v>0</v>
      </c>
      <c r="AG11" s="29">
        <f>AG8+AG9+AG10</f>
        <v>0</v>
      </c>
      <c r="AH11" s="29">
        <f>AH8+AH9+AH10</f>
        <v>0</v>
      </c>
      <c r="AI11" s="29">
        <f>AI8+AI9+AI10</f>
        <v>0</v>
      </c>
      <c r="AJ11" s="29">
        <f>AJ8+AJ9+AJ10</f>
        <v>0</v>
      </c>
      <c r="AK11" s="29">
        <f>AK8+AK9+AK10</f>
        <v>0</v>
      </c>
      <c r="AL11" s="29">
        <f>AL8+AL9+AL10</f>
        <v>0</v>
      </c>
      <c r="AN11" s="29">
        <f>SUM(C11:E11)</f>
        <v>0</v>
      </c>
      <c r="AO11" s="29">
        <f>SUM(F11:H11)</f>
        <v>0</v>
      </c>
      <c r="AP11" s="29">
        <f>SUM(I11:K11)</f>
        <v>0</v>
      </c>
      <c r="AQ11" s="29">
        <f>SUM(L11:N11)</f>
        <v>0</v>
      </c>
      <c r="AR11" s="29">
        <f>SUM(O11:Q11)</f>
        <v>0</v>
      </c>
      <c r="AS11" s="29">
        <f>SUM(R11:T11)</f>
        <v>0</v>
      </c>
      <c r="AT11" s="29">
        <f>SUM(U11:W11)</f>
        <v>0</v>
      </c>
      <c r="AU11" s="29">
        <f>SUM(X11:Z11)</f>
        <v>0</v>
      </c>
      <c r="AV11" s="29">
        <f>SUM(AA11:AC11)</f>
        <v>0</v>
      </c>
      <c r="AW11" s="29">
        <f>SUM(AD11:AF11)</f>
        <v>0</v>
      </c>
      <c r="AX11" s="29">
        <f>SUM(AG11:AI11)</f>
        <v>0</v>
      </c>
      <c r="AY11" s="29">
        <f>SUM(AJ11:AL11)</f>
        <v>0</v>
      </c>
      <c r="BA11" s="29">
        <f>SUM(C11:N11)</f>
        <v>0</v>
      </c>
      <c r="BB11" s="29">
        <f>SUM(O11:Z11)</f>
        <v>0</v>
      </c>
      <c r="BC11" s="29">
        <f>SUM(AA11:AL11)</f>
        <v>0</v>
      </c>
    </row>
    <row r="12" spans="1:55" ht="5" customHeight="1"/>
    <row r="13" spans="1:55" ht="16" customHeight="1">
      <c r="A13" s="14" t="s">
        <v>277</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row>
    <row r="14" spans="1:55">
      <c r="A14" s="18" t="s">
        <v>278</v>
      </c>
      <c r="B14" s="16" t="s">
        <v>191</v>
      </c>
      <c r="C14" s="20">
        <f>'Headcount'!$C$23</f>
        <v>0</v>
      </c>
      <c r="D14" s="20">
        <f>'Headcount'!$D$23</f>
        <v>0</v>
      </c>
      <c r="E14" s="20">
        <f>'Headcount'!$E$23</f>
        <v>0</v>
      </c>
      <c r="F14" s="20">
        <f>'Headcount'!$F$23</f>
        <v>0</v>
      </c>
      <c r="G14" s="20">
        <f>'Headcount'!$G$23</f>
        <v>0</v>
      </c>
      <c r="H14" s="20">
        <f>'Headcount'!$H$23</f>
        <v>0</v>
      </c>
      <c r="I14" s="20">
        <f>'Headcount'!$I$23</f>
        <v>0</v>
      </c>
      <c r="J14" s="20">
        <f>'Headcount'!$J$23</f>
        <v>0</v>
      </c>
      <c r="K14" s="20">
        <f>'Headcount'!$K$23</f>
        <v>0</v>
      </c>
      <c r="L14" s="20">
        <f>'Headcount'!$L$23</f>
        <v>0</v>
      </c>
      <c r="M14" s="20">
        <f>'Headcount'!$M$23</f>
        <v>0</v>
      </c>
      <c r="N14" s="20">
        <f>'Headcount'!$N$23</f>
        <v>0</v>
      </c>
      <c r="O14" s="20">
        <f>'Headcount'!$O$23</f>
        <v>0</v>
      </c>
      <c r="P14" s="20">
        <f>'Headcount'!$P$23</f>
        <v>0</v>
      </c>
      <c r="Q14" s="20">
        <f>'Headcount'!$Q$23</f>
        <v>0</v>
      </c>
      <c r="R14" s="20">
        <f>'Headcount'!$R$23</f>
        <v>0</v>
      </c>
      <c r="S14" s="20">
        <f>'Headcount'!$S$23</f>
        <v>0</v>
      </c>
      <c r="T14" s="20">
        <f>'Headcount'!$T$23</f>
        <v>0</v>
      </c>
      <c r="U14" s="20">
        <f>'Headcount'!$U$23</f>
        <v>0</v>
      </c>
      <c r="V14" s="20">
        <f>'Headcount'!$V$23</f>
        <v>0</v>
      </c>
      <c r="W14" s="20">
        <f>'Headcount'!$W$23</f>
        <v>0</v>
      </c>
      <c r="X14" s="20">
        <f>'Headcount'!$X$23</f>
        <v>0</v>
      </c>
      <c r="Y14" s="20">
        <f>'Headcount'!$Y$23</f>
        <v>0</v>
      </c>
      <c r="Z14" s="20">
        <f>'Headcount'!$Z$23</f>
        <v>0</v>
      </c>
      <c r="AA14" s="20">
        <f>'Headcount'!$AA$23</f>
        <v>0</v>
      </c>
      <c r="AB14" s="20">
        <f>'Headcount'!$AB$23</f>
        <v>0</v>
      </c>
      <c r="AC14" s="20">
        <f>'Headcount'!$AC$23</f>
        <v>0</v>
      </c>
      <c r="AD14" s="20">
        <f>'Headcount'!$AD$23</f>
        <v>0</v>
      </c>
      <c r="AE14" s="20">
        <f>'Headcount'!$AE$23</f>
        <v>0</v>
      </c>
      <c r="AF14" s="20">
        <f>'Headcount'!$AF$23</f>
        <v>0</v>
      </c>
      <c r="AG14" s="20">
        <f>'Headcount'!$AG$23</f>
        <v>0</v>
      </c>
      <c r="AH14" s="20">
        <f>'Headcount'!$AH$23</f>
        <v>0</v>
      </c>
      <c r="AI14" s="20">
        <f>'Headcount'!$AI$23</f>
        <v>0</v>
      </c>
      <c r="AJ14" s="20">
        <f>'Headcount'!$AJ$23</f>
        <v>0</v>
      </c>
      <c r="AK14" s="20">
        <f>'Headcount'!$AK$23</f>
        <v>0</v>
      </c>
      <c r="AL14" s="20">
        <f>'Headcount'!$AL$23</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c r="A15" s="18" t="s">
        <v>279</v>
      </c>
      <c r="B15" s="16" t="s">
        <v>280</v>
      </c>
      <c r="C15" s="20">
        <f>'Assumptions'!$F$57</f>
        <v>0</v>
      </c>
      <c r="D15" s="20">
        <f>'Assumptions'!$F$57</f>
        <v>0</v>
      </c>
      <c r="E15" s="20">
        <f>'Assumptions'!$F$57</f>
        <v>0</v>
      </c>
      <c r="F15" s="20">
        <f>'Assumptions'!$F$57</f>
        <v>0</v>
      </c>
      <c r="G15" s="20">
        <f>'Assumptions'!$F$57</f>
        <v>0</v>
      </c>
      <c r="H15" s="20">
        <f>'Assumptions'!$F$57</f>
        <v>0</v>
      </c>
      <c r="I15" s="20">
        <f>'Assumptions'!$F$57</f>
        <v>0</v>
      </c>
      <c r="J15" s="20">
        <f>'Assumptions'!$F$57</f>
        <v>0</v>
      </c>
      <c r="K15" s="20">
        <f>'Assumptions'!$F$57</f>
        <v>0</v>
      </c>
      <c r="L15" s="20">
        <f>'Assumptions'!$F$57</f>
        <v>0</v>
      </c>
      <c r="M15" s="20">
        <f>'Assumptions'!$F$57</f>
        <v>0</v>
      </c>
      <c r="N15" s="20">
        <f>'Assumptions'!$F$57</f>
        <v>0</v>
      </c>
      <c r="O15" s="20">
        <f>'Assumptions'!$F$57</f>
        <v>0</v>
      </c>
      <c r="P15" s="20">
        <f>'Assumptions'!$F$57</f>
        <v>0</v>
      </c>
      <c r="Q15" s="20">
        <f>'Assumptions'!$F$57</f>
        <v>0</v>
      </c>
      <c r="R15" s="20">
        <f>'Assumptions'!$F$57</f>
        <v>0</v>
      </c>
      <c r="S15" s="20">
        <f>'Assumptions'!$F$57</f>
        <v>0</v>
      </c>
      <c r="T15" s="20">
        <f>'Assumptions'!$F$57</f>
        <v>0</v>
      </c>
      <c r="U15" s="20">
        <f>'Assumptions'!$F$57</f>
        <v>0</v>
      </c>
      <c r="V15" s="20">
        <f>'Assumptions'!$F$57</f>
        <v>0</v>
      </c>
      <c r="W15" s="20">
        <f>'Assumptions'!$F$57</f>
        <v>0</v>
      </c>
      <c r="X15" s="20">
        <f>'Assumptions'!$F$57</f>
        <v>0</v>
      </c>
      <c r="Y15" s="20">
        <f>'Assumptions'!$F$57</f>
        <v>0</v>
      </c>
      <c r="Z15" s="20">
        <f>'Assumptions'!$F$57</f>
        <v>0</v>
      </c>
      <c r="AA15" s="20">
        <f>'Assumptions'!$F$57</f>
        <v>0</v>
      </c>
      <c r="AB15" s="20">
        <f>'Assumptions'!$F$57</f>
        <v>0</v>
      </c>
      <c r="AC15" s="20">
        <f>'Assumptions'!$F$57</f>
        <v>0</v>
      </c>
      <c r="AD15" s="20">
        <f>'Assumptions'!$F$57</f>
        <v>0</v>
      </c>
      <c r="AE15" s="20">
        <f>'Assumptions'!$F$57</f>
        <v>0</v>
      </c>
      <c r="AF15" s="20">
        <f>'Assumptions'!$F$57</f>
        <v>0</v>
      </c>
      <c r="AG15" s="20">
        <f>'Assumptions'!$F$57</f>
        <v>0</v>
      </c>
      <c r="AH15" s="20">
        <f>'Assumptions'!$F$57</f>
        <v>0</v>
      </c>
      <c r="AI15" s="20">
        <f>'Assumptions'!$F$57</f>
        <v>0</v>
      </c>
      <c r="AJ15" s="20">
        <f>'Assumptions'!$F$57</f>
        <v>0</v>
      </c>
      <c r="AK15" s="20">
        <f>'Assumptions'!$F$57</f>
        <v>0</v>
      </c>
      <c r="AL15" s="20">
        <f>'Assumptions'!$F$57</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c r="A16" s="18" t="s">
        <v>281</v>
      </c>
      <c r="B16" s="16" t="s">
        <v>280</v>
      </c>
      <c r="C16" s="20">
        <f>'Assumptions'!$F$58</f>
        <v>0</v>
      </c>
      <c r="D16" s="20">
        <f>'Assumptions'!$F$58</f>
        <v>0</v>
      </c>
      <c r="E16" s="20">
        <f>'Assumptions'!$F$58</f>
        <v>0</v>
      </c>
      <c r="F16" s="20">
        <f>'Assumptions'!$F$58</f>
        <v>0</v>
      </c>
      <c r="G16" s="20">
        <f>'Assumptions'!$F$58</f>
        <v>0</v>
      </c>
      <c r="H16" s="20">
        <f>'Assumptions'!$F$58</f>
        <v>0</v>
      </c>
      <c r="I16" s="20">
        <f>'Assumptions'!$F$58</f>
        <v>0</v>
      </c>
      <c r="J16" s="20">
        <f>'Assumptions'!$F$58</f>
        <v>0</v>
      </c>
      <c r="K16" s="20">
        <f>'Assumptions'!$F$58</f>
        <v>0</v>
      </c>
      <c r="L16" s="20">
        <f>'Assumptions'!$F$58</f>
        <v>0</v>
      </c>
      <c r="M16" s="20">
        <f>'Assumptions'!$F$58</f>
        <v>0</v>
      </c>
      <c r="N16" s="20">
        <f>'Assumptions'!$F$58</f>
        <v>0</v>
      </c>
      <c r="O16" s="20">
        <f>'Assumptions'!$F$58</f>
        <v>0</v>
      </c>
      <c r="P16" s="20">
        <f>'Assumptions'!$F$58</f>
        <v>0</v>
      </c>
      <c r="Q16" s="20">
        <f>'Assumptions'!$F$58</f>
        <v>0</v>
      </c>
      <c r="R16" s="20">
        <f>'Assumptions'!$F$58</f>
        <v>0</v>
      </c>
      <c r="S16" s="20">
        <f>'Assumptions'!$F$58</f>
        <v>0</v>
      </c>
      <c r="T16" s="20">
        <f>'Assumptions'!$F$58</f>
        <v>0</v>
      </c>
      <c r="U16" s="20">
        <f>'Assumptions'!$F$58</f>
        <v>0</v>
      </c>
      <c r="V16" s="20">
        <f>'Assumptions'!$F$58</f>
        <v>0</v>
      </c>
      <c r="W16" s="20">
        <f>'Assumptions'!$F$58</f>
        <v>0</v>
      </c>
      <c r="X16" s="20">
        <f>'Assumptions'!$F$58</f>
        <v>0</v>
      </c>
      <c r="Y16" s="20">
        <f>'Assumptions'!$F$58</f>
        <v>0</v>
      </c>
      <c r="Z16" s="20">
        <f>'Assumptions'!$F$58</f>
        <v>0</v>
      </c>
      <c r="AA16" s="20">
        <f>'Assumptions'!$F$58</f>
        <v>0</v>
      </c>
      <c r="AB16" s="20">
        <f>'Assumptions'!$F$58</f>
        <v>0</v>
      </c>
      <c r="AC16" s="20">
        <f>'Assumptions'!$F$58</f>
        <v>0</v>
      </c>
      <c r="AD16" s="20">
        <f>'Assumptions'!$F$58</f>
        <v>0</v>
      </c>
      <c r="AE16" s="20">
        <f>'Assumptions'!$F$58</f>
        <v>0</v>
      </c>
      <c r="AF16" s="20">
        <f>'Assumptions'!$F$58</f>
        <v>0</v>
      </c>
      <c r="AG16" s="20">
        <f>'Assumptions'!$F$58</f>
        <v>0</v>
      </c>
      <c r="AH16" s="20">
        <f>'Assumptions'!$F$58</f>
        <v>0</v>
      </c>
      <c r="AI16" s="20">
        <f>'Assumptions'!$F$58</f>
        <v>0</v>
      </c>
      <c r="AJ16" s="20">
        <f>'Assumptions'!$F$58</f>
        <v>0</v>
      </c>
      <c r="AK16" s="20">
        <f>'Assumptions'!$F$58</f>
        <v>0</v>
      </c>
      <c r="AL16" s="20">
        <f>'Assumptions'!$F$58</f>
        <v>0</v>
      </c>
      <c r="AN16" s="20">
        <f>SUM(C16:E16)</f>
        <v>0</v>
      </c>
      <c r="AO16" s="20">
        <f>SUM(F16:H16)</f>
        <v>0</v>
      </c>
      <c r="AP16" s="20">
        <f>SUM(I16:K16)</f>
        <v>0</v>
      </c>
      <c r="AQ16" s="20">
        <f>SUM(L16:N16)</f>
        <v>0</v>
      </c>
      <c r="AR16" s="20">
        <f>SUM(O16:Q16)</f>
        <v>0</v>
      </c>
      <c r="AS16" s="20">
        <f>SUM(R16:T16)</f>
        <v>0</v>
      </c>
      <c r="AT16" s="20">
        <f>SUM(U16:W16)</f>
        <v>0</v>
      </c>
      <c r="AU16" s="20">
        <f>SUM(X16:Z16)</f>
        <v>0</v>
      </c>
      <c r="AV16" s="20">
        <f>SUM(AA16:AC16)</f>
        <v>0</v>
      </c>
      <c r="AW16" s="20">
        <f>SUM(AD16:AF16)</f>
        <v>0</v>
      </c>
      <c r="AX16" s="20">
        <f>SUM(AG16:AI16)</f>
        <v>0</v>
      </c>
      <c r="AY16" s="20">
        <f>SUM(AJ16:AL16)</f>
        <v>0</v>
      </c>
      <c r="BA16" s="20">
        <f>SUM(C16:N16)</f>
        <v>0</v>
      </c>
      <c r="BB16" s="20">
        <f>SUM(O16:Z16)</f>
        <v>0</v>
      </c>
      <c r="BC16" s="20">
        <f>SUM(AA16:AL16)</f>
        <v>0</v>
      </c>
    </row>
    <row r="17" spans="1:55">
      <c r="A17" s="28" t="s">
        <v>282</v>
      </c>
      <c r="B17" s="16"/>
      <c r="C17" s="29">
        <f>C14+C15+C16</f>
        <v>0</v>
      </c>
      <c r="D17" s="29">
        <f>D14+D15+D16</f>
        <v>0</v>
      </c>
      <c r="E17" s="29">
        <f>E14+E15+E16</f>
        <v>0</v>
      </c>
      <c r="F17" s="29">
        <f>F14+F15+F16</f>
        <v>0</v>
      </c>
      <c r="G17" s="29">
        <f>G14+G15+G16</f>
        <v>0</v>
      </c>
      <c r="H17" s="29">
        <f>H14+H15+H16</f>
        <v>0</v>
      </c>
      <c r="I17" s="29">
        <f>I14+I15+I16</f>
        <v>0</v>
      </c>
      <c r="J17" s="29">
        <f>J14+J15+J16</f>
        <v>0</v>
      </c>
      <c r="K17" s="29">
        <f>K14+K15+K16</f>
        <v>0</v>
      </c>
      <c r="L17" s="29">
        <f>L14+L15+L16</f>
        <v>0</v>
      </c>
      <c r="M17" s="29">
        <f>M14+M15+M16</f>
        <v>0</v>
      </c>
      <c r="N17" s="29">
        <f>N14+N15+N16</f>
        <v>0</v>
      </c>
      <c r="O17" s="29">
        <f>O14+O15+O16</f>
        <v>0</v>
      </c>
      <c r="P17" s="29">
        <f>P14+P15+P16</f>
        <v>0</v>
      </c>
      <c r="Q17" s="29">
        <f>Q14+Q15+Q16</f>
        <v>0</v>
      </c>
      <c r="R17" s="29">
        <f>R14+R15+R16</f>
        <v>0</v>
      </c>
      <c r="S17" s="29">
        <f>S14+S15+S16</f>
        <v>0</v>
      </c>
      <c r="T17" s="29">
        <f>T14+T15+T16</f>
        <v>0</v>
      </c>
      <c r="U17" s="29">
        <f>U14+U15+U16</f>
        <v>0</v>
      </c>
      <c r="V17" s="29">
        <f>V14+V15+V16</f>
        <v>0</v>
      </c>
      <c r="W17" s="29">
        <f>W14+W15+W16</f>
        <v>0</v>
      </c>
      <c r="X17" s="29">
        <f>X14+X15+X16</f>
        <v>0</v>
      </c>
      <c r="Y17" s="29">
        <f>Y14+Y15+Y16</f>
        <v>0</v>
      </c>
      <c r="Z17" s="29">
        <f>Z14+Z15+Z16</f>
        <v>0</v>
      </c>
      <c r="AA17" s="29">
        <f>AA14+AA15+AA16</f>
        <v>0</v>
      </c>
      <c r="AB17" s="29">
        <f>AB14+AB15+AB16</f>
        <v>0</v>
      </c>
      <c r="AC17" s="29">
        <f>AC14+AC15+AC16</f>
        <v>0</v>
      </c>
      <c r="AD17" s="29">
        <f>AD14+AD15+AD16</f>
        <v>0</v>
      </c>
      <c r="AE17" s="29">
        <f>AE14+AE15+AE16</f>
        <v>0</v>
      </c>
      <c r="AF17" s="29">
        <f>AF14+AF15+AF16</f>
        <v>0</v>
      </c>
      <c r="AG17" s="29">
        <f>AG14+AG15+AG16</f>
        <v>0</v>
      </c>
      <c r="AH17" s="29">
        <f>AH14+AH15+AH16</f>
        <v>0</v>
      </c>
      <c r="AI17" s="29">
        <f>AI14+AI15+AI16</f>
        <v>0</v>
      </c>
      <c r="AJ17" s="29">
        <f>AJ14+AJ15+AJ16</f>
        <v>0</v>
      </c>
      <c r="AK17" s="29">
        <f>AK14+AK15+AK16</f>
        <v>0</v>
      </c>
      <c r="AL17" s="29">
        <f>AL14+AL15+AL16</f>
        <v>0</v>
      </c>
      <c r="AN17" s="29">
        <f>SUM(C17:E17)</f>
        <v>0</v>
      </c>
      <c r="AO17" s="29">
        <f>SUM(F17:H17)</f>
        <v>0</v>
      </c>
      <c r="AP17" s="29">
        <f>SUM(I17:K17)</f>
        <v>0</v>
      </c>
      <c r="AQ17" s="29">
        <f>SUM(L17:N17)</f>
        <v>0</v>
      </c>
      <c r="AR17" s="29">
        <f>SUM(O17:Q17)</f>
        <v>0</v>
      </c>
      <c r="AS17" s="29">
        <f>SUM(R17:T17)</f>
        <v>0</v>
      </c>
      <c r="AT17" s="29">
        <f>SUM(U17:W17)</f>
        <v>0</v>
      </c>
      <c r="AU17" s="29">
        <f>SUM(X17:Z17)</f>
        <v>0</v>
      </c>
      <c r="AV17" s="29">
        <f>SUM(AA17:AC17)</f>
        <v>0</v>
      </c>
      <c r="AW17" s="29">
        <f>SUM(AD17:AF17)</f>
        <v>0</v>
      </c>
      <c r="AX17" s="29">
        <f>SUM(AG17:AI17)</f>
        <v>0</v>
      </c>
      <c r="AY17" s="29">
        <f>SUM(AJ17:AL17)</f>
        <v>0</v>
      </c>
      <c r="BA17" s="29">
        <f>SUM(C17:N17)</f>
        <v>0</v>
      </c>
      <c r="BB17" s="29">
        <f>SUM(O17:Z17)</f>
        <v>0</v>
      </c>
      <c r="BC17" s="29">
        <f>SUM(AA17:AL17)</f>
        <v>0</v>
      </c>
    </row>
    <row r="18" spans="1:55" ht="5" customHeight="1"/>
    <row r="19" spans="1:55" ht="16" customHeight="1">
      <c r="A19" s="14" t="s">
        <v>283</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row>
    <row r="20" spans="1:55">
      <c r="A20" s="31" t="s">
        <v>284</v>
      </c>
      <c r="B20" s="16"/>
      <c r="C20" s="32">
        <f>C11+C17</f>
        <v>0</v>
      </c>
      <c r="D20" s="32">
        <f>D11+D17</f>
        <v>0</v>
      </c>
      <c r="E20" s="32">
        <f>E11+E17</f>
        <v>0</v>
      </c>
      <c r="F20" s="32">
        <f>F11+F17</f>
        <v>0</v>
      </c>
      <c r="G20" s="32">
        <f>G11+G17</f>
        <v>0</v>
      </c>
      <c r="H20" s="32">
        <f>H11+H17</f>
        <v>0</v>
      </c>
      <c r="I20" s="32">
        <f>I11+I17</f>
        <v>0</v>
      </c>
      <c r="J20" s="32">
        <f>J11+J17</f>
        <v>0</v>
      </c>
      <c r="K20" s="32">
        <f>K11+K17</f>
        <v>0</v>
      </c>
      <c r="L20" s="32">
        <f>L11+L17</f>
        <v>0</v>
      </c>
      <c r="M20" s="32">
        <f>M11+M17</f>
        <v>0</v>
      </c>
      <c r="N20" s="32">
        <f>N11+N17</f>
        <v>0</v>
      </c>
      <c r="O20" s="32">
        <f>O11+O17</f>
        <v>0</v>
      </c>
      <c r="P20" s="32">
        <f>P11+P17</f>
        <v>0</v>
      </c>
      <c r="Q20" s="32">
        <f>Q11+Q17</f>
        <v>0</v>
      </c>
      <c r="R20" s="32">
        <f>R11+R17</f>
        <v>0</v>
      </c>
      <c r="S20" s="32">
        <f>S11+S17</f>
        <v>0</v>
      </c>
      <c r="T20" s="32">
        <f>T11+T17</f>
        <v>0</v>
      </c>
      <c r="U20" s="32">
        <f>U11+U17</f>
        <v>0</v>
      </c>
      <c r="V20" s="32">
        <f>V11+V17</f>
        <v>0</v>
      </c>
      <c r="W20" s="32">
        <f>W11+W17</f>
        <v>0</v>
      </c>
      <c r="X20" s="32">
        <f>X11+X17</f>
        <v>0</v>
      </c>
      <c r="Y20" s="32">
        <f>Y11+Y17</f>
        <v>0</v>
      </c>
      <c r="Z20" s="32">
        <f>Z11+Z17</f>
        <v>0</v>
      </c>
      <c r="AA20" s="32">
        <f>AA11+AA17</f>
        <v>0</v>
      </c>
      <c r="AB20" s="32">
        <f>AB11+AB17</f>
        <v>0</v>
      </c>
      <c r="AC20" s="32">
        <f>AC11+AC17</f>
        <v>0</v>
      </c>
      <c r="AD20" s="32">
        <f>AD11+AD17</f>
        <v>0</v>
      </c>
      <c r="AE20" s="32">
        <f>AE11+AE17</f>
        <v>0</v>
      </c>
      <c r="AF20" s="32">
        <f>AF11+AF17</f>
        <v>0</v>
      </c>
      <c r="AG20" s="32">
        <f>AG11+AG17</f>
        <v>0</v>
      </c>
      <c r="AH20" s="32">
        <f>AH11+AH17</f>
        <v>0</v>
      </c>
      <c r="AI20" s="32">
        <f>AI11+AI17</f>
        <v>0</v>
      </c>
      <c r="AJ20" s="32">
        <f>AJ11+AJ17</f>
        <v>0</v>
      </c>
      <c r="AK20" s="32">
        <f>AK11+AK17</f>
        <v>0</v>
      </c>
      <c r="AL20" s="32">
        <f>AL11+AL17</f>
        <v>0</v>
      </c>
      <c r="AN20" s="32">
        <f>SUM(C20:E20)</f>
        <v>0</v>
      </c>
      <c r="AO20" s="32">
        <f>SUM(F20:H20)</f>
        <v>0</v>
      </c>
      <c r="AP20" s="32">
        <f>SUM(I20:K20)</f>
        <v>0</v>
      </c>
      <c r="AQ20" s="32">
        <f>SUM(L20:N20)</f>
        <v>0</v>
      </c>
      <c r="AR20" s="32">
        <f>SUM(O20:Q20)</f>
        <v>0</v>
      </c>
      <c r="AS20" s="32">
        <f>SUM(R20:T20)</f>
        <v>0</v>
      </c>
      <c r="AT20" s="32">
        <f>SUM(U20:W20)</f>
        <v>0</v>
      </c>
      <c r="AU20" s="32">
        <f>SUM(X20:Z20)</f>
        <v>0</v>
      </c>
      <c r="AV20" s="32">
        <f>SUM(AA20:AC20)</f>
        <v>0</v>
      </c>
      <c r="AW20" s="32">
        <f>SUM(AD20:AF20)</f>
        <v>0</v>
      </c>
      <c r="AX20" s="32">
        <f>SUM(AG20:AI20)</f>
        <v>0</v>
      </c>
      <c r="AY20" s="32">
        <f>SUM(AJ20:AL20)</f>
        <v>0</v>
      </c>
      <c r="BA20" s="32">
        <f>SUM(C20:N20)</f>
        <v>0</v>
      </c>
      <c r="BB20" s="32">
        <f>SUM(O20:Z20)</f>
        <v>0</v>
      </c>
      <c r="BC20" s="32">
        <f>SUM(AA20:AL20)</f>
        <v>0</v>
      </c>
    </row>
  </sheetData>
  <mergeCells count="8">
    <mergeCell ref="A1:BC1"/>
    <mergeCell ref="A2:BC2"/>
    <mergeCell ref="C5:AL5"/>
    <mergeCell ref="AN5:AY5"/>
    <mergeCell ref="BA5:BC5"/>
    <mergeCell ref="A7:BC7"/>
    <mergeCell ref="A13:BC13"/>
    <mergeCell ref="A19:BC19"/>
  </mergeCells>
  <pageMargins left="0.7" right="0.7" top="0.75" bottom="0.75" header="0.3" footer="0.3"/>
  <pageSetup paperSize="9" scale="55" orientation="landscape"/>
</worksheet>
</file>

<file path=xl/worksheets/sheet7.xml><?xml version="1.0" encoding="utf-8"?>
<worksheet xmlns="http://schemas.openxmlformats.org/spreadsheetml/2006/main" xmlns:r="http://schemas.openxmlformats.org/officeDocument/2006/relationships">
  <dimension ref="A1:BC30"/>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285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286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287</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288</v>
      </c>
      <c r="B8" s="16" t="s">
        <v>289</v>
      </c>
      <c r="C8" s="20">
        <f>'Revenue'!C36*'Assumptions'!$F$61/30</f>
        <v>0</v>
      </c>
      <c r="D8" s="20">
        <f>'Revenue'!D36*'Assumptions'!$F$61/30</f>
        <v>0</v>
      </c>
      <c r="E8" s="20">
        <f>'Revenue'!E36*'Assumptions'!$F$61/30</f>
        <v>0</v>
      </c>
      <c r="F8" s="20">
        <f>'Revenue'!F36*'Assumptions'!$F$61/30</f>
        <v>0</v>
      </c>
      <c r="G8" s="20">
        <f>'Revenue'!G36*'Assumptions'!$F$61/30</f>
        <v>0</v>
      </c>
      <c r="H8" s="20">
        <f>'Revenue'!H36*'Assumptions'!$F$61/30</f>
        <v>0</v>
      </c>
      <c r="I8" s="20">
        <f>'Revenue'!I36*'Assumptions'!$F$61/30</f>
        <v>0</v>
      </c>
      <c r="J8" s="20">
        <f>'Revenue'!J36*'Assumptions'!$F$61/30</f>
        <v>0</v>
      </c>
      <c r="K8" s="20">
        <f>'Revenue'!K36*'Assumptions'!$F$61/30</f>
        <v>0</v>
      </c>
      <c r="L8" s="20">
        <f>'Revenue'!L36*'Assumptions'!$F$61/30</f>
        <v>0</v>
      </c>
      <c r="M8" s="20">
        <f>'Revenue'!M36*'Assumptions'!$F$61/30</f>
        <v>0</v>
      </c>
      <c r="N8" s="20">
        <f>'Revenue'!N36*'Assumptions'!$F$61/30</f>
        <v>0</v>
      </c>
      <c r="O8" s="20">
        <f>'Revenue'!O36*'Assumptions'!$F$61/30</f>
        <v>0</v>
      </c>
      <c r="P8" s="20">
        <f>'Revenue'!P36*'Assumptions'!$F$61/30</f>
        <v>0</v>
      </c>
      <c r="Q8" s="20">
        <f>'Revenue'!Q36*'Assumptions'!$F$61/30</f>
        <v>0</v>
      </c>
      <c r="R8" s="20">
        <f>'Revenue'!R36*'Assumptions'!$F$61/30</f>
        <v>0</v>
      </c>
      <c r="S8" s="20">
        <f>'Revenue'!S36*'Assumptions'!$F$61/30</f>
        <v>0</v>
      </c>
      <c r="T8" s="20">
        <f>'Revenue'!T36*'Assumptions'!$F$61/30</f>
        <v>0</v>
      </c>
      <c r="U8" s="20">
        <f>'Revenue'!U36*'Assumptions'!$F$61/30</f>
        <v>0</v>
      </c>
      <c r="V8" s="20">
        <f>'Revenue'!V36*'Assumptions'!$F$61/30</f>
        <v>0</v>
      </c>
      <c r="W8" s="20">
        <f>'Revenue'!W36*'Assumptions'!$F$61/30</f>
        <v>0</v>
      </c>
      <c r="X8" s="20">
        <f>'Revenue'!X36*'Assumptions'!$F$61/30</f>
        <v>0</v>
      </c>
      <c r="Y8" s="20">
        <f>'Revenue'!Y36*'Assumptions'!$F$61/30</f>
        <v>0</v>
      </c>
      <c r="Z8" s="20">
        <f>'Revenue'!Z36*'Assumptions'!$F$61/30</f>
        <v>0</v>
      </c>
      <c r="AA8" s="20">
        <f>'Revenue'!AA36*'Assumptions'!$F$61/30</f>
        <v>0</v>
      </c>
      <c r="AB8" s="20">
        <f>'Revenue'!AB36*'Assumptions'!$F$61/30</f>
        <v>0</v>
      </c>
      <c r="AC8" s="20">
        <f>'Revenue'!AC36*'Assumptions'!$F$61/30</f>
        <v>0</v>
      </c>
      <c r="AD8" s="20">
        <f>'Revenue'!AD36*'Assumptions'!$F$61/30</f>
        <v>0</v>
      </c>
      <c r="AE8" s="20">
        <f>'Revenue'!AE36*'Assumptions'!$F$61/30</f>
        <v>0</v>
      </c>
      <c r="AF8" s="20">
        <f>'Revenue'!AF36*'Assumptions'!$F$61/30</f>
        <v>0</v>
      </c>
      <c r="AG8" s="20">
        <f>'Revenue'!AG36*'Assumptions'!$F$61/30</f>
        <v>0</v>
      </c>
      <c r="AH8" s="20">
        <f>'Revenue'!AH36*'Assumptions'!$F$61/30</f>
        <v>0</v>
      </c>
      <c r="AI8" s="20">
        <f>'Revenue'!AI36*'Assumptions'!$F$61/30</f>
        <v>0</v>
      </c>
      <c r="AJ8" s="20">
        <f>'Revenue'!AJ36*'Assumptions'!$F$61/30</f>
        <v>0</v>
      </c>
      <c r="AK8" s="20">
        <f>'Revenue'!AK36*'Assumptions'!$F$61/30</f>
        <v>0</v>
      </c>
      <c r="AL8" s="20">
        <f>'Revenue'!AL36*'Assumptions'!$F$61/30</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290</v>
      </c>
      <c r="B9" s="16" t="s">
        <v>291</v>
      </c>
      <c r="C9" s="20">
        <f>('COGS &amp; GM'!C12+'Opex'!C20)*'Assumptions'!$F$62/30</f>
        <v>0</v>
      </c>
      <c r="D9" s="20">
        <f>('COGS &amp; GM'!D12+'Opex'!D20)*'Assumptions'!$F$62/30</f>
        <v>0</v>
      </c>
      <c r="E9" s="20">
        <f>('COGS &amp; GM'!E12+'Opex'!E20)*'Assumptions'!$F$62/30</f>
        <v>0</v>
      </c>
      <c r="F9" s="20">
        <f>('COGS &amp; GM'!F12+'Opex'!F20)*'Assumptions'!$F$62/30</f>
        <v>0</v>
      </c>
      <c r="G9" s="20">
        <f>('COGS &amp; GM'!G12+'Opex'!G20)*'Assumptions'!$F$62/30</f>
        <v>0</v>
      </c>
      <c r="H9" s="20">
        <f>('COGS &amp; GM'!H12+'Opex'!H20)*'Assumptions'!$F$62/30</f>
        <v>0</v>
      </c>
      <c r="I9" s="20">
        <f>('COGS &amp; GM'!I12+'Opex'!I20)*'Assumptions'!$F$62/30</f>
        <v>0</v>
      </c>
      <c r="J9" s="20">
        <f>('COGS &amp; GM'!J12+'Opex'!J20)*'Assumptions'!$F$62/30</f>
        <v>0</v>
      </c>
      <c r="K9" s="20">
        <f>('COGS &amp; GM'!K12+'Opex'!K20)*'Assumptions'!$F$62/30</f>
        <v>0</v>
      </c>
      <c r="L9" s="20">
        <f>('COGS &amp; GM'!L12+'Opex'!L20)*'Assumptions'!$F$62/30</f>
        <v>0</v>
      </c>
      <c r="M9" s="20">
        <f>('COGS &amp; GM'!M12+'Opex'!M20)*'Assumptions'!$F$62/30</f>
        <v>0</v>
      </c>
      <c r="N9" s="20">
        <f>('COGS &amp; GM'!N12+'Opex'!N20)*'Assumptions'!$F$62/30</f>
        <v>0</v>
      </c>
      <c r="O9" s="20">
        <f>('COGS &amp; GM'!O12+'Opex'!O20)*'Assumptions'!$F$62/30</f>
        <v>0</v>
      </c>
      <c r="P9" s="20">
        <f>('COGS &amp; GM'!P12+'Opex'!P20)*'Assumptions'!$F$62/30</f>
        <v>0</v>
      </c>
      <c r="Q9" s="20">
        <f>('COGS &amp; GM'!Q12+'Opex'!Q20)*'Assumptions'!$F$62/30</f>
        <v>0</v>
      </c>
      <c r="R9" s="20">
        <f>('COGS &amp; GM'!R12+'Opex'!R20)*'Assumptions'!$F$62/30</f>
        <v>0</v>
      </c>
      <c r="S9" s="20">
        <f>('COGS &amp; GM'!S12+'Opex'!S20)*'Assumptions'!$F$62/30</f>
        <v>0</v>
      </c>
      <c r="T9" s="20">
        <f>('COGS &amp; GM'!T12+'Opex'!T20)*'Assumptions'!$F$62/30</f>
        <v>0</v>
      </c>
      <c r="U9" s="20">
        <f>('COGS &amp; GM'!U12+'Opex'!U20)*'Assumptions'!$F$62/30</f>
        <v>0</v>
      </c>
      <c r="V9" s="20">
        <f>('COGS &amp; GM'!V12+'Opex'!V20)*'Assumptions'!$F$62/30</f>
        <v>0</v>
      </c>
      <c r="W9" s="20">
        <f>('COGS &amp; GM'!W12+'Opex'!W20)*'Assumptions'!$F$62/30</f>
        <v>0</v>
      </c>
      <c r="X9" s="20">
        <f>('COGS &amp; GM'!X12+'Opex'!X20)*'Assumptions'!$F$62/30</f>
        <v>0</v>
      </c>
      <c r="Y9" s="20">
        <f>('COGS &amp; GM'!Y12+'Opex'!Y20)*'Assumptions'!$F$62/30</f>
        <v>0</v>
      </c>
      <c r="Z9" s="20">
        <f>('COGS &amp; GM'!Z12+'Opex'!Z20)*'Assumptions'!$F$62/30</f>
        <v>0</v>
      </c>
      <c r="AA9" s="20">
        <f>('COGS &amp; GM'!AA12+'Opex'!AA20)*'Assumptions'!$F$62/30</f>
        <v>0</v>
      </c>
      <c r="AB9" s="20">
        <f>('COGS &amp; GM'!AB12+'Opex'!AB20)*'Assumptions'!$F$62/30</f>
        <v>0</v>
      </c>
      <c r="AC9" s="20">
        <f>('COGS &amp; GM'!AC12+'Opex'!AC20)*'Assumptions'!$F$62/30</f>
        <v>0</v>
      </c>
      <c r="AD9" s="20">
        <f>('COGS &amp; GM'!AD12+'Opex'!AD20)*'Assumptions'!$F$62/30</f>
        <v>0</v>
      </c>
      <c r="AE9" s="20">
        <f>('COGS &amp; GM'!AE12+'Opex'!AE20)*'Assumptions'!$F$62/30</f>
        <v>0</v>
      </c>
      <c r="AF9" s="20">
        <f>('COGS &amp; GM'!AF12+'Opex'!AF20)*'Assumptions'!$F$62/30</f>
        <v>0</v>
      </c>
      <c r="AG9" s="20">
        <f>('COGS &amp; GM'!AG12+'Opex'!AG20)*'Assumptions'!$F$62/30</f>
        <v>0</v>
      </c>
      <c r="AH9" s="20">
        <f>('COGS &amp; GM'!AH12+'Opex'!AH20)*'Assumptions'!$F$62/30</f>
        <v>0</v>
      </c>
      <c r="AI9" s="20">
        <f>('COGS &amp; GM'!AI12+'Opex'!AI20)*'Assumptions'!$F$62/30</f>
        <v>0</v>
      </c>
      <c r="AJ9" s="20">
        <f>('COGS &amp; GM'!AJ12+'Opex'!AJ20)*'Assumptions'!$F$62/30</f>
        <v>0</v>
      </c>
      <c r="AK9" s="20">
        <f>('COGS &amp; GM'!AK12+'Opex'!AK20)*'Assumptions'!$F$62/30</f>
        <v>0</v>
      </c>
      <c r="AL9" s="20">
        <f>('COGS &amp; GM'!AL12+'Opex'!AL20)*'Assumptions'!$F$62/30</f>
        <v>0</v>
      </c>
      <c r="AN9" s="20">
        <f>E9</f>
        <v>0</v>
      </c>
      <c r="AO9" s="20">
        <f>H9</f>
        <v>0</v>
      </c>
      <c r="AP9" s="20">
        <f>K9</f>
        <v>0</v>
      </c>
      <c r="AQ9" s="20">
        <f>N9</f>
        <v>0</v>
      </c>
      <c r="AR9" s="20">
        <f>Q9</f>
        <v>0</v>
      </c>
      <c r="AS9" s="20">
        <f>T9</f>
        <v>0</v>
      </c>
      <c r="AT9" s="20">
        <f>W9</f>
        <v>0</v>
      </c>
      <c r="AU9" s="20">
        <f>Z9</f>
        <v>0</v>
      </c>
      <c r="AV9" s="20">
        <f>AC9</f>
        <v>0</v>
      </c>
      <c r="AW9" s="20">
        <f>AF9</f>
        <v>0</v>
      </c>
      <c r="AX9" s="20">
        <f>AI9</f>
        <v>0</v>
      </c>
      <c r="AY9" s="20">
        <f>AL9</f>
        <v>0</v>
      </c>
      <c r="BA9" s="20">
        <f>N9</f>
        <v>0</v>
      </c>
      <c r="BB9" s="20">
        <f>Z9</f>
        <v>0</v>
      </c>
      <c r="BC9" s="20">
        <f>AL9</f>
        <v>0</v>
      </c>
    </row>
    <row r="10" spans="1:55">
      <c r="A10" s="18" t="s">
        <v>292</v>
      </c>
      <c r="B10" s="16" t="s">
        <v>293</v>
      </c>
      <c r="C10" s="20">
        <f>'Revenue'!C36*'Assumptions'!$F$63</f>
        <v>0</v>
      </c>
      <c r="D10" s="20">
        <f>'Revenue'!D36*'Assumptions'!$F$63</f>
        <v>0</v>
      </c>
      <c r="E10" s="20">
        <f>'Revenue'!E36*'Assumptions'!$F$63</f>
        <v>0</v>
      </c>
      <c r="F10" s="20">
        <f>'Revenue'!F36*'Assumptions'!$F$63</f>
        <v>0</v>
      </c>
      <c r="G10" s="20">
        <f>'Revenue'!G36*'Assumptions'!$F$63</f>
        <v>0</v>
      </c>
      <c r="H10" s="20">
        <f>'Revenue'!H36*'Assumptions'!$F$63</f>
        <v>0</v>
      </c>
      <c r="I10" s="20">
        <f>'Revenue'!I36*'Assumptions'!$F$63</f>
        <v>0</v>
      </c>
      <c r="J10" s="20">
        <f>'Revenue'!J36*'Assumptions'!$F$63</f>
        <v>0</v>
      </c>
      <c r="K10" s="20">
        <f>'Revenue'!K36*'Assumptions'!$F$63</f>
        <v>0</v>
      </c>
      <c r="L10" s="20">
        <f>'Revenue'!L36*'Assumptions'!$F$63</f>
        <v>0</v>
      </c>
      <c r="M10" s="20">
        <f>'Revenue'!M36*'Assumptions'!$F$63</f>
        <v>0</v>
      </c>
      <c r="N10" s="20">
        <f>'Revenue'!N36*'Assumptions'!$F$63</f>
        <v>0</v>
      </c>
      <c r="O10" s="20">
        <f>'Revenue'!O36*'Assumptions'!$F$63</f>
        <v>0</v>
      </c>
      <c r="P10" s="20">
        <f>'Revenue'!P36*'Assumptions'!$F$63</f>
        <v>0</v>
      </c>
      <c r="Q10" s="20">
        <f>'Revenue'!Q36*'Assumptions'!$F$63</f>
        <v>0</v>
      </c>
      <c r="R10" s="20">
        <f>'Revenue'!R36*'Assumptions'!$F$63</f>
        <v>0</v>
      </c>
      <c r="S10" s="20">
        <f>'Revenue'!S36*'Assumptions'!$F$63</f>
        <v>0</v>
      </c>
      <c r="T10" s="20">
        <f>'Revenue'!T36*'Assumptions'!$F$63</f>
        <v>0</v>
      </c>
      <c r="U10" s="20">
        <f>'Revenue'!U36*'Assumptions'!$F$63</f>
        <v>0</v>
      </c>
      <c r="V10" s="20">
        <f>'Revenue'!V36*'Assumptions'!$F$63</f>
        <v>0</v>
      </c>
      <c r="W10" s="20">
        <f>'Revenue'!W36*'Assumptions'!$F$63</f>
        <v>0</v>
      </c>
      <c r="X10" s="20">
        <f>'Revenue'!X36*'Assumptions'!$F$63</f>
        <v>0</v>
      </c>
      <c r="Y10" s="20">
        <f>'Revenue'!Y36*'Assumptions'!$F$63</f>
        <v>0</v>
      </c>
      <c r="Z10" s="20">
        <f>'Revenue'!Z36*'Assumptions'!$F$63</f>
        <v>0</v>
      </c>
      <c r="AA10" s="20">
        <f>'Revenue'!AA36*'Assumptions'!$F$63</f>
        <v>0</v>
      </c>
      <c r="AB10" s="20">
        <f>'Revenue'!AB36*'Assumptions'!$F$63</f>
        <v>0</v>
      </c>
      <c r="AC10" s="20">
        <f>'Revenue'!AC36*'Assumptions'!$F$63</f>
        <v>0</v>
      </c>
      <c r="AD10" s="20">
        <f>'Revenue'!AD36*'Assumptions'!$F$63</f>
        <v>0</v>
      </c>
      <c r="AE10" s="20">
        <f>'Revenue'!AE36*'Assumptions'!$F$63</f>
        <v>0</v>
      </c>
      <c r="AF10" s="20">
        <f>'Revenue'!AF36*'Assumptions'!$F$63</f>
        <v>0</v>
      </c>
      <c r="AG10" s="20">
        <f>'Revenue'!AG36*'Assumptions'!$F$63</f>
        <v>0</v>
      </c>
      <c r="AH10" s="20">
        <f>'Revenue'!AH36*'Assumptions'!$F$63</f>
        <v>0</v>
      </c>
      <c r="AI10" s="20">
        <f>'Revenue'!AI36*'Assumptions'!$F$63</f>
        <v>0</v>
      </c>
      <c r="AJ10" s="20">
        <f>'Revenue'!AJ36*'Assumptions'!$F$63</f>
        <v>0</v>
      </c>
      <c r="AK10" s="20">
        <f>'Revenue'!AK36*'Assumptions'!$F$63</f>
        <v>0</v>
      </c>
      <c r="AL10" s="20">
        <f>'Revenue'!AL36*'Assumptions'!$F$63</f>
        <v>0</v>
      </c>
      <c r="AN10" s="20">
        <f>E10</f>
        <v>0</v>
      </c>
      <c r="AO10" s="20">
        <f>H10</f>
        <v>0</v>
      </c>
      <c r="AP10" s="20">
        <f>K10</f>
        <v>0</v>
      </c>
      <c r="AQ10" s="20">
        <f>N10</f>
        <v>0</v>
      </c>
      <c r="AR10" s="20">
        <f>Q10</f>
        <v>0</v>
      </c>
      <c r="AS10" s="20">
        <f>T10</f>
        <v>0</v>
      </c>
      <c r="AT10" s="20">
        <f>W10</f>
        <v>0</v>
      </c>
      <c r="AU10" s="20">
        <f>Z10</f>
        <v>0</v>
      </c>
      <c r="AV10" s="20">
        <f>AC10</f>
        <v>0</v>
      </c>
      <c r="AW10" s="20">
        <f>AF10</f>
        <v>0</v>
      </c>
      <c r="AX10" s="20">
        <f>AI10</f>
        <v>0</v>
      </c>
      <c r="AY10" s="20">
        <f>AL10</f>
        <v>0</v>
      </c>
      <c r="BA10" s="20">
        <f>N10</f>
        <v>0</v>
      </c>
      <c r="BB10" s="20">
        <f>Z10</f>
        <v>0</v>
      </c>
      <c r="BC10" s="20">
        <f>AL10</f>
        <v>0</v>
      </c>
    </row>
    <row r="11" spans="1:55">
      <c r="A11" s="18" t="s">
        <v>294</v>
      </c>
      <c r="B11" s="16" t="s">
        <v>295</v>
      </c>
      <c r="C11" s="20">
        <f>'Revenue'!C36*'Assumptions'!$F$66</f>
        <v>0</v>
      </c>
      <c r="D11" s="20">
        <f>'Revenue'!D36*'Assumptions'!$F$66</f>
        <v>0</v>
      </c>
      <c r="E11" s="20">
        <f>'Revenue'!E36*'Assumptions'!$F$66</f>
        <v>0</v>
      </c>
      <c r="F11" s="20">
        <f>'Revenue'!F36*'Assumptions'!$F$66</f>
        <v>0</v>
      </c>
      <c r="G11" s="20">
        <f>'Revenue'!G36*'Assumptions'!$F$66</f>
        <v>0</v>
      </c>
      <c r="H11" s="20">
        <f>'Revenue'!H36*'Assumptions'!$F$66</f>
        <v>0</v>
      </c>
      <c r="I11" s="20">
        <f>'Revenue'!I36*'Assumptions'!$F$66</f>
        <v>0</v>
      </c>
      <c r="J11" s="20">
        <f>'Revenue'!J36*'Assumptions'!$F$66</f>
        <v>0</v>
      </c>
      <c r="K11" s="20">
        <f>'Revenue'!K36*'Assumptions'!$F$66</f>
        <v>0</v>
      </c>
      <c r="L11" s="20">
        <f>'Revenue'!L36*'Assumptions'!$F$66</f>
        <v>0</v>
      </c>
      <c r="M11" s="20">
        <f>'Revenue'!M36*'Assumptions'!$F$66</f>
        <v>0</v>
      </c>
      <c r="N11" s="20">
        <f>'Revenue'!N36*'Assumptions'!$F$66</f>
        <v>0</v>
      </c>
      <c r="O11" s="20">
        <f>'Revenue'!O36*'Assumptions'!$F$66</f>
        <v>0</v>
      </c>
      <c r="P11" s="20">
        <f>'Revenue'!P36*'Assumptions'!$F$66</f>
        <v>0</v>
      </c>
      <c r="Q11" s="20">
        <f>'Revenue'!Q36*'Assumptions'!$F$66</f>
        <v>0</v>
      </c>
      <c r="R11" s="20">
        <f>'Revenue'!R36*'Assumptions'!$F$66</f>
        <v>0</v>
      </c>
      <c r="S11" s="20">
        <f>'Revenue'!S36*'Assumptions'!$F$66</f>
        <v>0</v>
      </c>
      <c r="T11" s="20">
        <f>'Revenue'!T36*'Assumptions'!$F$66</f>
        <v>0</v>
      </c>
      <c r="U11" s="20">
        <f>'Revenue'!U36*'Assumptions'!$F$66</f>
        <v>0</v>
      </c>
      <c r="V11" s="20">
        <f>'Revenue'!V36*'Assumptions'!$F$66</f>
        <v>0</v>
      </c>
      <c r="W11" s="20">
        <f>'Revenue'!W36*'Assumptions'!$F$66</f>
        <v>0</v>
      </c>
      <c r="X11" s="20">
        <f>'Revenue'!X36*'Assumptions'!$F$66</f>
        <v>0</v>
      </c>
      <c r="Y11" s="20">
        <f>'Revenue'!Y36*'Assumptions'!$F$66</f>
        <v>0</v>
      </c>
      <c r="Z11" s="20">
        <f>'Revenue'!Z36*'Assumptions'!$F$66</f>
        <v>0</v>
      </c>
      <c r="AA11" s="20">
        <f>'Revenue'!AA36*'Assumptions'!$F$66</f>
        <v>0</v>
      </c>
      <c r="AB11" s="20">
        <f>'Revenue'!AB36*'Assumptions'!$F$66</f>
        <v>0</v>
      </c>
      <c r="AC11" s="20">
        <f>'Revenue'!AC36*'Assumptions'!$F$66</f>
        <v>0</v>
      </c>
      <c r="AD11" s="20">
        <f>'Revenue'!AD36*'Assumptions'!$F$66</f>
        <v>0</v>
      </c>
      <c r="AE11" s="20">
        <f>'Revenue'!AE36*'Assumptions'!$F$66</f>
        <v>0</v>
      </c>
      <c r="AF11" s="20">
        <f>'Revenue'!AF36*'Assumptions'!$F$66</f>
        <v>0</v>
      </c>
      <c r="AG11" s="20">
        <f>'Revenue'!AG36*'Assumptions'!$F$66</f>
        <v>0</v>
      </c>
      <c r="AH11" s="20">
        <f>'Revenue'!AH36*'Assumptions'!$F$66</f>
        <v>0</v>
      </c>
      <c r="AI11" s="20">
        <f>'Revenue'!AI36*'Assumptions'!$F$66</f>
        <v>0</v>
      </c>
      <c r="AJ11" s="20">
        <f>'Revenue'!AJ36*'Assumptions'!$F$66</f>
        <v>0</v>
      </c>
      <c r="AK11" s="20">
        <f>'Revenue'!AK36*'Assumptions'!$F$66</f>
        <v>0</v>
      </c>
      <c r="AL11" s="20">
        <f>'Revenue'!AL36*'Assumptions'!$F$66</f>
        <v>0</v>
      </c>
      <c r="AN11" s="20">
        <f>E11</f>
        <v>0</v>
      </c>
      <c r="AO11" s="20">
        <f>H11</f>
        <v>0</v>
      </c>
      <c r="AP11" s="20">
        <f>K11</f>
        <v>0</v>
      </c>
      <c r="AQ11" s="20">
        <f>N11</f>
        <v>0</v>
      </c>
      <c r="AR11" s="20">
        <f>Q11</f>
        <v>0</v>
      </c>
      <c r="AS11" s="20">
        <f>T11</f>
        <v>0</v>
      </c>
      <c r="AT11" s="20">
        <f>W11</f>
        <v>0</v>
      </c>
      <c r="AU11" s="20">
        <f>Z11</f>
        <v>0</v>
      </c>
      <c r="AV11" s="20">
        <f>AC11</f>
        <v>0</v>
      </c>
      <c r="AW11" s="20">
        <f>AF11</f>
        <v>0</v>
      </c>
      <c r="AX11" s="20">
        <f>AI11</f>
        <v>0</v>
      </c>
      <c r="AY11" s="20">
        <f>AL11</f>
        <v>0</v>
      </c>
      <c r="BA11" s="20">
        <f>N11</f>
        <v>0</v>
      </c>
      <c r="BB11" s="20">
        <f>Z11</f>
        <v>0</v>
      </c>
      <c r="BC11" s="20">
        <f>AL11</f>
        <v>0</v>
      </c>
    </row>
    <row r="12" spans="1:55">
      <c r="A12" s="18" t="s">
        <v>296</v>
      </c>
      <c r="B12" s="16"/>
      <c r="C12" s="20">
        <f>C8</f>
        <v>0</v>
      </c>
      <c r="D12" s="20">
        <f>D8-C8</f>
        <v>0</v>
      </c>
      <c r="E12" s="20">
        <f>E8-D8</f>
        <v>0</v>
      </c>
      <c r="F12" s="20">
        <f>F8-E8</f>
        <v>0</v>
      </c>
      <c r="G12" s="20">
        <f>G8-F8</f>
        <v>0</v>
      </c>
      <c r="H12" s="20">
        <f>H8-G8</f>
        <v>0</v>
      </c>
      <c r="I12" s="20">
        <f>I8-H8</f>
        <v>0</v>
      </c>
      <c r="J12" s="20">
        <f>J8-I8</f>
        <v>0</v>
      </c>
      <c r="K12" s="20">
        <f>K8-J8</f>
        <v>0</v>
      </c>
      <c r="L12" s="20">
        <f>L8-K8</f>
        <v>0</v>
      </c>
      <c r="M12" s="20">
        <f>M8-L8</f>
        <v>0</v>
      </c>
      <c r="N12" s="20">
        <f>N8-M8</f>
        <v>0</v>
      </c>
      <c r="O12" s="20">
        <f>O8-N8</f>
        <v>0</v>
      </c>
      <c r="P12" s="20">
        <f>P8-O8</f>
        <v>0</v>
      </c>
      <c r="Q12" s="20">
        <f>Q8-P8</f>
        <v>0</v>
      </c>
      <c r="R12" s="20">
        <f>R8-Q8</f>
        <v>0</v>
      </c>
      <c r="S12" s="20">
        <f>S8-R8</f>
        <v>0</v>
      </c>
      <c r="T12" s="20">
        <f>T8-S8</f>
        <v>0</v>
      </c>
      <c r="U12" s="20">
        <f>U8-T8</f>
        <v>0</v>
      </c>
      <c r="V12" s="20">
        <f>V8-U8</f>
        <v>0</v>
      </c>
      <c r="W12" s="20">
        <f>W8-V8</f>
        <v>0</v>
      </c>
      <c r="X12" s="20">
        <f>X8-W8</f>
        <v>0</v>
      </c>
      <c r="Y12" s="20">
        <f>Y8-X8</f>
        <v>0</v>
      </c>
      <c r="Z12" s="20">
        <f>Z8-Y8</f>
        <v>0</v>
      </c>
      <c r="AA12" s="20">
        <f>AA8-Z8</f>
        <v>0</v>
      </c>
      <c r="AB12" s="20">
        <f>AB8-AA8</f>
        <v>0</v>
      </c>
      <c r="AC12" s="20">
        <f>AC8-AB8</f>
        <v>0</v>
      </c>
      <c r="AD12" s="20">
        <f>AD8-AC8</f>
        <v>0</v>
      </c>
      <c r="AE12" s="20">
        <f>AE8-AD8</f>
        <v>0</v>
      </c>
      <c r="AF12" s="20">
        <f>AF8-AE8</f>
        <v>0</v>
      </c>
      <c r="AG12" s="20">
        <f>AG8-AF8</f>
        <v>0</v>
      </c>
      <c r="AH12" s="20">
        <f>AH8-AG8</f>
        <v>0</v>
      </c>
      <c r="AI12" s="20">
        <f>AI8-AH8</f>
        <v>0</v>
      </c>
      <c r="AJ12" s="20">
        <f>AJ8-AI8</f>
        <v>0</v>
      </c>
      <c r="AK12" s="20">
        <f>AK8-AJ8</f>
        <v>0</v>
      </c>
      <c r="AL12" s="20">
        <f>AL8-AK8</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18" t="s">
        <v>297</v>
      </c>
      <c r="B13" s="16"/>
      <c r="C13" s="20">
        <f>C9</f>
        <v>0</v>
      </c>
      <c r="D13" s="20">
        <f>D9-C9</f>
        <v>0</v>
      </c>
      <c r="E13" s="20">
        <f>E9-D9</f>
        <v>0</v>
      </c>
      <c r="F13" s="20">
        <f>F9-E9</f>
        <v>0</v>
      </c>
      <c r="G13" s="20">
        <f>G9-F9</f>
        <v>0</v>
      </c>
      <c r="H13" s="20">
        <f>H9-G9</f>
        <v>0</v>
      </c>
      <c r="I13" s="20">
        <f>I9-H9</f>
        <v>0</v>
      </c>
      <c r="J13" s="20">
        <f>J9-I9</f>
        <v>0</v>
      </c>
      <c r="K13" s="20">
        <f>K9-J9</f>
        <v>0</v>
      </c>
      <c r="L13" s="20">
        <f>L9-K9</f>
        <v>0</v>
      </c>
      <c r="M13" s="20">
        <f>M9-L9</f>
        <v>0</v>
      </c>
      <c r="N13" s="20">
        <f>N9-M9</f>
        <v>0</v>
      </c>
      <c r="O13" s="20">
        <f>O9-N9</f>
        <v>0</v>
      </c>
      <c r="P13" s="20">
        <f>P9-O9</f>
        <v>0</v>
      </c>
      <c r="Q13" s="20">
        <f>Q9-P9</f>
        <v>0</v>
      </c>
      <c r="R13" s="20">
        <f>R9-Q9</f>
        <v>0</v>
      </c>
      <c r="S13" s="20">
        <f>S9-R9</f>
        <v>0</v>
      </c>
      <c r="T13" s="20">
        <f>T9-S9</f>
        <v>0</v>
      </c>
      <c r="U13" s="20">
        <f>U9-T9</f>
        <v>0</v>
      </c>
      <c r="V13" s="20">
        <f>V9-U9</f>
        <v>0</v>
      </c>
      <c r="W13" s="20">
        <f>W9-V9</f>
        <v>0</v>
      </c>
      <c r="X13" s="20">
        <f>X9-W9</f>
        <v>0</v>
      </c>
      <c r="Y13" s="20">
        <f>Y9-X9</f>
        <v>0</v>
      </c>
      <c r="Z13" s="20">
        <f>Z9-Y9</f>
        <v>0</v>
      </c>
      <c r="AA13" s="20">
        <f>AA9-Z9</f>
        <v>0</v>
      </c>
      <c r="AB13" s="20">
        <f>AB9-AA9</f>
        <v>0</v>
      </c>
      <c r="AC13" s="20">
        <f>AC9-AB9</f>
        <v>0</v>
      </c>
      <c r="AD13" s="20">
        <f>AD9-AC9</f>
        <v>0</v>
      </c>
      <c r="AE13" s="20">
        <f>AE9-AD9</f>
        <v>0</v>
      </c>
      <c r="AF13" s="20">
        <f>AF9-AE9</f>
        <v>0</v>
      </c>
      <c r="AG13" s="20">
        <f>AG9-AF9</f>
        <v>0</v>
      </c>
      <c r="AH13" s="20">
        <f>AH9-AG9</f>
        <v>0</v>
      </c>
      <c r="AI13" s="20">
        <f>AI9-AH9</f>
        <v>0</v>
      </c>
      <c r="AJ13" s="20">
        <f>AJ9-AI9</f>
        <v>0</v>
      </c>
      <c r="AK13" s="20">
        <f>AK9-AJ9</f>
        <v>0</v>
      </c>
      <c r="AL13" s="20">
        <f>AL9-AK9</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18" t="s">
        <v>298</v>
      </c>
      <c r="B14" s="16"/>
      <c r="C14" s="20">
        <f>C10</f>
        <v>0</v>
      </c>
      <c r="D14" s="20">
        <f>D10-C10</f>
        <v>0</v>
      </c>
      <c r="E14" s="20">
        <f>E10-D10</f>
        <v>0</v>
      </c>
      <c r="F14" s="20">
        <f>F10-E10</f>
        <v>0</v>
      </c>
      <c r="G14" s="20">
        <f>G10-F10</f>
        <v>0</v>
      </c>
      <c r="H14" s="20">
        <f>H10-G10</f>
        <v>0</v>
      </c>
      <c r="I14" s="20">
        <f>I10-H10</f>
        <v>0</v>
      </c>
      <c r="J14" s="20">
        <f>J10-I10</f>
        <v>0</v>
      </c>
      <c r="K14" s="20">
        <f>K10-J10</f>
        <v>0</v>
      </c>
      <c r="L14" s="20">
        <f>L10-K10</f>
        <v>0</v>
      </c>
      <c r="M14" s="20">
        <f>M10-L10</f>
        <v>0</v>
      </c>
      <c r="N14" s="20">
        <f>N10-M10</f>
        <v>0</v>
      </c>
      <c r="O14" s="20">
        <f>O10-N10</f>
        <v>0</v>
      </c>
      <c r="P14" s="20">
        <f>P10-O10</f>
        <v>0</v>
      </c>
      <c r="Q14" s="20">
        <f>Q10-P10</f>
        <v>0</v>
      </c>
      <c r="R14" s="20">
        <f>R10-Q10</f>
        <v>0</v>
      </c>
      <c r="S14" s="20">
        <f>S10-R10</f>
        <v>0</v>
      </c>
      <c r="T14" s="20">
        <f>T10-S10</f>
        <v>0</v>
      </c>
      <c r="U14" s="20">
        <f>U10-T10</f>
        <v>0</v>
      </c>
      <c r="V14" s="20">
        <f>V10-U10</f>
        <v>0</v>
      </c>
      <c r="W14" s="20">
        <f>W10-V10</f>
        <v>0</v>
      </c>
      <c r="X14" s="20">
        <f>X10-W10</f>
        <v>0</v>
      </c>
      <c r="Y14" s="20">
        <f>Y10-X10</f>
        <v>0</v>
      </c>
      <c r="Z14" s="20">
        <f>Z10-Y10</f>
        <v>0</v>
      </c>
      <c r="AA14" s="20">
        <f>AA10-Z10</f>
        <v>0</v>
      </c>
      <c r="AB14" s="20">
        <f>AB10-AA10</f>
        <v>0</v>
      </c>
      <c r="AC14" s="20">
        <f>AC10-AB10</f>
        <v>0</v>
      </c>
      <c r="AD14" s="20">
        <f>AD10-AC10</f>
        <v>0</v>
      </c>
      <c r="AE14" s="20">
        <f>AE10-AD10</f>
        <v>0</v>
      </c>
      <c r="AF14" s="20">
        <f>AF10-AE10</f>
        <v>0</v>
      </c>
      <c r="AG14" s="20">
        <f>AG10-AF10</f>
        <v>0</v>
      </c>
      <c r="AH14" s="20">
        <f>AH10-AG10</f>
        <v>0</v>
      </c>
      <c r="AI14" s="20">
        <f>AI10-AH10</f>
        <v>0</v>
      </c>
      <c r="AJ14" s="20">
        <f>AJ10-AI10</f>
        <v>0</v>
      </c>
      <c r="AK14" s="20">
        <f>AK10-AJ10</f>
        <v>0</v>
      </c>
      <c r="AL14" s="20">
        <f>AL10-AK10</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c r="A15" s="18" t="s">
        <v>299</v>
      </c>
      <c r="B15" s="16"/>
      <c r="C15" s="20">
        <f>C11</f>
        <v>0</v>
      </c>
      <c r="D15" s="20">
        <f>D11-C11</f>
        <v>0</v>
      </c>
      <c r="E15" s="20">
        <f>E11-D11</f>
        <v>0</v>
      </c>
      <c r="F15" s="20">
        <f>F11-E11</f>
        <v>0</v>
      </c>
      <c r="G15" s="20">
        <f>G11-F11</f>
        <v>0</v>
      </c>
      <c r="H15" s="20">
        <f>H11-G11</f>
        <v>0</v>
      </c>
      <c r="I15" s="20">
        <f>I11-H11</f>
        <v>0</v>
      </c>
      <c r="J15" s="20">
        <f>J11-I11</f>
        <v>0</v>
      </c>
      <c r="K15" s="20">
        <f>K11-J11</f>
        <v>0</v>
      </c>
      <c r="L15" s="20">
        <f>L11-K11</f>
        <v>0</v>
      </c>
      <c r="M15" s="20">
        <f>M11-L11</f>
        <v>0</v>
      </c>
      <c r="N15" s="20">
        <f>N11-M11</f>
        <v>0</v>
      </c>
      <c r="O15" s="20">
        <f>O11-N11</f>
        <v>0</v>
      </c>
      <c r="P15" s="20">
        <f>P11-O11</f>
        <v>0</v>
      </c>
      <c r="Q15" s="20">
        <f>Q11-P11</f>
        <v>0</v>
      </c>
      <c r="R15" s="20">
        <f>R11-Q11</f>
        <v>0</v>
      </c>
      <c r="S15" s="20">
        <f>S11-R11</f>
        <v>0</v>
      </c>
      <c r="T15" s="20">
        <f>T11-S11</f>
        <v>0</v>
      </c>
      <c r="U15" s="20">
        <f>U11-T11</f>
        <v>0</v>
      </c>
      <c r="V15" s="20">
        <f>V11-U11</f>
        <v>0</v>
      </c>
      <c r="W15" s="20">
        <f>W11-V11</f>
        <v>0</v>
      </c>
      <c r="X15" s="20">
        <f>X11-W11</f>
        <v>0</v>
      </c>
      <c r="Y15" s="20">
        <f>Y11-X11</f>
        <v>0</v>
      </c>
      <c r="Z15" s="20">
        <f>Z11-Y11</f>
        <v>0</v>
      </c>
      <c r="AA15" s="20">
        <f>AA11-Z11</f>
        <v>0</v>
      </c>
      <c r="AB15" s="20">
        <f>AB11-AA11</f>
        <v>0</v>
      </c>
      <c r="AC15" s="20">
        <f>AC11-AB11</f>
        <v>0</v>
      </c>
      <c r="AD15" s="20">
        <f>AD11-AC11</f>
        <v>0</v>
      </c>
      <c r="AE15" s="20">
        <f>AE11-AD11</f>
        <v>0</v>
      </c>
      <c r="AF15" s="20">
        <f>AF11-AE11</f>
        <v>0</v>
      </c>
      <c r="AG15" s="20">
        <f>AG11-AF11</f>
        <v>0</v>
      </c>
      <c r="AH15" s="20">
        <f>AH11-AG11</f>
        <v>0</v>
      </c>
      <c r="AI15" s="20">
        <f>AI11-AH11</f>
        <v>0</v>
      </c>
      <c r="AJ15" s="20">
        <f>AJ11-AI11</f>
        <v>0</v>
      </c>
      <c r="AK15" s="20">
        <f>AK11-AJ11</f>
        <v>0</v>
      </c>
      <c r="AL15" s="20">
        <f>AL11-AK11</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ht="5" customHeight="1"/>
    <row r="17" spans="1:55" ht="16" customHeight="1">
      <c r="A17" s="14" t="s">
        <v>300</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row>
    <row r="18" spans="1:55">
      <c r="A18" s="18" t="s">
        <v>301</v>
      </c>
      <c r="B18" s="16" t="s">
        <v>302</v>
      </c>
      <c r="C18" s="20">
        <f>'Revenue'!C36*'Assumptions'!$F$64</f>
        <v>0</v>
      </c>
      <c r="D18" s="20">
        <f>'Revenue'!D36*'Assumptions'!$F$64</f>
        <v>0</v>
      </c>
      <c r="E18" s="20">
        <f>'Revenue'!E36*'Assumptions'!$F$64</f>
        <v>0</v>
      </c>
      <c r="F18" s="20">
        <f>'Revenue'!F36*'Assumptions'!$F$64</f>
        <v>0</v>
      </c>
      <c r="G18" s="20">
        <f>'Revenue'!G36*'Assumptions'!$F$64</f>
        <v>0</v>
      </c>
      <c r="H18" s="20">
        <f>'Revenue'!H36*'Assumptions'!$F$64</f>
        <v>0</v>
      </c>
      <c r="I18" s="20">
        <f>'Revenue'!I36*'Assumptions'!$F$64</f>
        <v>0</v>
      </c>
      <c r="J18" s="20">
        <f>'Revenue'!J36*'Assumptions'!$F$64</f>
        <v>0</v>
      </c>
      <c r="K18" s="20">
        <f>'Revenue'!K36*'Assumptions'!$F$64</f>
        <v>0</v>
      </c>
      <c r="L18" s="20">
        <f>'Revenue'!L36*'Assumptions'!$F$64</f>
        <v>0</v>
      </c>
      <c r="M18" s="20">
        <f>'Revenue'!M36*'Assumptions'!$F$64</f>
        <v>0</v>
      </c>
      <c r="N18" s="20">
        <f>'Revenue'!N36*'Assumptions'!$F$64</f>
        <v>0</v>
      </c>
      <c r="O18" s="20">
        <f>'Revenue'!O36*'Assumptions'!$F$64</f>
        <v>0</v>
      </c>
      <c r="P18" s="20">
        <f>'Revenue'!P36*'Assumptions'!$F$64</f>
        <v>0</v>
      </c>
      <c r="Q18" s="20">
        <f>'Revenue'!Q36*'Assumptions'!$F$64</f>
        <v>0</v>
      </c>
      <c r="R18" s="20">
        <f>'Revenue'!R36*'Assumptions'!$F$64</f>
        <v>0</v>
      </c>
      <c r="S18" s="20">
        <f>'Revenue'!S36*'Assumptions'!$F$64</f>
        <v>0</v>
      </c>
      <c r="T18" s="20">
        <f>'Revenue'!T36*'Assumptions'!$F$64</f>
        <v>0</v>
      </c>
      <c r="U18" s="20">
        <f>'Revenue'!U36*'Assumptions'!$F$64</f>
        <v>0</v>
      </c>
      <c r="V18" s="20">
        <f>'Revenue'!V36*'Assumptions'!$F$64</f>
        <v>0</v>
      </c>
      <c r="W18" s="20">
        <f>'Revenue'!W36*'Assumptions'!$F$64</f>
        <v>0</v>
      </c>
      <c r="X18" s="20">
        <f>'Revenue'!X36*'Assumptions'!$F$64</f>
        <v>0</v>
      </c>
      <c r="Y18" s="20">
        <f>'Revenue'!Y36*'Assumptions'!$F$64</f>
        <v>0</v>
      </c>
      <c r="Z18" s="20">
        <f>'Revenue'!Z36*'Assumptions'!$F$64</f>
        <v>0</v>
      </c>
      <c r="AA18" s="20">
        <f>'Revenue'!AA36*'Assumptions'!$F$64</f>
        <v>0</v>
      </c>
      <c r="AB18" s="20">
        <f>'Revenue'!AB36*'Assumptions'!$F$64</f>
        <v>0</v>
      </c>
      <c r="AC18" s="20">
        <f>'Revenue'!AC36*'Assumptions'!$F$64</f>
        <v>0</v>
      </c>
      <c r="AD18" s="20">
        <f>'Revenue'!AD36*'Assumptions'!$F$64</f>
        <v>0</v>
      </c>
      <c r="AE18" s="20">
        <f>'Revenue'!AE36*'Assumptions'!$F$64</f>
        <v>0</v>
      </c>
      <c r="AF18" s="20">
        <f>'Revenue'!AF36*'Assumptions'!$F$64</f>
        <v>0</v>
      </c>
      <c r="AG18" s="20">
        <f>'Revenue'!AG36*'Assumptions'!$F$64</f>
        <v>0</v>
      </c>
      <c r="AH18" s="20">
        <f>'Revenue'!AH36*'Assumptions'!$F$64</f>
        <v>0</v>
      </c>
      <c r="AI18" s="20">
        <f>'Revenue'!AI36*'Assumptions'!$F$64</f>
        <v>0</v>
      </c>
      <c r="AJ18" s="20">
        <f>'Revenue'!AJ36*'Assumptions'!$F$64</f>
        <v>0</v>
      </c>
      <c r="AK18" s="20">
        <f>'Revenue'!AK36*'Assumptions'!$F$64</f>
        <v>0</v>
      </c>
      <c r="AL18" s="20">
        <f>'Revenue'!AL36*'Assumptions'!$F$64</f>
        <v>0</v>
      </c>
      <c r="AN18" s="20">
        <f>SUM(C18:E18)</f>
        <v>0</v>
      </c>
      <c r="AO18" s="20">
        <f>SUM(F18:H18)</f>
        <v>0</v>
      </c>
      <c r="AP18" s="20">
        <f>SUM(I18:K18)</f>
        <v>0</v>
      </c>
      <c r="AQ18" s="20">
        <f>SUM(L18:N18)</f>
        <v>0</v>
      </c>
      <c r="AR18" s="20">
        <f>SUM(O18:Q18)</f>
        <v>0</v>
      </c>
      <c r="AS18" s="20">
        <f>SUM(R18:T18)</f>
        <v>0</v>
      </c>
      <c r="AT18" s="20">
        <f>SUM(U18:W18)</f>
        <v>0</v>
      </c>
      <c r="AU18" s="20">
        <f>SUM(X18:Z18)</f>
        <v>0</v>
      </c>
      <c r="AV18" s="20">
        <f>SUM(AA18:AC18)</f>
        <v>0</v>
      </c>
      <c r="AW18" s="20">
        <f>SUM(AD18:AF18)</f>
        <v>0</v>
      </c>
      <c r="AX18" s="20">
        <f>SUM(AG18:AI18)</f>
        <v>0</v>
      </c>
      <c r="AY18" s="20">
        <f>SUM(AJ18:AL18)</f>
        <v>0</v>
      </c>
      <c r="BA18" s="20">
        <f>SUM(C18:N18)</f>
        <v>0</v>
      </c>
      <c r="BB18" s="20">
        <f>SUM(O18:Z18)</f>
        <v>0</v>
      </c>
      <c r="BC18" s="20">
        <f>SUM(AA18:AL18)</f>
        <v>0</v>
      </c>
    </row>
    <row r="19" spans="1:55">
      <c r="A19" s="18" t="s">
        <v>303</v>
      </c>
      <c r="B19" s="16" t="s">
        <v>304</v>
      </c>
      <c r="C19" s="20">
        <f>SUM(INDEX('Working Capital'!$C$18:$AL$18,1,MAX(1,1-ROUND('Assumptions'!$F$65,0)+1)):INDEX('Working Capital'!$C$18:$AL$18,1,1))/ROUND('Assumptions'!$F$65,0)</f>
        <v>0</v>
      </c>
      <c r="D19" s="20">
        <f>SUM(INDEX('Working Capital'!$C$18:$AL$18,1,MAX(1,2-ROUND('Assumptions'!$F$65,0)+1)):INDEX('Working Capital'!$C$18:$AL$18,1,2))/ROUND('Assumptions'!$F$65,0)</f>
        <v>0</v>
      </c>
      <c r="E19" s="20">
        <f>SUM(INDEX('Working Capital'!$C$18:$AL$18,1,MAX(1,3-ROUND('Assumptions'!$F$65,0)+1)):INDEX('Working Capital'!$C$18:$AL$18,1,3))/ROUND('Assumptions'!$F$65,0)</f>
        <v>0</v>
      </c>
      <c r="F19" s="20">
        <f>SUM(INDEX('Working Capital'!$C$18:$AL$18,1,MAX(1,4-ROUND('Assumptions'!$F$65,0)+1)):INDEX('Working Capital'!$C$18:$AL$18,1,4))/ROUND('Assumptions'!$F$65,0)</f>
        <v>0</v>
      </c>
      <c r="G19" s="20">
        <f>SUM(INDEX('Working Capital'!$C$18:$AL$18,1,MAX(1,5-ROUND('Assumptions'!$F$65,0)+1)):INDEX('Working Capital'!$C$18:$AL$18,1,5))/ROUND('Assumptions'!$F$65,0)</f>
        <v>0</v>
      </c>
      <c r="H19" s="20">
        <f>SUM(INDEX('Working Capital'!$C$18:$AL$18,1,MAX(1,6-ROUND('Assumptions'!$F$65,0)+1)):INDEX('Working Capital'!$C$18:$AL$18,1,6))/ROUND('Assumptions'!$F$65,0)</f>
        <v>0</v>
      </c>
      <c r="I19" s="20">
        <f>SUM(INDEX('Working Capital'!$C$18:$AL$18,1,MAX(1,7-ROUND('Assumptions'!$F$65,0)+1)):INDEX('Working Capital'!$C$18:$AL$18,1,7))/ROUND('Assumptions'!$F$65,0)</f>
        <v>0</v>
      </c>
      <c r="J19" s="20">
        <f>SUM(INDEX('Working Capital'!$C$18:$AL$18,1,MAX(1,8-ROUND('Assumptions'!$F$65,0)+1)):INDEX('Working Capital'!$C$18:$AL$18,1,8))/ROUND('Assumptions'!$F$65,0)</f>
        <v>0</v>
      </c>
      <c r="K19" s="20">
        <f>SUM(INDEX('Working Capital'!$C$18:$AL$18,1,MAX(1,9-ROUND('Assumptions'!$F$65,0)+1)):INDEX('Working Capital'!$C$18:$AL$18,1,9))/ROUND('Assumptions'!$F$65,0)</f>
        <v>0</v>
      </c>
      <c r="L19" s="20">
        <f>SUM(INDEX('Working Capital'!$C$18:$AL$18,1,MAX(1,10-ROUND('Assumptions'!$F$65,0)+1)):INDEX('Working Capital'!$C$18:$AL$18,1,10))/ROUND('Assumptions'!$F$65,0)</f>
        <v>0</v>
      </c>
      <c r="M19" s="20">
        <f>SUM(INDEX('Working Capital'!$C$18:$AL$18,1,MAX(1,11-ROUND('Assumptions'!$F$65,0)+1)):INDEX('Working Capital'!$C$18:$AL$18,1,11))/ROUND('Assumptions'!$F$65,0)</f>
        <v>0</v>
      </c>
      <c r="N19" s="20">
        <f>SUM(INDEX('Working Capital'!$C$18:$AL$18,1,MAX(1,12-ROUND('Assumptions'!$F$65,0)+1)):INDEX('Working Capital'!$C$18:$AL$18,1,12))/ROUND('Assumptions'!$F$65,0)</f>
        <v>0</v>
      </c>
      <c r="O19" s="20">
        <f>SUM(INDEX('Working Capital'!$C$18:$AL$18,1,MAX(1,13-ROUND('Assumptions'!$F$65,0)+1)):INDEX('Working Capital'!$C$18:$AL$18,1,13))/ROUND('Assumptions'!$F$65,0)</f>
        <v>0</v>
      </c>
      <c r="P19" s="20">
        <f>SUM(INDEX('Working Capital'!$C$18:$AL$18,1,MAX(1,14-ROUND('Assumptions'!$F$65,0)+1)):INDEX('Working Capital'!$C$18:$AL$18,1,14))/ROUND('Assumptions'!$F$65,0)</f>
        <v>0</v>
      </c>
      <c r="Q19" s="20">
        <f>SUM(INDEX('Working Capital'!$C$18:$AL$18,1,MAX(1,15-ROUND('Assumptions'!$F$65,0)+1)):INDEX('Working Capital'!$C$18:$AL$18,1,15))/ROUND('Assumptions'!$F$65,0)</f>
        <v>0</v>
      </c>
      <c r="R19" s="20">
        <f>SUM(INDEX('Working Capital'!$C$18:$AL$18,1,MAX(1,16-ROUND('Assumptions'!$F$65,0)+1)):INDEX('Working Capital'!$C$18:$AL$18,1,16))/ROUND('Assumptions'!$F$65,0)</f>
        <v>0</v>
      </c>
      <c r="S19" s="20">
        <f>SUM(INDEX('Working Capital'!$C$18:$AL$18,1,MAX(1,17-ROUND('Assumptions'!$F$65,0)+1)):INDEX('Working Capital'!$C$18:$AL$18,1,17))/ROUND('Assumptions'!$F$65,0)</f>
        <v>0</v>
      </c>
      <c r="T19" s="20">
        <f>SUM(INDEX('Working Capital'!$C$18:$AL$18,1,MAX(1,18-ROUND('Assumptions'!$F$65,0)+1)):INDEX('Working Capital'!$C$18:$AL$18,1,18))/ROUND('Assumptions'!$F$65,0)</f>
        <v>0</v>
      </c>
      <c r="U19" s="20">
        <f>SUM(INDEX('Working Capital'!$C$18:$AL$18,1,MAX(1,19-ROUND('Assumptions'!$F$65,0)+1)):INDEX('Working Capital'!$C$18:$AL$18,1,19))/ROUND('Assumptions'!$F$65,0)</f>
        <v>0</v>
      </c>
      <c r="V19" s="20">
        <f>SUM(INDEX('Working Capital'!$C$18:$AL$18,1,MAX(1,20-ROUND('Assumptions'!$F$65,0)+1)):INDEX('Working Capital'!$C$18:$AL$18,1,20))/ROUND('Assumptions'!$F$65,0)</f>
        <v>0</v>
      </c>
      <c r="W19" s="20">
        <f>SUM(INDEX('Working Capital'!$C$18:$AL$18,1,MAX(1,21-ROUND('Assumptions'!$F$65,0)+1)):INDEX('Working Capital'!$C$18:$AL$18,1,21))/ROUND('Assumptions'!$F$65,0)</f>
        <v>0</v>
      </c>
      <c r="X19" s="20">
        <f>SUM(INDEX('Working Capital'!$C$18:$AL$18,1,MAX(1,22-ROUND('Assumptions'!$F$65,0)+1)):INDEX('Working Capital'!$C$18:$AL$18,1,22))/ROUND('Assumptions'!$F$65,0)</f>
        <v>0</v>
      </c>
      <c r="Y19" s="20">
        <f>SUM(INDEX('Working Capital'!$C$18:$AL$18,1,MAX(1,23-ROUND('Assumptions'!$F$65,0)+1)):INDEX('Working Capital'!$C$18:$AL$18,1,23))/ROUND('Assumptions'!$F$65,0)</f>
        <v>0</v>
      </c>
      <c r="Z19" s="20">
        <f>SUM(INDEX('Working Capital'!$C$18:$AL$18,1,MAX(1,24-ROUND('Assumptions'!$F$65,0)+1)):INDEX('Working Capital'!$C$18:$AL$18,1,24))/ROUND('Assumptions'!$F$65,0)</f>
        <v>0</v>
      </c>
      <c r="AA19" s="20">
        <f>SUM(INDEX('Working Capital'!$C$18:$AL$18,1,MAX(1,25-ROUND('Assumptions'!$F$65,0)+1)):INDEX('Working Capital'!$C$18:$AL$18,1,25))/ROUND('Assumptions'!$F$65,0)</f>
        <v>0</v>
      </c>
      <c r="AB19" s="20">
        <f>SUM(INDEX('Working Capital'!$C$18:$AL$18,1,MAX(1,26-ROUND('Assumptions'!$F$65,0)+1)):INDEX('Working Capital'!$C$18:$AL$18,1,26))/ROUND('Assumptions'!$F$65,0)</f>
        <v>0</v>
      </c>
      <c r="AC19" s="20">
        <f>SUM(INDEX('Working Capital'!$C$18:$AL$18,1,MAX(1,27-ROUND('Assumptions'!$F$65,0)+1)):INDEX('Working Capital'!$C$18:$AL$18,1,27))/ROUND('Assumptions'!$F$65,0)</f>
        <v>0</v>
      </c>
      <c r="AD19" s="20">
        <f>SUM(INDEX('Working Capital'!$C$18:$AL$18,1,MAX(1,28-ROUND('Assumptions'!$F$65,0)+1)):INDEX('Working Capital'!$C$18:$AL$18,1,28))/ROUND('Assumptions'!$F$65,0)</f>
        <v>0</v>
      </c>
      <c r="AE19" s="20">
        <f>SUM(INDEX('Working Capital'!$C$18:$AL$18,1,MAX(1,29-ROUND('Assumptions'!$F$65,0)+1)):INDEX('Working Capital'!$C$18:$AL$18,1,29))/ROUND('Assumptions'!$F$65,0)</f>
        <v>0</v>
      </c>
      <c r="AF19" s="20">
        <f>SUM(INDEX('Working Capital'!$C$18:$AL$18,1,MAX(1,30-ROUND('Assumptions'!$F$65,0)+1)):INDEX('Working Capital'!$C$18:$AL$18,1,30))/ROUND('Assumptions'!$F$65,0)</f>
        <v>0</v>
      </c>
      <c r="AG19" s="20">
        <f>SUM(INDEX('Working Capital'!$C$18:$AL$18,1,MAX(1,31-ROUND('Assumptions'!$F$65,0)+1)):INDEX('Working Capital'!$C$18:$AL$18,1,31))/ROUND('Assumptions'!$F$65,0)</f>
        <v>0</v>
      </c>
      <c r="AH19" s="20">
        <f>SUM(INDEX('Working Capital'!$C$18:$AL$18,1,MAX(1,32-ROUND('Assumptions'!$F$65,0)+1)):INDEX('Working Capital'!$C$18:$AL$18,1,32))/ROUND('Assumptions'!$F$65,0)</f>
        <v>0</v>
      </c>
      <c r="AI19" s="20">
        <f>SUM(INDEX('Working Capital'!$C$18:$AL$18,1,MAX(1,33-ROUND('Assumptions'!$F$65,0)+1)):INDEX('Working Capital'!$C$18:$AL$18,1,33))/ROUND('Assumptions'!$F$65,0)</f>
        <v>0</v>
      </c>
      <c r="AJ19" s="20">
        <f>SUM(INDEX('Working Capital'!$C$18:$AL$18,1,MAX(1,34-ROUND('Assumptions'!$F$65,0)+1)):INDEX('Working Capital'!$C$18:$AL$18,1,34))/ROUND('Assumptions'!$F$65,0)</f>
        <v>0</v>
      </c>
      <c r="AK19" s="20">
        <f>SUM(INDEX('Working Capital'!$C$18:$AL$18,1,MAX(1,35-ROUND('Assumptions'!$F$65,0)+1)):INDEX('Working Capital'!$C$18:$AL$18,1,35))/ROUND('Assumptions'!$F$65,0)</f>
        <v>0</v>
      </c>
      <c r="AL19" s="20">
        <f>SUM(INDEX('Working Capital'!$C$18:$AL$18,1,MAX(1,36-ROUND('Assumptions'!$F$65,0)+1)):INDEX('Working Capital'!$C$18:$AL$18,1,36))/ROUND('Assumptions'!$F$65,0)</f>
        <v>0</v>
      </c>
      <c r="AN19" s="20">
        <f>SUM(C19:E19)</f>
        <v>0</v>
      </c>
      <c r="AO19" s="20">
        <f>SUM(F19:H19)</f>
        <v>0</v>
      </c>
      <c r="AP19" s="20">
        <f>SUM(I19:K19)</f>
        <v>0</v>
      </c>
      <c r="AQ19" s="20">
        <f>SUM(L19:N19)</f>
        <v>0</v>
      </c>
      <c r="AR19" s="20">
        <f>SUM(O19:Q19)</f>
        <v>0</v>
      </c>
      <c r="AS19" s="20">
        <f>SUM(R19:T19)</f>
        <v>0</v>
      </c>
      <c r="AT19" s="20">
        <f>SUM(U19:W19)</f>
        <v>0</v>
      </c>
      <c r="AU19" s="20">
        <f>SUM(X19:Z19)</f>
        <v>0</v>
      </c>
      <c r="AV19" s="20">
        <f>SUM(AA19:AC19)</f>
        <v>0</v>
      </c>
      <c r="AW19" s="20">
        <f>SUM(AD19:AF19)</f>
        <v>0</v>
      </c>
      <c r="AX19" s="20">
        <f>SUM(AG19:AI19)</f>
        <v>0</v>
      </c>
      <c r="AY19" s="20">
        <f>SUM(AJ19:AL19)</f>
        <v>0</v>
      </c>
      <c r="BA19" s="20">
        <f>SUM(C19:N19)</f>
        <v>0</v>
      </c>
      <c r="BB19" s="20">
        <f>SUM(O19:Z19)</f>
        <v>0</v>
      </c>
      <c r="BC19" s="20">
        <f>SUM(AA19:AL19)</f>
        <v>0</v>
      </c>
    </row>
    <row r="20" spans="1:55">
      <c r="A20" s="18" t="s">
        <v>305</v>
      </c>
      <c r="B20" s="16"/>
      <c r="C20" s="20">
        <f>C18-C19</f>
        <v>0</v>
      </c>
      <c r="D20" s="20">
        <f>C20+D18-D19</f>
        <v>0</v>
      </c>
      <c r="E20" s="20">
        <f>D20+E18-E19</f>
        <v>0</v>
      </c>
      <c r="F20" s="20">
        <f>E20+F18-F19</f>
        <v>0</v>
      </c>
      <c r="G20" s="20">
        <f>F20+G18-G19</f>
        <v>0</v>
      </c>
      <c r="H20" s="20">
        <f>G20+H18-H19</f>
        <v>0</v>
      </c>
      <c r="I20" s="20">
        <f>H20+I18-I19</f>
        <v>0</v>
      </c>
      <c r="J20" s="20">
        <f>I20+J18-J19</f>
        <v>0</v>
      </c>
      <c r="K20" s="20">
        <f>J20+K18-K19</f>
        <v>0</v>
      </c>
      <c r="L20" s="20">
        <f>K20+L18-L19</f>
        <v>0</v>
      </c>
      <c r="M20" s="20">
        <f>L20+M18-M19</f>
        <v>0</v>
      </c>
      <c r="N20" s="20">
        <f>M20+N18-N19</f>
        <v>0</v>
      </c>
      <c r="O20" s="20">
        <f>N20+O18-O19</f>
        <v>0</v>
      </c>
      <c r="P20" s="20">
        <f>O20+P18-P19</f>
        <v>0</v>
      </c>
      <c r="Q20" s="20">
        <f>P20+Q18-Q19</f>
        <v>0</v>
      </c>
      <c r="R20" s="20">
        <f>Q20+R18-R19</f>
        <v>0</v>
      </c>
      <c r="S20" s="20">
        <f>R20+S18-S19</f>
        <v>0</v>
      </c>
      <c r="T20" s="20">
        <f>S20+T18-T19</f>
        <v>0</v>
      </c>
      <c r="U20" s="20">
        <f>T20+U18-U19</f>
        <v>0</v>
      </c>
      <c r="V20" s="20">
        <f>U20+V18-V19</f>
        <v>0</v>
      </c>
      <c r="W20" s="20">
        <f>V20+W18-W19</f>
        <v>0</v>
      </c>
      <c r="X20" s="20">
        <f>W20+X18-X19</f>
        <v>0</v>
      </c>
      <c r="Y20" s="20">
        <f>X20+Y18-Y19</f>
        <v>0</v>
      </c>
      <c r="Z20" s="20">
        <f>Y20+Z18-Z19</f>
        <v>0</v>
      </c>
      <c r="AA20" s="20">
        <f>Z20+AA18-AA19</f>
        <v>0</v>
      </c>
      <c r="AB20" s="20">
        <f>AA20+AB18-AB19</f>
        <v>0</v>
      </c>
      <c r="AC20" s="20">
        <f>AB20+AC18-AC19</f>
        <v>0</v>
      </c>
      <c r="AD20" s="20">
        <f>AC20+AD18-AD19</f>
        <v>0</v>
      </c>
      <c r="AE20" s="20">
        <f>AD20+AE18-AE19</f>
        <v>0</v>
      </c>
      <c r="AF20" s="20">
        <f>AE20+AF18-AF19</f>
        <v>0</v>
      </c>
      <c r="AG20" s="20">
        <f>AF20+AG18-AG19</f>
        <v>0</v>
      </c>
      <c r="AH20" s="20">
        <f>AG20+AH18-AH19</f>
        <v>0</v>
      </c>
      <c r="AI20" s="20">
        <f>AH20+AI18-AI19</f>
        <v>0</v>
      </c>
      <c r="AJ20" s="20">
        <f>AI20+AJ18-AJ19</f>
        <v>0</v>
      </c>
      <c r="AK20" s="20">
        <f>AJ20+AK18-AK19</f>
        <v>0</v>
      </c>
      <c r="AL20" s="20">
        <f>AK20+AL18-AL19</f>
        <v>0</v>
      </c>
      <c r="AN20" s="20">
        <f>E20</f>
        <v>0</v>
      </c>
      <c r="AO20" s="20">
        <f>H20</f>
        <v>0</v>
      </c>
      <c r="AP20" s="20">
        <f>K20</f>
        <v>0</v>
      </c>
      <c r="AQ20" s="20">
        <f>N20</f>
        <v>0</v>
      </c>
      <c r="AR20" s="20">
        <f>Q20</f>
        <v>0</v>
      </c>
      <c r="AS20" s="20">
        <f>T20</f>
        <v>0</v>
      </c>
      <c r="AT20" s="20">
        <f>W20</f>
        <v>0</v>
      </c>
      <c r="AU20" s="20">
        <f>Z20</f>
        <v>0</v>
      </c>
      <c r="AV20" s="20">
        <f>AC20</f>
        <v>0</v>
      </c>
      <c r="AW20" s="20">
        <f>AF20</f>
        <v>0</v>
      </c>
      <c r="AX20" s="20">
        <f>AI20</f>
        <v>0</v>
      </c>
      <c r="AY20" s="20">
        <f>AL20</f>
        <v>0</v>
      </c>
      <c r="BA20" s="20">
        <f>N20</f>
        <v>0</v>
      </c>
      <c r="BB20" s="20">
        <f>Z20</f>
        <v>0</v>
      </c>
      <c r="BC20" s="20">
        <f>AL20</f>
        <v>0</v>
      </c>
    </row>
    <row r="21" spans="1:55" ht="5" customHeight="1"/>
    <row r="22" spans="1:55" ht="16" customHeight="1">
      <c r="A22" s="14" t="s">
        <v>306</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row>
    <row r="23" spans="1:55">
      <c r="A23" s="18" t="s">
        <v>307</v>
      </c>
      <c r="B23" s="16" t="s">
        <v>308</v>
      </c>
      <c r="C23" s="20">
        <f>0</f>
        <v>0</v>
      </c>
      <c r="D23" s="20">
        <f>0</f>
        <v>0</v>
      </c>
      <c r="E23" s="20">
        <f>0</f>
        <v>0</v>
      </c>
      <c r="F23" s="20">
        <f>0</f>
        <v>0</v>
      </c>
      <c r="G23" s="20">
        <f>0</f>
        <v>0</v>
      </c>
      <c r="H23" s="20">
        <f>0</f>
        <v>0</v>
      </c>
      <c r="I23" s="20">
        <f>0</f>
        <v>0</v>
      </c>
      <c r="J23" s="20">
        <f>0</f>
        <v>0</v>
      </c>
      <c r="K23" s="20">
        <f>'Assumptions'!$F$68</f>
        <v>0</v>
      </c>
      <c r="L23" s="20">
        <f>0</f>
        <v>0</v>
      </c>
      <c r="M23" s="20">
        <f>0</f>
        <v>0</v>
      </c>
      <c r="N23" s="20">
        <f>0</f>
        <v>0</v>
      </c>
      <c r="O23" s="20">
        <f>0</f>
        <v>0</v>
      </c>
      <c r="P23" s="20">
        <f>0</f>
        <v>0</v>
      </c>
      <c r="Q23" s="20">
        <f>0</f>
        <v>0</v>
      </c>
      <c r="R23" s="20">
        <f>0</f>
        <v>0</v>
      </c>
      <c r="S23" s="20">
        <f>0</f>
        <v>0</v>
      </c>
      <c r="T23" s="20">
        <f>0</f>
        <v>0</v>
      </c>
      <c r="U23" s="20">
        <f>0</f>
        <v>0</v>
      </c>
      <c r="V23" s="20">
        <f>0</f>
        <v>0</v>
      </c>
      <c r="W23" s="20">
        <f>0</f>
        <v>0</v>
      </c>
      <c r="X23" s="20">
        <f>0</f>
        <v>0</v>
      </c>
      <c r="Y23" s="20">
        <f>0</f>
        <v>0</v>
      </c>
      <c r="Z23" s="20">
        <f>0</f>
        <v>0</v>
      </c>
      <c r="AA23" s="20">
        <f>0</f>
        <v>0</v>
      </c>
      <c r="AB23" s="20">
        <f>0</f>
        <v>0</v>
      </c>
      <c r="AC23" s="20">
        <f>0</f>
        <v>0</v>
      </c>
      <c r="AD23" s="20">
        <f>0</f>
        <v>0</v>
      </c>
      <c r="AE23" s="20">
        <f>0</f>
        <v>0</v>
      </c>
      <c r="AF23" s="20">
        <f>0</f>
        <v>0</v>
      </c>
      <c r="AG23" s="20">
        <f>0</f>
        <v>0</v>
      </c>
      <c r="AH23" s="20">
        <f>0</f>
        <v>0</v>
      </c>
      <c r="AI23" s="20">
        <f>0</f>
        <v>0</v>
      </c>
      <c r="AJ23" s="20">
        <f>0</f>
        <v>0</v>
      </c>
      <c r="AK23" s="20">
        <f>0</f>
        <v>0</v>
      </c>
      <c r="AL23" s="20">
        <f>0</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18" t="s">
        <v>309</v>
      </c>
      <c r="B24" s="16" t="s">
        <v>310</v>
      </c>
      <c r="C24" s="20">
        <f>0</f>
        <v>0</v>
      </c>
      <c r="D24" s="20">
        <f>0</f>
        <v>0</v>
      </c>
      <c r="E24" s="20">
        <f>0</f>
        <v>0</v>
      </c>
      <c r="F24" s="20">
        <f>0</f>
        <v>0</v>
      </c>
      <c r="G24" s="20">
        <f>0</f>
        <v>0</v>
      </c>
      <c r="H24" s="20">
        <f>0</f>
        <v>0</v>
      </c>
      <c r="I24" s="20">
        <f>0</f>
        <v>0</v>
      </c>
      <c r="J24" s="20">
        <f>0</f>
        <v>0</v>
      </c>
      <c r="K24" s="20">
        <f>0</f>
        <v>0</v>
      </c>
      <c r="L24" s="20">
        <f>0</f>
        <v>0</v>
      </c>
      <c r="M24" s="20">
        <f>0</f>
        <v>0</v>
      </c>
      <c r="N24" s="20">
        <f>0</f>
        <v>0</v>
      </c>
      <c r="O24" s="20">
        <f>0</f>
        <v>0</v>
      </c>
      <c r="P24" s="20">
        <f>0</f>
        <v>0</v>
      </c>
      <c r="Q24" s="20">
        <f>0</f>
        <v>0</v>
      </c>
      <c r="R24" s="20">
        <f>0</f>
        <v>0</v>
      </c>
      <c r="S24" s="20">
        <f>0</f>
        <v>0</v>
      </c>
      <c r="T24" s="20">
        <f>0</f>
        <v>0</v>
      </c>
      <c r="U24" s="20">
        <f>MIN(T25,'Assumptions'!$F$69)</f>
        <v>0</v>
      </c>
      <c r="V24" s="20">
        <f>MIN(U25,'Assumptions'!$F$69)</f>
        <v>0</v>
      </c>
      <c r="W24" s="20">
        <f>MIN(V25,'Assumptions'!$F$69)</f>
        <v>0</v>
      </c>
      <c r="X24" s="20">
        <f>MIN(W25,'Assumptions'!$F$69)</f>
        <v>0</v>
      </c>
      <c r="Y24" s="20">
        <f>MIN(X25,'Assumptions'!$F$69)</f>
        <v>0</v>
      </c>
      <c r="Z24" s="20">
        <f>MIN(Y25,'Assumptions'!$F$69)</f>
        <v>0</v>
      </c>
      <c r="AA24" s="20">
        <f>MIN(Z25,'Assumptions'!$F$69)</f>
        <v>0</v>
      </c>
      <c r="AB24" s="20">
        <f>MIN(AA25,'Assumptions'!$F$69)</f>
        <v>0</v>
      </c>
      <c r="AC24" s="20">
        <f>MIN(AB25,'Assumptions'!$F$69)</f>
        <v>0</v>
      </c>
      <c r="AD24" s="20">
        <f>MIN(AC25,'Assumptions'!$F$69)</f>
        <v>0</v>
      </c>
      <c r="AE24" s="20">
        <f>MIN(AD25,'Assumptions'!$F$69)</f>
        <v>0</v>
      </c>
      <c r="AF24" s="20">
        <f>MIN(AE25,'Assumptions'!$F$69)</f>
        <v>0</v>
      </c>
      <c r="AG24" s="20">
        <f>MIN(AF25,'Assumptions'!$F$69)</f>
        <v>0</v>
      </c>
      <c r="AH24" s="20">
        <f>MIN(AG25,'Assumptions'!$F$69)</f>
        <v>0</v>
      </c>
      <c r="AI24" s="20">
        <f>MIN(AH25,'Assumptions'!$F$69)</f>
        <v>0</v>
      </c>
      <c r="AJ24" s="20">
        <f>MIN(AI25,'Assumptions'!$F$69)</f>
        <v>0</v>
      </c>
      <c r="AK24" s="20">
        <f>MIN(AJ25,'Assumptions'!$F$69)</f>
        <v>0</v>
      </c>
      <c r="AL24" s="20">
        <f>MIN(AK25,'Assumptions'!$F$69)</f>
        <v>0</v>
      </c>
      <c r="AN24" s="20">
        <f>SUM(C24:E24)</f>
        <v>0</v>
      </c>
      <c r="AO24" s="20">
        <f>SUM(F24:H24)</f>
        <v>0</v>
      </c>
      <c r="AP24" s="20">
        <f>SUM(I24:K24)</f>
        <v>0</v>
      </c>
      <c r="AQ24" s="20">
        <f>SUM(L24:N24)</f>
        <v>0</v>
      </c>
      <c r="AR24" s="20">
        <f>SUM(O24:Q24)</f>
        <v>0</v>
      </c>
      <c r="AS24" s="20">
        <f>SUM(R24:T24)</f>
        <v>0</v>
      </c>
      <c r="AT24" s="20">
        <f>SUM(U24:W24)</f>
        <v>0</v>
      </c>
      <c r="AU24" s="20">
        <f>SUM(X24:Z24)</f>
        <v>0</v>
      </c>
      <c r="AV24" s="20">
        <f>SUM(AA24:AC24)</f>
        <v>0</v>
      </c>
      <c r="AW24" s="20">
        <f>SUM(AD24:AF24)</f>
        <v>0</v>
      </c>
      <c r="AX24" s="20">
        <f>SUM(AG24:AI24)</f>
        <v>0</v>
      </c>
      <c r="AY24" s="20">
        <f>SUM(AJ24:AL24)</f>
        <v>0</v>
      </c>
      <c r="BA24" s="20">
        <f>SUM(C24:N24)</f>
        <v>0</v>
      </c>
      <c r="BB24" s="20">
        <f>SUM(O24:Z24)</f>
        <v>0</v>
      </c>
      <c r="BC24" s="20">
        <f>SUM(AA24:AL24)</f>
        <v>0</v>
      </c>
    </row>
    <row r="25" spans="1:55">
      <c r="A25" s="28" t="s">
        <v>311</v>
      </c>
      <c r="B25" s="16" t="s">
        <v>312</v>
      </c>
      <c r="C25" s="29">
        <f>C23-C24</f>
        <v>0</v>
      </c>
      <c r="D25" s="29">
        <f>C25+D23-D24</f>
        <v>0</v>
      </c>
      <c r="E25" s="29">
        <f>D25+E23-E24</f>
        <v>0</v>
      </c>
      <c r="F25" s="29">
        <f>E25+F23-F24</f>
        <v>0</v>
      </c>
      <c r="G25" s="29">
        <f>F25+G23-G24</f>
        <v>0</v>
      </c>
      <c r="H25" s="29">
        <f>G25+H23-H24</f>
        <v>0</v>
      </c>
      <c r="I25" s="29">
        <f>H25+I23-I24</f>
        <v>0</v>
      </c>
      <c r="J25" s="29">
        <f>I25+J23-J24</f>
        <v>0</v>
      </c>
      <c r="K25" s="29">
        <f>J25+K23-K24</f>
        <v>0</v>
      </c>
      <c r="L25" s="29">
        <f>K25+L23-L24</f>
        <v>0</v>
      </c>
      <c r="M25" s="29">
        <f>L25+M23-M24</f>
        <v>0</v>
      </c>
      <c r="N25" s="29">
        <f>M25+N23-N24</f>
        <v>0</v>
      </c>
      <c r="O25" s="29">
        <f>N25+O23-O24</f>
        <v>0</v>
      </c>
      <c r="P25" s="29">
        <f>O25+P23-P24</f>
        <v>0</v>
      </c>
      <c r="Q25" s="29">
        <f>P25+Q23-Q24</f>
        <v>0</v>
      </c>
      <c r="R25" s="29">
        <f>Q25+R23-R24</f>
        <v>0</v>
      </c>
      <c r="S25" s="29">
        <f>R25+S23-S24</f>
        <v>0</v>
      </c>
      <c r="T25" s="29">
        <f>S25+T23-T24</f>
        <v>0</v>
      </c>
      <c r="U25" s="29">
        <f>T25+U23-U24</f>
        <v>0</v>
      </c>
      <c r="V25" s="29">
        <f>U25+V23-V24</f>
        <v>0</v>
      </c>
      <c r="W25" s="29">
        <f>V25+W23-W24</f>
        <v>0</v>
      </c>
      <c r="X25" s="29">
        <f>W25+X23-X24</f>
        <v>0</v>
      </c>
      <c r="Y25" s="29">
        <f>X25+Y23-Y24</f>
        <v>0</v>
      </c>
      <c r="Z25" s="29">
        <f>Y25+Z23-Z24</f>
        <v>0</v>
      </c>
      <c r="AA25" s="29">
        <f>Z25+AA23-AA24</f>
        <v>0</v>
      </c>
      <c r="AB25" s="29">
        <f>AA25+AB23-AB24</f>
        <v>0</v>
      </c>
      <c r="AC25" s="29">
        <f>AB25+AC23-AC24</f>
        <v>0</v>
      </c>
      <c r="AD25" s="29">
        <f>AC25+AD23-AD24</f>
        <v>0</v>
      </c>
      <c r="AE25" s="29">
        <f>AD25+AE23-AE24</f>
        <v>0</v>
      </c>
      <c r="AF25" s="29">
        <f>AE25+AF23-AF24</f>
        <v>0</v>
      </c>
      <c r="AG25" s="29">
        <f>AF25+AG23-AG24</f>
        <v>0</v>
      </c>
      <c r="AH25" s="29">
        <f>AG25+AH23-AH24</f>
        <v>0</v>
      </c>
      <c r="AI25" s="29">
        <f>AH25+AI23-AI24</f>
        <v>0</v>
      </c>
      <c r="AJ25" s="29">
        <f>AI25+AJ23-AJ24</f>
        <v>0</v>
      </c>
      <c r="AK25" s="29">
        <f>AJ25+AK23-AK24</f>
        <v>0</v>
      </c>
      <c r="AL25" s="29">
        <f>AK25+AL23-AL24</f>
        <v>0</v>
      </c>
      <c r="AN25" s="29">
        <f>E25</f>
        <v>0</v>
      </c>
      <c r="AO25" s="29">
        <f>H25</f>
        <v>0</v>
      </c>
      <c r="AP25" s="29">
        <f>K25</f>
        <v>0</v>
      </c>
      <c r="AQ25" s="29">
        <f>N25</f>
        <v>0</v>
      </c>
      <c r="AR25" s="29">
        <f>Q25</f>
        <v>0</v>
      </c>
      <c r="AS25" s="29">
        <f>T25</f>
        <v>0</v>
      </c>
      <c r="AT25" s="29">
        <f>W25</f>
        <v>0</v>
      </c>
      <c r="AU25" s="29">
        <f>Z25</f>
        <v>0</v>
      </c>
      <c r="AV25" s="29">
        <f>AC25</f>
        <v>0</v>
      </c>
      <c r="AW25" s="29">
        <f>AF25</f>
        <v>0</v>
      </c>
      <c r="AX25" s="29">
        <f>AI25</f>
        <v>0</v>
      </c>
      <c r="AY25" s="29">
        <f>AL25</f>
        <v>0</v>
      </c>
      <c r="BA25" s="29">
        <f>N25</f>
        <v>0</v>
      </c>
      <c r="BB25" s="29">
        <f>Z25</f>
        <v>0</v>
      </c>
      <c r="BC25" s="29">
        <f>AL25</f>
        <v>0</v>
      </c>
    </row>
    <row r="26" spans="1:55">
      <c r="A26" s="18" t="s">
        <v>313</v>
      </c>
      <c r="B26" s="16" t="s">
        <v>314</v>
      </c>
      <c r="C26" s="20">
        <f>C23*'Assumptions'!$F$67/12/2</f>
        <v>0</v>
      </c>
      <c r="D26" s="20">
        <f>C25*'Assumptions'!$F$67/12</f>
        <v>0</v>
      </c>
      <c r="E26" s="20">
        <f>D25*'Assumptions'!$F$67/12</f>
        <v>0</v>
      </c>
      <c r="F26" s="20">
        <f>E25*'Assumptions'!$F$67/12</f>
        <v>0</v>
      </c>
      <c r="G26" s="20">
        <f>F25*'Assumptions'!$F$67/12</f>
        <v>0</v>
      </c>
      <c r="H26" s="20">
        <f>G25*'Assumptions'!$F$67/12</f>
        <v>0</v>
      </c>
      <c r="I26" s="20">
        <f>H25*'Assumptions'!$F$67/12</f>
        <v>0</v>
      </c>
      <c r="J26" s="20">
        <f>I25*'Assumptions'!$F$67/12</f>
        <v>0</v>
      </c>
      <c r="K26" s="20">
        <f>J25*'Assumptions'!$F$67/12</f>
        <v>0</v>
      </c>
      <c r="L26" s="20">
        <f>K25*'Assumptions'!$F$67/12</f>
        <v>0</v>
      </c>
      <c r="M26" s="20">
        <f>L25*'Assumptions'!$F$67/12</f>
        <v>0</v>
      </c>
      <c r="N26" s="20">
        <f>M25*'Assumptions'!$F$67/12</f>
        <v>0</v>
      </c>
      <c r="O26" s="20">
        <f>N25*'Assumptions'!$F$67/12</f>
        <v>0</v>
      </c>
      <c r="P26" s="20">
        <f>O25*'Assumptions'!$F$67/12</f>
        <v>0</v>
      </c>
      <c r="Q26" s="20">
        <f>P25*'Assumptions'!$F$67/12</f>
        <v>0</v>
      </c>
      <c r="R26" s="20">
        <f>Q25*'Assumptions'!$F$67/12</f>
        <v>0</v>
      </c>
      <c r="S26" s="20">
        <f>R25*'Assumptions'!$F$67/12</f>
        <v>0</v>
      </c>
      <c r="T26" s="20">
        <f>S25*'Assumptions'!$F$67/12</f>
        <v>0</v>
      </c>
      <c r="U26" s="20">
        <f>T25*'Assumptions'!$F$67/12</f>
        <v>0</v>
      </c>
      <c r="V26" s="20">
        <f>U25*'Assumptions'!$F$67/12</f>
        <v>0</v>
      </c>
      <c r="W26" s="20">
        <f>V25*'Assumptions'!$F$67/12</f>
        <v>0</v>
      </c>
      <c r="X26" s="20">
        <f>W25*'Assumptions'!$F$67/12</f>
        <v>0</v>
      </c>
      <c r="Y26" s="20">
        <f>X25*'Assumptions'!$F$67/12</f>
        <v>0</v>
      </c>
      <c r="Z26" s="20">
        <f>Y25*'Assumptions'!$F$67/12</f>
        <v>0</v>
      </c>
      <c r="AA26" s="20">
        <f>Z25*'Assumptions'!$F$67/12</f>
        <v>0</v>
      </c>
      <c r="AB26" s="20">
        <f>AA25*'Assumptions'!$F$67/12</f>
        <v>0</v>
      </c>
      <c r="AC26" s="20">
        <f>AB25*'Assumptions'!$F$67/12</f>
        <v>0</v>
      </c>
      <c r="AD26" s="20">
        <f>AC25*'Assumptions'!$F$67/12</f>
        <v>0</v>
      </c>
      <c r="AE26" s="20">
        <f>AD25*'Assumptions'!$F$67/12</f>
        <v>0</v>
      </c>
      <c r="AF26" s="20">
        <f>AE25*'Assumptions'!$F$67/12</f>
        <v>0</v>
      </c>
      <c r="AG26" s="20">
        <f>AF25*'Assumptions'!$F$67/12</f>
        <v>0</v>
      </c>
      <c r="AH26" s="20">
        <f>AG25*'Assumptions'!$F$67/12</f>
        <v>0</v>
      </c>
      <c r="AI26" s="20">
        <f>AH25*'Assumptions'!$F$67/12</f>
        <v>0</v>
      </c>
      <c r="AJ26" s="20">
        <f>AI25*'Assumptions'!$F$67/12</f>
        <v>0</v>
      </c>
      <c r="AK26" s="20">
        <f>AJ25*'Assumptions'!$F$67/12</f>
        <v>0</v>
      </c>
      <c r="AL26" s="20">
        <f>AK25*'Assumptions'!$F$67/12</f>
        <v>0</v>
      </c>
      <c r="AN26" s="20">
        <f>SUM(C26:E26)</f>
        <v>0</v>
      </c>
      <c r="AO26" s="20">
        <f>SUM(F26:H26)</f>
        <v>0</v>
      </c>
      <c r="AP26" s="20">
        <f>SUM(I26:K26)</f>
        <v>0</v>
      </c>
      <c r="AQ26" s="20">
        <f>SUM(L26:N26)</f>
        <v>0</v>
      </c>
      <c r="AR26" s="20">
        <f>SUM(O26:Q26)</f>
        <v>0</v>
      </c>
      <c r="AS26" s="20">
        <f>SUM(R26:T26)</f>
        <v>0</v>
      </c>
      <c r="AT26" s="20">
        <f>SUM(U26:W26)</f>
        <v>0</v>
      </c>
      <c r="AU26" s="20">
        <f>SUM(X26:Z26)</f>
        <v>0</v>
      </c>
      <c r="AV26" s="20">
        <f>SUM(AA26:AC26)</f>
        <v>0</v>
      </c>
      <c r="AW26" s="20">
        <f>SUM(AD26:AF26)</f>
        <v>0</v>
      </c>
      <c r="AX26" s="20">
        <f>SUM(AG26:AI26)</f>
        <v>0</v>
      </c>
      <c r="AY26" s="20">
        <f>SUM(AJ26:AL26)</f>
        <v>0</v>
      </c>
      <c r="BA26" s="20">
        <f>SUM(C26:N26)</f>
        <v>0</v>
      </c>
      <c r="BB26" s="20">
        <f>SUM(O26:Z26)</f>
        <v>0</v>
      </c>
      <c r="BC26" s="20">
        <f>SUM(AA26:AL26)</f>
        <v>0</v>
      </c>
    </row>
    <row r="27" spans="1:55" ht="5" customHeight="1"/>
    <row r="28" spans="1:55" ht="16" customHeight="1">
      <c r="A28" s="14" t="s">
        <v>315</v>
      </c>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row>
    <row r="29" spans="1:55">
      <c r="A29" s="18" t="s">
        <v>316</v>
      </c>
      <c r="B29" s="16" t="s">
        <v>317</v>
      </c>
      <c r="C29" s="20">
        <f>0</f>
        <v>0</v>
      </c>
      <c r="D29" s="20">
        <f>0</f>
        <v>0</v>
      </c>
      <c r="E29" s="20">
        <f>0</f>
        <v>0</v>
      </c>
      <c r="F29" s="20">
        <f>'Assumptions'!$F$70</f>
        <v>0</v>
      </c>
      <c r="G29" s="20">
        <f>0</f>
        <v>0</v>
      </c>
      <c r="H29" s="20">
        <f>0</f>
        <v>0</v>
      </c>
      <c r="I29" s="20">
        <f>0</f>
        <v>0</v>
      </c>
      <c r="J29" s="20">
        <f>0</f>
        <v>0</v>
      </c>
      <c r="K29" s="20">
        <f>0</f>
        <v>0</v>
      </c>
      <c r="L29" s="20">
        <f>0</f>
        <v>0</v>
      </c>
      <c r="M29" s="20">
        <f>0</f>
        <v>0</v>
      </c>
      <c r="N29" s="20">
        <f>0</f>
        <v>0</v>
      </c>
      <c r="O29" s="20">
        <f>0</f>
        <v>0</v>
      </c>
      <c r="P29" s="20">
        <f>0</f>
        <v>0</v>
      </c>
      <c r="Q29" s="20">
        <f>0</f>
        <v>0</v>
      </c>
      <c r="R29" s="20">
        <f>0</f>
        <v>0</v>
      </c>
      <c r="S29" s="20">
        <f>0</f>
        <v>0</v>
      </c>
      <c r="T29" s="20">
        <f>0</f>
        <v>0</v>
      </c>
      <c r="U29" s="20">
        <f>'Assumptions'!$F$71</f>
        <v>0</v>
      </c>
      <c r="V29" s="20">
        <f>0</f>
        <v>0</v>
      </c>
      <c r="W29" s="20">
        <f>0</f>
        <v>0</v>
      </c>
      <c r="X29" s="20">
        <f>0</f>
        <v>0</v>
      </c>
      <c r="Y29" s="20">
        <f>0</f>
        <v>0</v>
      </c>
      <c r="Z29" s="20">
        <f>0</f>
        <v>0</v>
      </c>
      <c r="AA29" s="20">
        <f>0</f>
        <v>0</v>
      </c>
      <c r="AB29" s="20">
        <f>0</f>
        <v>0</v>
      </c>
      <c r="AC29" s="20">
        <f>0</f>
        <v>0</v>
      </c>
      <c r="AD29" s="20">
        <f>0</f>
        <v>0</v>
      </c>
      <c r="AE29" s="20">
        <f>0</f>
        <v>0</v>
      </c>
      <c r="AF29" s="20">
        <f>0</f>
        <v>0</v>
      </c>
      <c r="AG29" s="20">
        <f>0</f>
        <v>0</v>
      </c>
      <c r="AH29" s="20">
        <f>0</f>
        <v>0</v>
      </c>
      <c r="AI29" s="20">
        <f>0</f>
        <v>0</v>
      </c>
      <c r="AJ29" s="20">
        <f>0</f>
        <v>0</v>
      </c>
      <c r="AK29" s="20">
        <f>0</f>
        <v>0</v>
      </c>
      <c r="AL29" s="20">
        <f>0</f>
        <v>0</v>
      </c>
      <c r="AN29" s="20">
        <f>SUM(C29:E29)</f>
        <v>0</v>
      </c>
      <c r="AO29" s="20">
        <f>SUM(F29:H29)</f>
        <v>0</v>
      </c>
      <c r="AP29" s="20">
        <f>SUM(I29:K29)</f>
        <v>0</v>
      </c>
      <c r="AQ29" s="20">
        <f>SUM(L29:N29)</f>
        <v>0</v>
      </c>
      <c r="AR29" s="20">
        <f>SUM(O29:Q29)</f>
        <v>0</v>
      </c>
      <c r="AS29" s="20">
        <f>SUM(R29:T29)</f>
        <v>0</v>
      </c>
      <c r="AT29" s="20">
        <f>SUM(U29:W29)</f>
        <v>0</v>
      </c>
      <c r="AU29" s="20">
        <f>SUM(X29:Z29)</f>
        <v>0</v>
      </c>
      <c r="AV29" s="20">
        <f>SUM(AA29:AC29)</f>
        <v>0</v>
      </c>
      <c r="AW29" s="20">
        <f>SUM(AD29:AF29)</f>
        <v>0</v>
      </c>
      <c r="AX29" s="20">
        <f>SUM(AG29:AI29)</f>
        <v>0</v>
      </c>
      <c r="AY29" s="20">
        <f>SUM(AJ29:AL29)</f>
        <v>0</v>
      </c>
      <c r="BA29" s="20">
        <f>SUM(C29:N29)</f>
        <v>0</v>
      </c>
      <c r="BB29" s="20">
        <f>SUM(O29:Z29)</f>
        <v>0</v>
      </c>
      <c r="BC29" s="20">
        <f>SUM(AA29:AL29)</f>
        <v>0</v>
      </c>
    </row>
    <row r="30" spans="1:55">
      <c r="A30" s="18" t="s">
        <v>318</v>
      </c>
      <c r="B30" s="16"/>
      <c r="C30" s="29">
        <f>C29</f>
        <v>0</v>
      </c>
      <c r="D30" s="29">
        <f>C30+D29</f>
        <v>0</v>
      </c>
      <c r="E30" s="29">
        <f>D30+E29</f>
        <v>0</v>
      </c>
      <c r="F30" s="29">
        <f>E30+F29</f>
        <v>0</v>
      </c>
      <c r="G30" s="29">
        <f>F30+G29</f>
        <v>0</v>
      </c>
      <c r="H30" s="29">
        <f>G30+H29</f>
        <v>0</v>
      </c>
      <c r="I30" s="29">
        <f>H30+I29</f>
        <v>0</v>
      </c>
      <c r="J30" s="29">
        <f>I30+J29</f>
        <v>0</v>
      </c>
      <c r="K30" s="29">
        <f>J30+K29</f>
        <v>0</v>
      </c>
      <c r="L30" s="29">
        <f>K30+L29</f>
        <v>0</v>
      </c>
      <c r="M30" s="29">
        <f>L30+M29</f>
        <v>0</v>
      </c>
      <c r="N30" s="29">
        <f>M30+N29</f>
        <v>0</v>
      </c>
      <c r="O30" s="29">
        <f>N30+O29</f>
        <v>0</v>
      </c>
      <c r="P30" s="29">
        <f>O30+P29</f>
        <v>0</v>
      </c>
      <c r="Q30" s="29">
        <f>P30+Q29</f>
        <v>0</v>
      </c>
      <c r="R30" s="29">
        <f>Q30+R29</f>
        <v>0</v>
      </c>
      <c r="S30" s="29">
        <f>R30+S29</f>
        <v>0</v>
      </c>
      <c r="T30" s="29">
        <f>S30+T29</f>
        <v>0</v>
      </c>
      <c r="U30" s="29">
        <f>T30+U29</f>
        <v>0</v>
      </c>
      <c r="V30" s="29">
        <f>U30+V29</f>
        <v>0</v>
      </c>
      <c r="W30" s="29">
        <f>V30+W29</f>
        <v>0</v>
      </c>
      <c r="X30" s="29">
        <f>W30+X29</f>
        <v>0</v>
      </c>
      <c r="Y30" s="29">
        <f>X30+Y29</f>
        <v>0</v>
      </c>
      <c r="Z30" s="29">
        <f>Y30+Z29</f>
        <v>0</v>
      </c>
      <c r="AA30" s="29">
        <f>Z30+AA29</f>
        <v>0</v>
      </c>
      <c r="AB30" s="29">
        <f>AA30+AB29</f>
        <v>0</v>
      </c>
      <c r="AC30" s="29">
        <f>AB30+AC29</f>
        <v>0</v>
      </c>
      <c r="AD30" s="29">
        <f>AC30+AD29</f>
        <v>0</v>
      </c>
      <c r="AE30" s="29">
        <f>AD30+AE29</f>
        <v>0</v>
      </c>
      <c r="AF30" s="29">
        <f>AE30+AF29</f>
        <v>0</v>
      </c>
      <c r="AG30" s="29">
        <f>AF30+AG29</f>
        <v>0</v>
      </c>
      <c r="AH30" s="29">
        <f>AG30+AH29</f>
        <v>0</v>
      </c>
      <c r="AI30" s="29">
        <f>AH30+AI29</f>
        <v>0</v>
      </c>
      <c r="AJ30" s="29">
        <f>AI30+AJ29</f>
        <v>0</v>
      </c>
      <c r="AK30" s="29">
        <f>AJ30+AK29</f>
        <v>0</v>
      </c>
      <c r="AL30" s="29">
        <f>AK30+AL29</f>
        <v>0</v>
      </c>
      <c r="AN30" s="29">
        <f>E30</f>
        <v>0</v>
      </c>
      <c r="AO30" s="29">
        <f>H30</f>
        <v>0</v>
      </c>
      <c r="AP30" s="29">
        <f>K30</f>
        <v>0</v>
      </c>
      <c r="AQ30" s="29">
        <f>N30</f>
        <v>0</v>
      </c>
      <c r="AR30" s="29">
        <f>Q30</f>
        <v>0</v>
      </c>
      <c r="AS30" s="29">
        <f>T30</f>
        <v>0</v>
      </c>
      <c r="AT30" s="29">
        <f>W30</f>
        <v>0</v>
      </c>
      <c r="AU30" s="29">
        <f>Z30</f>
        <v>0</v>
      </c>
      <c r="AV30" s="29">
        <f>AC30</f>
        <v>0</v>
      </c>
      <c r="AW30" s="29">
        <f>AF30</f>
        <v>0</v>
      </c>
      <c r="AX30" s="29">
        <f>AI30</f>
        <v>0</v>
      </c>
      <c r="AY30" s="29">
        <f>AL30</f>
        <v>0</v>
      </c>
      <c r="BA30" s="29">
        <f>N30</f>
        <v>0</v>
      </c>
      <c r="BB30" s="29">
        <f>Z30</f>
        <v>0</v>
      </c>
      <c r="BC30" s="29">
        <f>AL30</f>
        <v>0</v>
      </c>
    </row>
  </sheetData>
  <mergeCells count="9">
    <mergeCell ref="A1:BC1"/>
    <mergeCell ref="A2:BC2"/>
    <mergeCell ref="C5:AL5"/>
    <mergeCell ref="AN5:AY5"/>
    <mergeCell ref="BA5:BC5"/>
    <mergeCell ref="A7:BC7"/>
    <mergeCell ref="A17:BC17"/>
    <mergeCell ref="A22:BC22"/>
    <mergeCell ref="A28:BC28"/>
  </mergeCells>
  <pageMargins left="0.7" right="0.7" top="0.75" bottom="0.75" header="0.3" footer="0.3"/>
  <pageSetup paperSize="9" scale="55" orientation="landscape"/>
</worksheet>
</file>

<file path=xl/worksheets/sheet8.xml><?xml version="1.0" encoding="utf-8"?>
<worksheet xmlns="http://schemas.openxmlformats.org/spreadsheetml/2006/main" xmlns:r="http://schemas.openxmlformats.org/officeDocument/2006/relationships">
  <dimension ref="A1:BC23"/>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319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320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c r="A7" s="18" t="s">
        <v>321</v>
      </c>
      <c r="B7" s="16"/>
      <c r="C7" s="20">
        <f>'Revenue'!$C$36</f>
        <v>0</v>
      </c>
      <c r="D7" s="20">
        <f>'Revenue'!$D$36</f>
        <v>0</v>
      </c>
      <c r="E7" s="20">
        <f>'Revenue'!$E$36</f>
        <v>0</v>
      </c>
      <c r="F7" s="20">
        <f>'Revenue'!$F$36</f>
        <v>0</v>
      </c>
      <c r="G7" s="20">
        <f>'Revenue'!$G$36</f>
        <v>0</v>
      </c>
      <c r="H7" s="20">
        <f>'Revenue'!$H$36</f>
        <v>0</v>
      </c>
      <c r="I7" s="20">
        <f>'Revenue'!$I$36</f>
        <v>0</v>
      </c>
      <c r="J7" s="20">
        <f>'Revenue'!$J$36</f>
        <v>0</v>
      </c>
      <c r="K7" s="20">
        <f>'Revenue'!$K$36</f>
        <v>0</v>
      </c>
      <c r="L7" s="20">
        <f>'Revenue'!$L$36</f>
        <v>0</v>
      </c>
      <c r="M7" s="20">
        <f>'Revenue'!$M$36</f>
        <v>0</v>
      </c>
      <c r="N7" s="20">
        <f>'Revenue'!$N$36</f>
        <v>0</v>
      </c>
      <c r="O7" s="20">
        <f>'Revenue'!$O$36</f>
        <v>0</v>
      </c>
      <c r="P7" s="20">
        <f>'Revenue'!$P$36</f>
        <v>0</v>
      </c>
      <c r="Q7" s="20">
        <f>'Revenue'!$Q$36</f>
        <v>0</v>
      </c>
      <c r="R7" s="20">
        <f>'Revenue'!$R$36</f>
        <v>0</v>
      </c>
      <c r="S7" s="20">
        <f>'Revenue'!$S$36</f>
        <v>0</v>
      </c>
      <c r="T7" s="20">
        <f>'Revenue'!$T$36</f>
        <v>0</v>
      </c>
      <c r="U7" s="20">
        <f>'Revenue'!$U$36</f>
        <v>0</v>
      </c>
      <c r="V7" s="20">
        <f>'Revenue'!$V$36</f>
        <v>0</v>
      </c>
      <c r="W7" s="20">
        <f>'Revenue'!$W$36</f>
        <v>0</v>
      </c>
      <c r="X7" s="20">
        <f>'Revenue'!$X$36</f>
        <v>0</v>
      </c>
      <c r="Y7" s="20">
        <f>'Revenue'!$Y$36</f>
        <v>0</v>
      </c>
      <c r="Z7" s="20">
        <f>'Revenue'!$Z$36</f>
        <v>0</v>
      </c>
      <c r="AA7" s="20">
        <f>'Revenue'!$AA$36</f>
        <v>0</v>
      </c>
      <c r="AB7" s="20">
        <f>'Revenue'!$AB$36</f>
        <v>0</v>
      </c>
      <c r="AC7" s="20">
        <f>'Revenue'!$AC$36</f>
        <v>0</v>
      </c>
      <c r="AD7" s="20">
        <f>'Revenue'!$AD$36</f>
        <v>0</v>
      </c>
      <c r="AE7" s="20">
        <f>'Revenue'!$AE$36</f>
        <v>0</v>
      </c>
      <c r="AF7" s="20">
        <f>'Revenue'!$AF$36</f>
        <v>0</v>
      </c>
      <c r="AG7" s="20">
        <f>'Revenue'!$AG$36</f>
        <v>0</v>
      </c>
      <c r="AH7" s="20">
        <f>'Revenue'!$AH$36</f>
        <v>0</v>
      </c>
      <c r="AI7" s="20">
        <f>'Revenue'!$AI$36</f>
        <v>0</v>
      </c>
      <c r="AJ7" s="20">
        <f>'Revenue'!$AJ$36</f>
        <v>0</v>
      </c>
      <c r="AK7" s="20">
        <f>'Revenue'!$AK$36</f>
        <v>0</v>
      </c>
      <c r="AL7" s="20">
        <f>'Revenue'!$AL$36</f>
        <v>0</v>
      </c>
      <c r="AN7" s="20">
        <f>SUM(C7:E7)</f>
        <v>0</v>
      </c>
      <c r="AO7" s="20">
        <f>SUM(F7:H7)</f>
        <v>0</v>
      </c>
      <c r="AP7" s="20">
        <f>SUM(I7:K7)</f>
        <v>0</v>
      </c>
      <c r="AQ7" s="20">
        <f>SUM(L7:N7)</f>
        <v>0</v>
      </c>
      <c r="AR7" s="20">
        <f>SUM(O7:Q7)</f>
        <v>0</v>
      </c>
      <c r="AS7" s="20">
        <f>SUM(R7:T7)</f>
        <v>0</v>
      </c>
      <c r="AT7" s="20">
        <f>SUM(U7:W7)</f>
        <v>0</v>
      </c>
      <c r="AU7" s="20">
        <f>SUM(X7:Z7)</f>
        <v>0</v>
      </c>
      <c r="AV7" s="20">
        <f>SUM(AA7:AC7)</f>
        <v>0</v>
      </c>
      <c r="AW7" s="20">
        <f>SUM(AD7:AF7)</f>
        <v>0</v>
      </c>
      <c r="AX7" s="20">
        <f>SUM(AG7:AI7)</f>
        <v>0</v>
      </c>
      <c r="AY7" s="20">
        <f>SUM(AJ7:AL7)</f>
        <v>0</v>
      </c>
      <c r="BA7" s="20">
        <f>SUM(C7:N7)</f>
        <v>0</v>
      </c>
      <c r="BB7" s="20">
        <f>SUM(O7:Z7)</f>
        <v>0</v>
      </c>
      <c r="BC7" s="20">
        <f>SUM(AA7:AL7)</f>
        <v>0</v>
      </c>
    </row>
    <row r="8" spans="1:55">
      <c r="A8" s="18" t="s">
        <v>322</v>
      </c>
      <c r="B8" s="16"/>
      <c r="C8" s="20">
        <f>'COGS &amp; GM'!$C$12</f>
        <v>0</v>
      </c>
      <c r="D8" s="20">
        <f>'COGS &amp; GM'!$D$12</f>
        <v>0</v>
      </c>
      <c r="E8" s="20">
        <f>'COGS &amp; GM'!$E$12</f>
        <v>0</v>
      </c>
      <c r="F8" s="20">
        <f>'COGS &amp; GM'!$F$12</f>
        <v>0</v>
      </c>
      <c r="G8" s="20">
        <f>'COGS &amp; GM'!$G$12</f>
        <v>0</v>
      </c>
      <c r="H8" s="20">
        <f>'COGS &amp; GM'!$H$12</f>
        <v>0</v>
      </c>
      <c r="I8" s="20">
        <f>'COGS &amp; GM'!$I$12</f>
        <v>0</v>
      </c>
      <c r="J8" s="20">
        <f>'COGS &amp; GM'!$J$12</f>
        <v>0</v>
      </c>
      <c r="K8" s="20">
        <f>'COGS &amp; GM'!$K$12</f>
        <v>0</v>
      </c>
      <c r="L8" s="20">
        <f>'COGS &amp; GM'!$L$12</f>
        <v>0</v>
      </c>
      <c r="M8" s="20">
        <f>'COGS &amp; GM'!$M$12</f>
        <v>0</v>
      </c>
      <c r="N8" s="20">
        <f>'COGS &amp; GM'!$N$12</f>
        <v>0</v>
      </c>
      <c r="O8" s="20">
        <f>'COGS &amp; GM'!$O$12</f>
        <v>0</v>
      </c>
      <c r="P8" s="20">
        <f>'COGS &amp; GM'!$P$12</f>
        <v>0</v>
      </c>
      <c r="Q8" s="20">
        <f>'COGS &amp; GM'!$Q$12</f>
        <v>0</v>
      </c>
      <c r="R8" s="20">
        <f>'COGS &amp; GM'!$R$12</f>
        <v>0</v>
      </c>
      <c r="S8" s="20">
        <f>'COGS &amp; GM'!$S$12</f>
        <v>0</v>
      </c>
      <c r="T8" s="20">
        <f>'COGS &amp; GM'!$T$12</f>
        <v>0</v>
      </c>
      <c r="U8" s="20">
        <f>'COGS &amp; GM'!$U$12</f>
        <v>0</v>
      </c>
      <c r="V8" s="20">
        <f>'COGS &amp; GM'!$V$12</f>
        <v>0</v>
      </c>
      <c r="W8" s="20">
        <f>'COGS &amp; GM'!$W$12</f>
        <v>0</v>
      </c>
      <c r="X8" s="20">
        <f>'COGS &amp; GM'!$X$12</f>
        <v>0</v>
      </c>
      <c r="Y8" s="20">
        <f>'COGS &amp; GM'!$Y$12</f>
        <v>0</v>
      </c>
      <c r="Z8" s="20">
        <f>'COGS &amp; GM'!$Z$12</f>
        <v>0</v>
      </c>
      <c r="AA8" s="20">
        <f>'COGS &amp; GM'!$AA$12</f>
        <v>0</v>
      </c>
      <c r="AB8" s="20">
        <f>'COGS &amp; GM'!$AB$12</f>
        <v>0</v>
      </c>
      <c r="AC8" s="20">
        <f>'COGS &amp; GM'!$AC$12</f>
        <v>0</v>
      </c>
      <c r="AD8" s="20">
        <f>'COGS &amp; GM'!$AD$12</f>
        <v>0</v>
      </c>
      <c r="AE8" s="20">
        <f>'COGS &amp; GM'!$AE$12</f>
        <v>0</v>
      </c>
      <c r="AF8" s="20">
        <f>'COGS &amp; GM'!$AF$12</f>
        <v>0</v>
      </c>
      <c r="AG8" s="20">
        <f>'COGS &amp; GM'!$AG$12</f>
        <v>0</v>
      </c>
      <c r="AH8" s="20">
        <f>'COGS &amp; GM'!$AH$12</f>
        <v>0</v>
      </c>
      <c r="AI8" s="20">
        <f>'COGS &amp; GM'!$AI$12</f>
        <v>0</v>
      </c>
      <c r="AJ8" s="20">
        <f>'COGS &amp; GM'!$AJ$12</f>
        <v>0</v>
      </c>
      <c r="AK8" s="20">
        <f>'COGS &amp; GM'!$AK$12</f>
        <v>0</v>
      </c>
      <c r="AL8" s="20">
        <f>'COGS &amp; GM'!$AL$12</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28" t="s">
        <v>263</v>
      </c>
      <c r="B9" s="16"/>
      <c r="C9" s="29">
        <f>C7-C8</f>
        <v>0</v>
      </c>
      <c r="D9" s="29">
        <f>D7-D8</f>
        <v>0</v>
      </c>
      <c r="E9" s="29">
        <f>E7-E8</f>
        <v>0</v>
      </c>
      <c r="F9" s="29">
        <f>F7-F8</f>
        <v>0</v>
      </c>
      <c r="G9" s="29">
        <f>G7-G8</f>
        <v>0</v>
      </c>
      <c r="H9" s="29">
        <f>H7-H8</f>
        <v>0</v>
      </c>
      <c r="I9" s="29">
        <f>I7-I8</f>
        <v>0</v>
      </c>
      <c r="J9" s="29">
        <f>J7-J8</f>
        <v>0</v>
      </c>
      <c r="K9" s="29">
        <f>K7-K8</f>
        <v>0</v>
      </c>
      <c r="L9" s="29">
        <f>L7-L8</f>
        <v>0</v>
      </c>
      <c r="M9" s="29">
        <f>M7-M8</f>
        <v>0</v>
      </c>
      <c r="N9" s="29">
        <f>N7-N8</f>
        <v>0</v>
      </c>
      <c r="O9" s="29">
        <f>O7-O8</f>
        <v>0</v>
      </c>
      <c r="P9" s="29">
        <f>P7-P8</f>
        <v>0</v>
      </c>
      <c r="Q9" s="29">
        <f>Q7-Q8</f>
        <v>0</v>
      </c>
      <c r="R9" s="29">
        <f>R7-R8</f>
        <v>0</v>
      </c>
      <c r="S9" s="29">
        <f>S7-S8</f>
        <v>0</v>
      </c>
      <c r="T9" s="29">
        <f>T7-T8</f>
        <v>0</v>
      </c>
      <c r="U9" s="29">
        <f>U7-U8</f>
        <v>0</v>
      </c>
      <c r="V9" s="29">
        <f>V7-V8</f>
        <v>0</v>
      </c>
      <c r="W9" s="29">
        <f>W7-W8</f>
        <v>0</v>
      </c>
      <c r="X9" s="29">
        <f>X7-X8</f>
        <v>0</v>
      </c>
      <c r="Y9" s="29">
        <f>Y7-Y8</f>
        <v>0</v>
      </c>
      <c r="Z9" s="29">
        <f>Z7-Z8</f>
        <v>0</v>
      </c>
      <c r="AA9" s="29">
        <f>AA7-AA8</f>
        <v>0</v>
      </c>
      <c r="AB9" s="29">
        <f>AB7-AB8</f>
        <v>0</v>
      </c>
      <c r="AC9" s="29">
        <f>AC7-AC8</f>
        <v>0</v>
      </c>
      <c r="AD9" s="29">
        <f>AD7-AD8</f>
        <v>0</v>
      </c>
      <c r="AE9" s="29">
        <f>AE7-AE8</f>
        <v>0</v>
      </c>
      <c r="AF9" s="29">
        <f>AF7-AF8</f>
        <v>0</v>
      </c>
      <c r="AG9" s="29">
        <f>AG7-AG8</f>
        <v>0</v>
      </c>
      <c r="AH9" s="29">
        <f>AH7-AH8</f>
        <v>0</v>
      </c>
      <c r="AI9" s="29">
        <f>AI7-AI8</f>
        <v>0</v>
      </c>
      <c r="AJ9" s="29">
        <f>AJ7-AJ8</f>
        <v>0</v>
      </c>
      <c r="AK9" s="29">
        <f>AK7-AK8</f>
        <v>0</v>
      </c>
      <c r="AL9" s="29">
        <f>AL7-AL8</f>
        <v>0</v>
      </c>
      <c r="AN9" s="29">
        <f>SUM(C9:E9)</f>
        <v>0</v>
      </c>
      <c r="AO9" s="29">
        <f>SUM(F9:H9)</f>
        <v>0</v>
      </c>
      <c r="AP9" s="29">
        <f>SUM(I9:K9)</f>
        <v>0</v>
      </c>
      <c r="AQ9" s="29">
        <f>SUM(L9:N9)</f>
        <v>0</v>
      </c>
      <c r="AR9" s="29">
        <f>SUM(O9:Q9)</f>
        <v>0</v>
      </c>
      <c r="AS9" s="29">
        <f>SUM(R9:T9)</f>
        <v>0</v>
      </c>
      <c r="AT9" s="29">
        <f>SUM(U9:W9)</f>
        <v>0</v>
      </c>
      <c r="AU9" s="29">
        <f>SUM(X9:Z9)</f>
        <v>0</v>
      </c>
      <c r="AV9" s="29">
        <f>SUM(AA9:AC9)</f>
        <v>0</v>
      </c>
      <c r="AW9" s="29">
        <f>SUM(AD9:AF9)</f>
        <v>0</v>
      </c>
      <c r="AX9" s="29">
        <f>SUM(AG9:AI9)</f>
        <v>0</v>
      </c>
      <c r="AY9" s="29">
        <f>SUM(AJ9:AL9)</f>
        <v>0</v>
      </c>
      <c r="BA9" s="29">
        <f>SUM(C9:N9)</f>
        <v>0</v>
      </c>
      <c r="BB9" s="29">
        <f>SUM(O9:Z9)</f>
        <v>0</v>
      </c>
      <c r="BC9" s="29">
        <f>SUM(AA9:AL9)</f>
        <v>0</v>
      </c>
    </row>
    <row r="10" spans="1:55">
      <c r="A10" s="18" t="s">
        <v>323</v>
      </c>
      <c r="B10" s="16"/>
      <c r="C10" s="25">
        <f>IFERROR(C9/C7,0)</f>
        <v>0</v>
      </c>
      <c r="D10" s="25">
        <f>IFERROR(D9/D7,0)</f>
        <v>0</v>
      </c>
      <c r="E10" s="25">
        <f>IFERROR(E9/E7,0)</f>
        <v>0</v>
      </c>
      <c r="F10" s="25">
        <f>IFERROR(F9/F7,0)</f>
        <v>0</v>
      </c>
      <c r="G10" s="25">
        <f>IFERROR(G9/G7,0)</f>
        <v>0</v>
      </c>
      <c r="H10" s="25">
        <f>IFERROR(H9/H7,0)</f>
        <v>0</v>
      </c>
      <c r="I10" s="25">
        <f>IFERROR(I9/I7,0)</f>
        <v>0</v>
      </c>
      <c r="J10" s="25">
        <f>IFERROR(J9/J7,0)</f>
        <v>0</v>
      </c>
      <c r="K10" s="25">
        <f>IFERROR(K9/K7,0)</f>
        <v>0</v>
      </c>
      <c r="L10" s="25">
        <f>IFERROR(L9/L7,0)</f>
        <v>0</v>
      </c>
      <c r="M10" s="25">
        <f>IFERROR(M9/M7,0)</f>
        <v>0</v>
      </c>
      <c r="N10" s="25">
        <f>IFERROR(N9/N7,0)</f>
        <v>0</v>
      </c>
      <c r="O10" s="25">
        <f>IFERROR(O9/O7,0)</f>
        <v>0</v>
      </c>
      <c r="P10" s="25">
        <f>IFERROR(P9/P7,0)</f>
        <v>0</v>
      </c>
      <c r="Q10" s="25">
        <f>IFERROR(Q9/Q7,0)</f>
        <v>0</v>
      </c>
      <c r="R10" s="25">
        <f>IFERROR(R9/R7,0)</f>
        <v>0</v>
      </c>
      <c r="S10" s="25">
        <f>IFERROR(S9/S7,0)</f>
        <v>0</v>
      </c>
      <c r="T10" s="25">
        <f>IFERROR(T9/T7,0)</f>
        <v>0</v>
      </c>
      <c r="U10" s="25">
        <f>IFERROR(U9/U7,0)</f>
        <v>0</v>
      </c>
      <c r="V10" s="25">
        <f>IFERROR(V9/V7,0)</f>
        <v>0</v>
      </c>
      <c r="W10" s="25">
        <f>IFERROR(W9/W7,0)</f>
        <v>0</v>
      </c>
      <c r="X10" s="25">
        <f>IFERROR(X9/X7,0)</f>
        <v>0</v>
      </c>
      <c r="Y10" s="25">
        <f>IFERROR(Y9/Y7,0)</f>
        <v>0</v>
      </c>
      <c r="Z10" s="25">
        <f>IFERROR(Z9/Z7,0)</f>
        <v>0</v>
      </c>
      <c r="AA10" s="25">
        <f>IFERROR(AA9/AA7,0)</f>
        <v>0</v>
      </c>
      <c r="AB10" s="25">
        <f>IFERROR(AB9/AB7,0)</f>
        <v>0</v>
      </c>
      <c r="AC10" s="25">
        <f>IFERROR(AC9/AC7,0)</f>
        <v>0</v>
      </c>
      <c r="AD10" s="25">
        <f>IFERROR(AD9/AD7,0)</f>
        <v>0</v>
      </c>
      <c r="AE10" s="25">
        <f>IFERROR(AE9/AE7,0)</f>
        <v>0</v>
      </c>
      <c r="AF10" s="25">
        <f>IFERROR(AF9/AF7,0)</f>
        <v>0</v>
      </c>
      <c r="AG10" s="25">
        <f>IFERROR(AG9/AG7,0)</f>
        <v>0</v>
      </c>
      <c r="AH10" s="25">
        <f>IFERROR(AH9/AH7,0)</f>
        <v>0</v>
      </c>
      <c r="AI10" s="25">
        <f>IFERROR(AI9/AI7,0)</f>
        <v>0</v>
      </c>
      <c r="AJ10" s="25">
        <f>IFERROR(AJ9/AJ7,0)</f>
        <v>0</v>
      </c>
      <c r="AK10" s="25">
        <f>IFERROR(AK9/AK7,0)</f>
        <v>0</v>
      </c>
      <c r="AL10" s="25">
        <f>IFERROR(AL9/AL7,0)</f>
        <v>0</v>
      </c>
      <c r="AN10" s="25">
        <f>AVERAGE(C10:E10)</f>
        <v>0</v>
      </c>
      <c r="AO10" s="25">
        <f>AVERAGE(F10:H10)</f>
        <v>0</v>
      </c>
      <c r="AP10" s="25">
        <f>AVERAGE(I10:K10)</f>
        <v>0</v>
      </c>
      <c r="AQ10" s="25">
        <f>AVERAGE(L10:N10)</f>
        <v>0</v>
      </c>
      <c r="AR10" s="25">
        <f>AVERAGE(O10:Q10)</f>
        <v>0</v>
      </c>
      <c r="AS10" s="25">
        <f>AVERAGE(R10:T10)</f>
        <v>0</v>
      </c>
      <c r="AT10" s="25">
        <f>AVERAGE(U10:W10)</f>
        <v>0</v>
      </c>
      <c r="AU10" s="25">
        <f>AVERAGE(X10:Z10)</f>
        <v>0</v>
      </c>
      <c r="AV10" s="25">
        <f>AVERAGE(AA10:AC10)</f>
        <v>0</v>
      </c>
      <c r="AW10" s="25">
        <f>AVERAGE(AD10:AF10)</f>
        <v>0</v>
      </c>
      <c r="AX10" s="25">
        <f>AVERAGE(AG10:AI10)</f>
        <v>0</v>
      </c>
      <c r="AY10" s="25">
        <f>AVERAGE(AJ10:AL10)</f>
        <v>0</v>
      </c>
      <c r="BA10" s="25">
        <f>AVERAGE(C10:N10)</f>
        <v>0</v>
      </c>
      <c r="BB10" s="25">
        <f>AVERAGE(O10:Z10)</f>
        <v>0</v>
      </c>
      <c r="BC10" s="25">
        <f>AVERAGE(AA10:AL10)</f>
        <v>0</v>
      </c>
    </row>
    <row r="11" spans="1:55" ht="5" customHeight="1"/>
    <row r="12" spans="1:55" ht="16" customHeight="1">
      <c r="A12" s="14" t="s">
        <v>324</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row>
    <row r="13" spans="1:55">
      <c r="A13" s="18" t="s">
        <v>325</v>
      </c>
      <c r="B13" s="16"/>
      <c r="C13" s="20">
        <f>'Opex'!$C$11</f>
        <v>0</v>
      </c>
      <c r="D13" s="20">
        <f>'Opex'!$D$11</f>
        <v>0</v>
      </c>
      <c r="E13" s="20">
        <f>'Opex'!$E$11</f>
        <v>0</v>
      </c>
      <c r="F13" s="20">
        <f>'Opex'!$F$11</f>
        <v>0</v>
      </c>
      <c r="G13" s="20">
        <f>'Opex'!$G$11</f>
        <v>0</v>
      </c>
      <c r="H13" s="20">
        <f>'Opex'!$H$11</f>
        <v>0</v>
      </c>
      <c r="I13" s="20">
        <f>'Opex'!$I$11</f>
        <v>0</v>
      </c>
      <c r="J13" s="20">
        <f>'Opex'!$J$11</f>
        <v>0</v>
      </c>
      <c r="K13" s="20">
        <f>'Opex'!$K$11</f>
        <v>0</v>
      </c>
      <c r="L13" s="20">
        <f>'Opex'!$L$11</f>
        <v>0</v>
      </c>
      <c r="M13" s="20">
        <f>'Opex'!$M$11</f>
        <v>0</v>
      </c>
      <c r="N13" s="20">
        <f>'Opex'!$N$11</f>
        <v>0</v>
      </c>
      <c r="O13" s="20">
        <f>'Opex'!$O$11</f>
        <v>0</v>
      </c>
      <c r="P13" s="20">
        <f>'Opex'!$P$11</f>
        <v>0</v>
      </c>
      <c r="Q13" s="20">
        <f>'Opex'!$Q$11</f>
        <v>0</v>
      </c>
      <c r="R13" s="20">
        <f>'Opex'!$R$11</f>
        <v>0</v>
      </c>
      <c r="S13" s="20">
        <f>'Opex'!$S$11</f>
        <v>0</v>
      </c>
      <c r="T13" s="20">
        <f>'Opex'!$T$11</f>
        <v>0</v>
      </c>
      <c r="U13" s="20">
        <f>'Opex'!$U$11</f>
        <v>0</v>
      </c>
      <c r="V13" s="20">
        <f>'Opex'!$V$11</f>
        <v>0</v>
      </c>
      <c r="W13" s="20">
        <f>'Opex'!$W$11</f>
        <v>0</v>
      </c>
      <c r="X13" s="20">
        <f>'Opex'!$X$11</f>
        <v>0</v>
      </c>
      <c r="Y13" s="20">
        <f>'Opex'!$Y$11</f>
        <v>0</v>
      </c>
      <c r="Z13" s="20">
        <f>'Opex'!$Z$11</f>
        <v>0</v>
      </c>
      <c r="AA13" s="20">
        <f>'Opex'!$AA$11</f>
        <v>0</v>
      </c>
      <c r="AB13" s="20">
        <f>'Opex'!$AB$11</f>
        <v>0</v>
      </c>
      <c r="AC13" s="20">
        <f>'Opex'!$AC$11</f>
        <v>0</v>
      </c>
      <c r="AD13" s="20">
        <f>'Opex'!$AD$11</f>
        <v>0</v>
      </c>
      <c r="AE13" s="20">
        <f>'Opex'!$AE$11</f>
        <v>0</v>
      </c>
      <c r="AF13" s="20">
        <f>'Opex'!$AF$11</f>
        <v>0</v>
      </c>
      <c r="AG13" s="20">
        <f>'Opex'!$AG$11</f>
        <v>0</v>
      </c>
      <c r="AH13" s="20">
        <f>'Opex'!$AH$11</f>
        <v>0</v>
      </c>
      <c r="AI13" s="20">
        <f>'Opex'!$AI$11</f>
        <v>0</v>
      </c>
      <c r="AJ13" s="20">
        <f>'Opex'!$AJ$11</f>
        <v>0</v>
      </c>
      <c r="AK13" s="20">
        <f>'Opex'!$AK$11</f>
        <v>0</v>
      </c>
      <c r="AL13" s="20">
        <f>'Opex'!$AL$11</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18" t="s">
        <v>326</v>
      </c>
      <c r="B14" s="16"/>
      <c r="C14" s="20">
        <f>'Opex'!$C$17</f>
        <v>0</v>
      </c>
      <c r="D14" s="20">
        <f>'Opex'!$D$17</f>
        <v>0</v>
      </c>
      <c r="E14" s="20">
        <f>'Opex'!$E$17</f>
        <v>0</v>
      </c>
      <c r="F14" s="20">
        <f>'Opex'!$F$17</f>
        <v>0</v>
      </c>
      <c r="G14" s="20">
        <f>'Opex'!$G$17</f>
        <v>0</v>
      </c>
      <c r="H14" s="20">
        <f>'Opex'!$H$17</f>
        <v>0</v>
      </c>
      <c r="I14" s="20">
        <f>'Opex'!$I$17</f>
        <v>0</v>
      </c>
      <c r="J14" s="20">
        <f>'Opex'!$J$17</f>
        <v>0</v>
      </c>
      <c r="K14" s="20">
        <f>'Opex'!$K$17</f>
        <v>0</v>
      </c>
      <c r="L14" s="20">
        <f>'Opex'!$L$17</f>
        <v>0</v>
      </c>
      <c r="M14" s="20">
        <f>'Opex'!$M$17</f>
        <v>0</v>
      </c>
      <c r="N14" s="20">
        <f>'Opex'!$N$17</f>
        <v>0</v>
      </c>
      <c r="O14" s="20">
        <f>'Opex'!$O$17</f>
        <v>0</v>
      </c>
      <c r="P14" s="20">
        <f>'Opex'!$P$17</f>
        <v>0</v>
      </c>
      <c r="Q14" s="20">
        <f>'Opex'!$Q$17</f>
        <v>0</v>
      </c>
      <c r="R14" s="20">
        <f>'Opex'!$R$17</f>
        <v>0</v>
      </c>
      <c r="S14" s="20">
        <f>'Opex'!$S$17</f>
        <v>0</v>
      </c>
      <c r="T14" s="20">
        <f>'Opex'!$T$17</f>
        <v>0</v>
      </c>
      <c r="U14" s="20">
        <f>'Opex'!$U$17</f>
        <v>0</v>
      </c>
      <c r="V14" s="20">
        <f>'Opex'!$V$17</f>
        <v>0</v>
      </c>
      <c r="W14" s="20">
        <f>'Opex'!$W$17</f>
        <v>0</v>
      </c>
      <c r="X14" s="20">
        <f>'Opex'!$X$17</f>
        <v>0</v>
      </c>
      <c r="Y14" s="20">
        <f>'Opex'!$Y$17</f>
        <v>0</v>
      </c>
      <c r="Z14" s="20">
        <f>'Opex'!$Z$17</f>
        <v>0</v>
      </c>
      <c r="AA14" s="20">
        <f>'Opex'!$AA$17</f>
        <v>0</v>
      </c>
      <c r="AB14" s="20">
        <f>'Opex'!$AB$17</f>
        <v>0</v>
      </c>
      <c r="AC14" s="20">
        <f>'Opex'!$AC$17</f>
        <v>0</v>
      </c>
      <c r="AD14" s="20">
        <f>'Opex'!$AD$17</f>
        <v>0</v>
      </c>
      <c r="AE14" s="20">
        <f>'Opex'!$AE$17</f>
        <v>0</v>
      </c>
      <c r="AF14" s="20">
        <f>'Opex'!$AF$17</f>
        <v>0</v>
      </c>
      <c r="AG14" s="20">
        <f>'Opex'!$AG$17</f>
        <v>0</v>
      </c>
      <c r="AH14" s="20">
        <f>'Opex'!$AH$17</f>
        <v>0</v>
      </c>
      <c r="AI14" s="20">
        <f>'Opex'!$AI$17</f>
        <v>0</v>
      </c>
      <c r="AJ14" s="20">
        <f>'Opex'!$AJ$17</f>
        <v>0</v>
      </c>
      <c r="AK14" s="20">
        <f>'Opex'!$AK$17</f>
        <v>0</v>
      </c>
      <c r="AL14" s="20">
        <f>'Opex'!$AL$17</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c r="A15" s="28" t="s">
        <v>327</v>
      </c>
      <c r="B15" s="16"/>
      <c r="C15" s="29">
        <f>C13+C14</f>
        <v>0</v>
      </c>
      <c r="D15" s="29">
        <f>D13+D14</f>
        <v>0</v>
      </c>
      <c r="E15" s="29">
        <f>E13+E14</f>
        <v>0</v>
      </c>
      <c r="F15" s="29">
        <f>F13+F14</f>
        <v>0</v>
      </c>
      <c r="G15" s="29">
        <f>G13+G14</f>
        <v>0</v>
      </c>
      <c r="H15" s="29">
        <f>H13+H14</f>
        <v>0</v>
      </c>
      <c r="I15" s="29">
        <f>I13+I14</f>
        <v>0</v>
      </c>
      <c r="J15" s="29">
        <f>J13+J14</f>
        <v>0</v>
      </c>
      <c r="K15" s="29">
        <f>K13+K14</f>
        <v>0</v>
      </c>
      <c r="L15" s="29">
        <f>L13+L14</f>
        <v>0</v>
      </c>
      <c r="M15" s="29">
        <f>M13+M14</f>
        <v>0</v>
      </c>
      <c r="N15" s="29">
        <f>N13+N14</f>
        <v>0</v>
      </c>
      <c r="O15" s="29">
        <f>O13+O14</f>
        <v>0</v>
      </c>
      <c r="P15" s="29">
        <f>P13+P14</f>
        <v>0</v>
      </c>
      <c r="Q15" s="29">
        <f>Q13+Q14</f>
        <v>0</v>
      </c>
      <c r="R15" s="29">
        <f>R13+R14</f>
        <v>0</v>
      </c>
      <c r="S15" s="29">
        <f>S13+S14</f>
        <v>0</v>
      </c>
      <c r="T15" s="29">
        <f>T13+T14</f>
        <v>0</v>
      </c>
      <c r="U15" s="29">
        <f>U13+U14</f>
        <v>0</v>
      </c>
      <c r="V15" s="29">
        <f>V13+V14</f>
        <v>0</v>
      </c>
      <c r="W15" s="29">
        <f>W13+W14</f>
        <v>0</v>
      </c>
      <c r="X15" s="29">
        <f>X13+X14</f>
        <v>0</v>
      </c>
      <c r="Y15" s="29">
        <f>Y13+Y14</f>
        <v>0</v>
      </c>
      <c r="Z15" s="29">
        <f>Z13+Z14</f>
        <v>0</v>
      </c>
      <c r="AA15" s="29">
        <f>AA13+AA14</f>
        <v>0</v>
      </c>
      <c r="AB15" s="29">
        <f>AB13+AB14</f>
        <v>0</v>
      </c>
      <c r="AC15" s="29">
        <f>AC13+AC14</f>
        <v>0</v>
      </c>
      <c r="AD15" s="29">
        <f>AD13+AD14</f>
        <v>0</v>
      </c>
      <c r="AE15" s="29">
        <f>AE13+AE14</f>
        <v>0</v>
      </c>
      <c r="AF15" s="29">
        <f>AF13+AF14</f>
        <v>0</v>
      </c>
      <c r="AG15" s="29">
        <f>AG13+AG14</f>
        <v>0</v>
      </c>
      <c r="AH15" s="29">
        <f>AH13+AH14</f>
        <v>0</v>
      </c>
      <c r="AI15" s="29">
        <f>AI13+AI14</f>
        <v>0</v>
      </c>
      <c r="AJ15" s="29">
        <f>AJ13+AJ14</f>
        <v>0</v>
      </c>
      <c r="AK15" s="29">
        <f>AK13+AK14</f>
        <v>0</v>
      </c>
      <c r="AL15" s="29">
        <f>AL13+AL14</f>
        <v>0</v>
      </c>
      <c r="AN15" s="29">
        <f>SUM(C15:E15)</f>
        <v>0</v>
      </c>
      <c r="AO15" s="29">
        <f>SUM(F15:H15)</f>
        <v>0</v>
      </c>
      <c r="AP15" s="29">
        <f>SUM(I15:K15)</f>
        <v>0</v>
      </c>
      <c r="AQ15" s="29">
        <f>SUM(L15:N15)</f>
        <v>0</v>
      </c>
      <c r="AR15" s="29">
        <f>SUM(O15:Q15)</f>
        <v>0</v>
      </c>
      <c r="AS15" s="29">
        <f>SUM(R15:T15)</f>
        <v>0</v>
      </c>
      <c r="AT15" s="29">
        <f>SUM(U15:W15)</f>
        <v>0</v>
      </c>
      <c r="AU15" s="29">
        <f>SUM(X15:Z15)</f>
        <v>0</v>
      </c>
      <c r="AV15" s="29">
        <f>SUM(AA15:AC15)</f>
        <v>0</v>
      </c>
      <c r="AW15" s="29">
        <f>SUM(AD15:AF15)</f>
        <v>0</v>
      </c>
      <c r="AX15" s="29">
        <f>SUM(AG15:AI15)</f>
        <v>0</v>
      </c>
      <c r="AY15" s="29">
        <f>SUM(AJ15:AL15)</f>
        <v>0</v>
      </c>
      <c r="BA15" s="29">
        <f>SUM(C15:N15)</f>
        <v>0</v>
      </c>
      <c r="BB15" s="29">
        <f>SUM(O15:Z15)</f>
        <v>0</v>
      </c>
      <c r="BC15" s="29">
        <f>SUM(AA15:AL15)</f>
        <v>0</v>
      </c>
    </row>
    <row r="16" spans="1:55" ht="5" customHeight="1"/>
    <row r="17" spans="1:55">
      <c r="A17" s="28" t="s">
        <v>328</v>
      </c>
      <c r="B17" s="16"/>
      <c r="C17" s="29">
        <f>C9-C15</f>
        <v>0</v>
      </c>
      <c r="D17" s="29">
        <f>D9-D15</f>
        <v>0</v>
      </c>
      <c r="E17" s="29">
        <f>E9-E15</f>
        <v>0</v>
      </c>
      <c r="F17" s="29">
        <f>F9-F15</f>
        <v>0</v>
      </c>
      <c r="G17" s="29">
        <f>G9-G15</f>
        <v>0</v>
      </c>
      <c r="H17" s="29">
        <f>H9-H15</f>
        <v>0</v>
      </c>
      <c r="I17" s="29">
        <f>I9-I15</f>
        <v>0</v>
      </c>
      <c r="J17" s="29">
        <f>J9-J15</f>
        <v>0</v>
      </c>
      <c r="K17" s="29">
        <f>K9-K15</f>
        <v>0</v>
      </c>
      <c r="L17" s="29">
        <f>L9-L15</f>
        <v>0</v>
      </c>
      <c r="M17" s="29">
        <f>M9-M15</f>
        <v>0</v>
      </c>
      <c r="N17" s="29">
        <f>N9-N15</f>
        <v>0</v>
      </c>
      <c r="O17" s="29">
        <f>O9-O15</f>
        <v>0</v>
      </c>
      <c r="P17" s="29">
        <f>P9-P15</f>
        <v>0</v>
      </c>
      <c r="Q17" s="29">
        <f>Q9-Q15</f>
        <v>0</v>
      </c>
      <c r="R17" s="29">
        <f>R9-R15</f>
        <v>0</v>
      </c>
      <c r="S17" s="29">
        <f>S9-S15</f>
        <v>0</v>
      </c>
      <c r="T17" s="29">
        <f>T9-T15</f>
        <v>0</v>
      </c>
      <c r="U17" s="29">
        <f>U9-U15</f>
        <v>0</v>
      </c>
      <c r="V17" s="29">
        <f>V9-V15</f>
        <v>0</v>
      </c>
      <c r="W17" s="29">
        <f>W9-W15</f>
        <v>0</v>
      </c>
      <c r="X17" s="29">
        <f>X9-X15</f>
        <v>0</v>
      </c>
      <c r="Y17" s="29">
        <f>Y9-Y15</f>
        <v>0</v>
      </c>
      <c r="Z17" s="29">
        <f>Z9-Z15</f>
        <v>0</v>
      </c>
      <c r="AA17" s="29">
        <f>AA9-AA15</f>
        <v>0</v>
      </c>
      <c r="AB17" s="29">
        <f>AB9-AB15</f>
        <v>0</v>
      </c>
      <c r="AC17" s="29">
        <f>AC9-AC15</f>
        <v>0</v>
      </c>
      <c r="AD17" s="29">
        <f>AD9-AD15</f>
        <v>0</v>
      </c>
      <c r="AE17" s="29">
        <f>AE9-AE15</f>
        <v>0</v>
      </c>
      <c r="AF17" s="29">
        <f>AF9-AF15</f>
        <v>0</v>
      </c>
      <c r="AG17" s="29">
        <f>AG9-AG15</f>
        <v>0</v>
      </c>
      <c r="AH17" s="29">
        <f>AH9-AH15</f>
        <v>0</v>
      </c>
      <c r="AI17" s="29">
        <f>AI9-AI15</f>
        <v>0</v>
      </c>
      <c r="AJ17" s="29">
        <f>AJ9-AJ15</f>
        <v>0</v>
      </c>
      <c r="AK17" s="29">
        <f>AK9-AK15</f>
        <v>0</v>
      </c>
      <c r="AL17" s="29">
        <f>AL9-AL15</f>
        <v>0</v>
      </c>
      <c r="AN17" s="29">
        <f>SUM(C17:E17)</f>
        <v>0</v>
      </c>
      <c r="AO17" s="29">
        <f>SUM(F17:H17)</f>
        <v>0</v>
      </c>
      <c r="AP17" s="29">
        <f>SUM(I17:K17)</f>
        <v>0</v>
      </c>
      <c r="AQ17" s="29">
        <f>SUM(L17:N17)</f>
        <v>0</v>
      </c>
      <c r="AR17" s="29">
        <f>SUM(O17:Q17)</f>
        <v>0</v>
      </c>
      <c r="AS17" s="29">
        <f>SUM(R17:T17)</f>
        <v>0</v>
      </c>
      <c r="AT17" s="29">
        <f>SUM(U17:W17)</f>
        <v>0</v>
      </c>
      <c r="AU17" s="29">
        <f>SUM(X17:Z17)</f>
        <v>0</v>
      </c>
      <c r="AV17" s="29">
        <f>SUM(AA17:AC17)</f>
        <v>0</v>
      </c>
      <c r="AW17" s="29">
        <f>SUM(AD17:AF17)</f>
        <v>0</v>
      </c>
      <c r="AX17" s="29">
        <f>SUM(AG17:AI17)</f>
        <v>0</v>
      </c>
      <c r="AY17" s="29">
        <f>SUM(AJ17:AL17)</f>
        <v>0</v>
      </c>
      <c r="BA17" s="29">
        <f>SUM(C17:N17)</f>
        <v>0</v>
      </c>
      <c r="BB17" s="29">
        <f>SUM(O17:Z17)</f>
        <v>0</v>
      </c>
      <c r="BC17" s="29">
        <f>SUM(AA17:AL17)</f>
        <v>0</v>
      </c>
    </row>
    <row r="18" spans="1:55">
      <c r="A18" s="18" t="s">
        <v>329</v>
      </c>
      <c r="B18" s="16"/>
      <c r="C18" s="20">
        <f>'Working Capital'!$C$19</f>
        <v>0</v>
      </c>
      <c r="D18" s="20">
        <f>'Working Capital'!$D$19</f>
        <v>0</v>
      </c>
      <c r="E18" s="20">
        <f>'Working Capital'!$E$19</f>
        <v>0</v>
      </c>
      <c r="F18" s="20">
        <f>'Working Capital'!$F$19</f>
        <v>0</v>
      </c>
      <c r="G18" s="20">
        <f>'Working Capital'!$G$19</f>
        <v>0</v>
      </c>
      <c r="H18" s="20">
        <f>'Working Capital'!$H$19</f>
        <v>0</v>
      </c>
      <c r="I18" s="20">
        <f>'Working Capital'!$I$19</f>
        <v>0</v>
      </c>
      <c r="J18" s="20">
        <f>'Working Capital'!$J$19</f>
        <v>0</v>
      </c>
      <c r="K18" s="20">
        <f>'Working Capital'!$K$19</f>
        <v>0</v>
      </c>
      <c r="L18" s="20">
        <f>'Working Capital'!$L$19</f>
        <v>0</v>
      </c>
      <c r="M18" s="20">
        <f>'Working Capital'!$M$19</f>
        <v>0</v>
      </c>
      <c r="N18" s="20">
        <f>'Working Capital'!$N$19</f>
        <v>0</v>
      </c>
      <c r="O18" s="20">
        <f>'Working Capital'!$O$19</f>
        <v>0</v>
      </c>
      <c r="P18" s="20">
        <f>'Working Capital'!$P$19</f>
        <v>0</v>
      </c>
      <c r="Q18" s="20">
        <f>'Working Capital'!$Q$19</f>
        <v>0</v>
      </c>
      <c r="R18" s="20">
        <f>'Working Capital'!$R$19</f>
        <v>0</v>
      </c>
      <c r="S18" s="20">
        <f>'Working Capital'!$S$19</f>
        <v>0</v>
      </c>
      <c r="T18" s="20">
        <f>'Working Capital'!$T$19</f>
        <v>0</v>
      </c>
      <c r="U18" s="20">
        <f>'Working Capital'!$U$19</f>
        <v>0</v>
      </c>
      <c r="V18" s="20">
        <f>'Working Capital'!$V$19</f>
        <v>0</v>
      </c>
      <c r="W18" s="20">
        <f>'Working Capital'!$W$19</f>
        <v>0</v>
      </c>
      <c r="X18" s="20">
        <f>'Working Capital'!$X$19</f>
        <v>0</v>
      </c>
      <c r="Y18" s="20">
        <f>'Working Capital'!$Y$19</f>
        <v>0</v>
      </c>
      <c r="Z18" s="20">
        <f>'Working Capital'!$Z$19</f>
        <v>0</v>
      </c>
      <c r="AA18" s="20">
        <f>'Working Capital'!$AA$19</f>
        <v>0</v>
      </c>
      <c r="AB18" s="20">
        <f>'Working Capital'!$AB$19</f>
        <v>0</v>
      </c>
      <c r="AC18" s="20">
        <f>'Working Capital'!$AC$19</f>
        <v>0</v>
      </c>
      <c r="AD18" s="20">
        <f>'Working Capital'!$AD$19</f>
        <v>0</v>
      </c>
      <c r="AE18" s="20">
        <f>'Working Capital'!$AE$19</f>
        <v>0</v>
      </c>
      <c r="AF18" s="20">
        <f>'Working Capital'!$AF$19</f>
        <v>0</v>
      </c>
      <c r="AG18" s="20">
        <f>'Working Capital'!$AG$19</f>
        <v>0</v>
      </c>
      <c r="AH18" s="20">
        <f>'Working Capital'!$AH$19</f>
        <v>0</v>
      </c>
      <c r="AI18" s="20">
        <f>'Working Capital'!$AI$19</f>
        <v>0</v>
      </c>
      <c r="AJ18" s="20">
        <f>'Working Capital'!$AJ$19</f>
        <v>0</v>
      </c>
      <c r="AK18" s="20">
        <f>'Working Capital'!$AK$19</f>
        <v>0</v>
      </c>
      <c r="AL18" s="20">
        <f>'Working Capital'!$AL$19</f>
        <v>0</v>
      </c>
      <c r="AN18" s="20">
        <f>SUM(C18:E18)</f>
        <v>0</v>
      </c>
      <c r="AO18" s="20">
        <f>SUM(F18:H18)</f>
        <v>0</v>
      </c>
      <c r="AP18" s="20">
        <f>SUM(I18:K18)</f>
        <v>0</v>
      </c>
      <c r="AQ18" s="20">
        <f>SUM(L18:N18)</f>
        <v>0</v>
      </c>
      <c r="AR18" s="20">
        <f>SUM(O18:Q18)</f>
        <v>0</v>
      </c>
      <c r="AS18" s="20">
        <f>SUM(R18:T18)</f>
        <v>0</v>
      </c>
      <c r="AT18" s="20">
        <f>SUM(U18:W18)</f>
        <v>0</v>
      </c>
      <c r="AU18" s="20">
        <f>SUM(X18:Z18)</f>
        <v>0</v>
      </c>
      <c r="AV18" s="20">
        <f>SUM(AA18:AC18)</f>
        <v>0</v>
      </c>
      <c r="AW18" s="20">
        <f>SUM(AD18:AF18)</f>
        <v>0</v>
      </c>
      <c r="AX18" s="20">
        <f>SUM(AG18:AI18)</f>
        <v>0</v>
      </c>
      <c r="AY18" s="20">
        <f>SUM(AJ18:AL18)</f>
        <v>0</v>
      </c>
      <c r="BA18" s="20">
        <f>SUM(C18:N18)</f>
        <v>0</v>
      </c>
      <c r="BB18" s="20">
        <f>SUM(O18:Z18)</f>
        <v>0</v>
      </c>
      <c r="BC18" s="20">
        <f>SUM(AA18:AL18)</f>
        <v>0</v>
      </c>
    </row>
    <row r="19" spans="1:55">
      <c r="A19" s="28" t="s">
        <v>330</v>
      </c>
      <c r="B19" s="16"/>
      <c r="C19" s="29">
        <f>C17-C18</f>
        <v>0</v>
      </c>
      <c r="D19" s="29">
        <f>D17-D18</f>
        <v>0</v>
      </c>
      <c r="E19" s="29">
        <f>E17-E18</f>
        <v>0</v>
      </c>
      <c r="F19" s="29">
        <f>F17-F18</f>
        <v>0</v>
      </c>
      <c r="G19" s="29">
        <f>G17-G18</f>
        <v>0</v>
      </c>
      <c r="H19" s="29">
        <f>H17-H18</f>
        <v>0</v>
      </c>
      <c r="I19" s="29">
        <f>I17-I18</f>
        <v>0</v>
      </c>
      <c r="J19" s="29">
        <f>J17-J18</f>
        <v>0</v>
      </c>
      <c r="K19" s="29">
        <f>K17-K18</f>
        <v>0</v>
      </c>
      <c r="L19" s="29">
        <f>L17-L18</f>
        <v>0</v>
      </c>
      <c r="M19" s="29">
        <f>M17-M18</f>
        <v>0</v>
      </c>
      <c r="N19" s="29">
        <f>N17-N18</f>
        <v>0</v>
      </c>
      <c r="O19" s="29">
        <f>O17-O18</f>
        <v>0</v>
      </c>
      <c r="P19" s="29">
        <f>P17-P18</f>
        <v>0</v>
      </c>
      <c r="Q19" s="29">
        <f>Q17-Q18</f>
        <v>0</v>
      </c>
      <c r="R19" s="29">
        <f>R17-R18</f>
        <v>0</v>
      </c>
      <c r="S19" s="29">
        <f>S17-S18</f>
        <v>0</v>
      </c>
      <c r="T19" s="29">
        <f>T17-T18</f>
        <v>0</v>
      </c>
      <c r="U19" s="29">
        <f>U17-U18</f>
        <v>0</v>
      </c>
      <c r="V19" s="29">
        <f>V17-V18</f>
        <v>0</v>
      </c>
      <c r="W19" s="29">
        <f>W17-W18</f>
        <v>0</v>
      </c>
      <c r="X19" s="29">
        <f>X17-X18</f>
        <v>0</v>
      </c>
      <c r="Y19" s="29">
        <f>Y17-Y18</f>
        <v>0</v>
      </c>
      <c r="Z19" s="29">
        <f>Z17-Z18</f>
        <v>0</v>
      </c>
      <c r="AA19" s="29">
        <f>AA17-AA18</f>
        <v>0</v>
      </c>
      <c r="AB19" s="29">
        <f>AB17-AB18</f>
        <v>0</v>
      </c>
      <c r="AC19" s="29">
        <f>AC17-AC18</f>
        <v>0</v>
      </c>
      <c r="AD19" s="29">
        <f>AD17-AD18</f>
        <v>0</v>
      </c>
      <c r="AE19" s="29">
        <f>AE17-AE18</f>
        <v>0</v>
      </c>
      <c r="AF19" s="29">
        <f>AF17-AF18</f>
        <v>0</v>
      </c>
      <c r="AG19" s="29">
        <f>AG17-AG18</f>
        <v>0</v>
      </c>
      <c r="AH19" s="29">
        <f>AH17-AH18</f>
        <v>0</v>
      </c>
      <c r="AI19" s="29">
        <f>AI17-AI18</f>
        <v>0</v>
      </c>
      <c r="AJ19" s="29">
        <f>AJ17-AJ18</f>
        <v>0</v>
      </c>
      <c r="AK19" s="29">
        <f>AK17-AK18</f>
        <v>0</v>
      </c>
      <c r="AL19" s="29">
        <f>AL17-AL18</f>
        <v>0</v>
      </c>
      <c r="AN19" s="29">
        <f>SUM(C19:E19)</f>
        <v>0</v>
      </c>
      <c r="AO19" s="29">
        <f>SUM(F19:H19)</f>
        <v>0</v>
      </c>
      <c r="AP19" s="29">
        <f>SUM(I19:K19)</f>
        <v>0</v>
      </c>
      <c r="AQ19" s="29">
        <f>SUM(L19:N19)</f>
        <v>0</v>
      </c>
      <c r="AR19" s="29">
        <f>SUM(O19:Q19)</f>
        <v>0</v>
      </c>
      <c r="AS19" s="29">
        <f>SUM(R19:T19)</f>
        <v>0</v>
      </c>
      <c r="AT19" s="29">
        <f>SUM(U19:W19)</f>
        <v>0</v>
      </c>
      <c r="AU19" s="29">
        <f>SUM(X19:Z19)</f>
        <v>0</v>
      </c>
      <c r="AV19" s="29">
        <f>SUM(AA19:AC19)</f>
        <v>0</v>
      </c>
      <c r="AW19" s="29">
        <f>SUM(AD19:AF19)</f>
        <v>0</v>
      </c>
      <c r="AX19" s="29">
        <f>SUM(AG19:AI19)</f>
        <v>0</v>
      </c>
      <c r="AY19" s="29">
        <f>SUM(AJ19:AL19)</f>
        <v>0</v>
      </c>
      <c r="BA19" s="29">
        <f>SUM(C19:N19)</f>
        <v>0</v>
      </c>
      <c r="BB19" s="29">
        <f>SUM(O19:Z19)</f>
        <v>0</v>
      </c>
      <c r="BC19" s="29">
        <f>SUM(AA19:AL19)</f>
        <v>0</v>
      </c>
    </row>
    <row r="20" spans="1:55">
      <c r="A20" s="18" t="s">
        <v>331</v>
      </c>
      <c r="B20" s="16"/>
      <c r="C20" s="20">
        <f>'Working Capital'!$C$26</f>
        <v>0</v>
      </c>
      <c r="D20" s="20">
        <f>'Working Capital'!$D$26</f>
        <v>0</v>
      </c>
      <c r="E20" s="20">
        <f>'Working Capital'!$E$26</f>
        <v>0</v>
      </c>
      <c r="F20" s="20">
        <f>'Working Capital'!$F$26</f>
        <v>0</v>
      </c>
      <c r="G20" s="20">
        <f>'Working Capital'!$G$26</f>
        <v>0</v>
      </c>
      <c r="H20" s="20">
        <f>'Working Capital'!$H$26</f>
        <v>0</v>
      </c>
      <c r="I20" s="20">
        <f>'Working Capital'!$I$26</f>
        <v>0</v>
      </c>
      <c r="J20" s="20">
        <f>'Working Capital'!$J$26</f>
        <v>0</v>
      </c>
      <c r="K20" s="20">
        <f>'Working Capital'!$K$26</f>
        <v>0</v>
      </c>
      <c r="L20" s="20">
        <f>'Working Capital'!$L$26</f>
        <v>0</v>
      </c>
      <c r="M20" s="20">
        <f>'Working Capital'!$M$26</f>
        <v>0</v>
      </c>
      <c r="N20" s="20">
        <f>'Working Capital'!$N$26</f>
        <v>0</v>
      </c>
      <c r="O20" s="20">
        <f>'Working Capital'!$O$26</f>
        <v>0</v>
      </c>
      <c r="P20" s="20">
        <f>'Working Capital'!$P$26</f>
        <v>0</v>
      </c>
      <c r="Q20" s="20">
        <f>'Working Capital'!$Q$26</f>
        <v>0</v>
      </c>
      <c r="R20" s="20">
        <f>'Working Capital'!$R$26</f>
        <v>0</v>
      </c>
      <c r="S20" s="20">
        <f>'Working Capital'!$S$26</f>
        <v>0</v>
      </c>
      <c r="T20" s="20">
        <f>'Working Capital'!$T$26</f>
        <v>0</v>
      </c>
      <c r="U20" s="20">
        <f>'Working Capital'!$U$26</f>
        <v>0</v>
      </c>
      <c r="V20" s="20">
        <f>'Working Capital'!$V$26</f>
        <v>0</v>
      </c>
      <c r="W20" s="20">
        <f>'Working Capital'!$W$26</f>
        <v>0</v>
      </c>
      <c r="X20" s="20">
        <f>'Working Capital'!$X$26</f>
        <v>0</v>
      </c>
      <c r="Y20" s="20">
        <f>'Working Capital'!$Y$26</f>
        <v>0</v>
      </c>
      <c r="Z20" s="20">
        <f>'Working Capital'!$Z$26</f>
        <v>0</v>
      </c>
      <c r="AA20" s="20">
        <f>'Working Capital'!$AA$26</f>
        <v>0</v>
      </c>
      <c r="AB20" s="20">
        <f>'Working Capital'!$AB$26</f>
        <v>0</v>
      </c>
      <c r="AC20" s="20">
        <f>'Working Capital'!$AC$26</f>
        <v>0</v>
      </c>
      <c r="AD20" s="20">
        <f>'Working Capital'!$AD$26</f>
        <v>0</v>
      </c>
      <c r="AE20" s="20">
        <f>'Working Capital'!$AE$26</f>
        <v>0</v>
      </c>
      <c r="AF20" s="20">
        <f>'Working Capital'!$AF$26</f>
        <v>0</v>
      </c>
      <c r="AG20" s="20">
        <f>'Working Capital'!$AG$26</f>
        <v>0</v>
      </c>
      <c r="AH20" s="20">
        <f>'Working Capital'!$AH$26</f>
        <v>0</v>
      </c>
      <c r="AI20" s="20">
        <f>'Working Capital'!$AI$26</f>
        <v>0</v>
      </c>
      <c r="AJ20" s="20">
        <f>'Working Capital'!$AJ$26</f>
        <v>0</v>
      </c>
      <c r="AK20" s="20">
        <f>'Working Capital'!$AK$26</f>
        <v>0</v>
      </c>
      <c r="AL20" s="20">
        <f>'Working Capital'!$AL$26</f>
        <v>0</v>
      </c>
      <c r="AN20" s="20">
        <f>SUM(C20:E20)</f>
        <v>0</v>
      </c>
      <c r="AO20" s="20">
        <f>SUM(F20:H20)</f>
        <v>0</v>
      </c>
      <c r="AP20" s="20">
        <f>SUM(I20:K20)</f>
        <v>0</v>
      </c>
      <c r="AQ20" s="20">
        <f>SUM(L20:N20)</f>
        <v>0</v>
      </c>
      <c r="AR20" s="20">
        <f>SUM(O20:Q20)</f>
        <v>0</v>
      </c>
      <c r="AS20" s="20">
        <f>SUM(R20:T20)</f>
        <v>0</v>
      </c>
      <c r="AT20" s="20">
        <f>SUM(U20:W20)</f>
        <v>0</v>
      </c>
      <c r="AU20" s="20">
        <f>SUM(X20:Z20)</f>
        <v>0</v>
      </c>
      <c r="AV20" s="20">
        <f>SUM(AA20:AC20)</f>
        <v>0</v>
      </c>
      <c r="AW20" s="20">
        <f>SUM(AD20:AF20)</f>
        <v>0</v>
      </c>
      <c r="AX20" s="20">
        <f>SUM(AG20:AI20)</f>
        <v>0</v>
      </c>
      <c r="AY20" s="20">
        <f>SUM(AJ20:AL20)</f>
        <v>0</v>
      </c>
      <c r="BA20" s="20">
        <f>SUM(C20:N20)</f>
        <v>0</v>
      </c>
      <c r="BB20" s="20">
        <f>SUM(O20:Z20)</f>
        <v>0</v>
      </c>
      <c r="BC20" s="20">
        <f>SUM(AA20:AL20)</f>
        <v>0</v>
      </c>
    </row>
    <row r="21" spans="1:55">
      <c r="A21" s="28" t="s">
        <v>332</v>
      </c>
      <c r="B21" s="16"/>
      <c r="C21" s="29">
        <f>C19-C20</f>
        <v>0</v>
      </c>
      <c r="D21" s="29">
        <f>D19-D20</f>
        <v>0</v>
      </c>
      <c r="E21" s="29">
        <f>E19-E20</f>
        <v>0</v>
      </c>
      <c r="F21" s="29">
        <f>F19-F20</f>
        <v>0</v>
      </c>
      <c r="G21" s="29">
        <f>G19-G20</f>
        <v>0</v>
      </c>
      <c r="H21" s="29">
        <f>H19-H20</f>
        <v>0</v>
      </c>
      <c r="I21" s="29">
        <f>I19-I20</f>
        <v>0</v>
      </c>
      <c r="J21" s="29">
        <f>J19-J20</f>
        <v>0</v>
      </c>
      <c r="K21" s="29">
        <f>K19-K20</f>
        <v>0</v>
      </c>
      <c r="L21" s="29">
        <f>L19-L20</f>
        <v>0</v>
      </c>
      <c r="M21" s="29">
        <f>M19-M20</f>
        <v>0</v>
      </c>
      <c r="N21" s="29">
        <f>N19-N20</f>
        <v>0</v>
      </c>
      <c r="O21" s="29">
        <f>O19-O20</f>
        <v>0</v>
      </c>
      <c r="P21" s="29">
        <f>P19-P20</f>
        <v>0</v>
      </c>
      <c r="Q21" s="29">
        <f>Q19-Q20</f>
        <v>0</v>
      </c>
      <c r="R21" s="29">
        <f>R19-R20</f>
        <v>0</v>
      </c>
      <c r="S21" s="29">
        <f>S19-S20</f>
        <v>0</v>
      </c>
      <c r="T21" s="29">
        <f>T19-T20</f>
        <v>0</v>
      </c>
      <c r="U21" s="29">
        <f>U19-U20</f>
        <v>0</v>
      </c>
      <c r="V21" s="29">
        <f>V19-V20</f>
        <v>0</v>
      </c>
      <c r="W21" s="29">
        <f>W19-W20</f>
        <v>0</v>
      </c>
      <c r="X21" s="29">
        <f>X19-X20</f>
        <v>0</v>
      </c>
      <c r="Y21" s="29">
        <f>Y19-Y20</f>
        <v>0</v>
      </c>
      <c r="Z21" s="29">
        <f>Z19-Z20</f>
        <v>0</v>
      </c>
      <c r="AA21" s="29">
        <f>AA19-AA20</f>
        <v>0</v>
      </c>
      <c r="AB21" s="29">
        <f>AB19-AB20</f>
        <v>0</v>
      </c>
      <c r="AC21" s="29">
        <f>AC19-AC20</f>
        <v>0</v>
      </c>
      <c r="AD21" s="29">
        <f>AD19-AD20</f>
        <v>0</v>
      </c>
      <c r="AE21" s="29">
        <f>AE19-AE20</f>
        <v>0</v>
      </c>
      <c r="AF21" s="29">
        <f>AF19-AF20</f>
        <v>0</v>
      </c>
      <c r="AG21" s="29">
        <f>AG19-AG20</f>
        <v>0</v>
      </c>
      <c r="AH21" s="29">
        <f>AH19-AH20</f>
        <v>0</v>
      </c>
      <c r="AI21" s="29">
        <f>AI19-AI20</f>
        <v>0</v>
      </c>
      <c r="AJ21" s="29">
        <f>AJ19-AJ20</f>
        <v>0</v>
      </c>
      <c r="AK21" s="29">
        <f>AK19-AK20</f>
        <v>0</v>
      </c>
      <c r="AL21" s="29">
        <f>AL19-AL20</f>
        <v>0</v>
      </c>
      <c r="AN21" s="29">
        <f>SUM(C21:E21)</f>
        <v>0</v>
      </c>
      <c r="AO21" s="29">
        <f>SUM(F21:H21)</f>
        <v>0</v>
      </c>
      <c r="AP21" s="29">
        <f>SUM(I21:K21)</f>
        <v>0</v>
      </c>
      <c r="AQ21" s="29">
        <f>SUM(L21:N21)</f>
        <v>0</v>
      </c>
      <c r="AR21" s="29">
        <f>SUM(O21:Q21)</f>
        <v>0</v>
      </c>
      <c r="AS21" s="29">
        <f>SUM(R21:T21)</f>
        <v>0</v>
      </c>
      <c r="AT21" s="29">
        <f>SUM(U21:W21)</f>
        <v>0</v>
      </c>
      <c r="AU21" s="29">
        <f>SUM(X21:Z21)</f>
        <v>0</v>
      </c>
      <c r="AV21" s="29">
        <f>SUM(AA21:AC21)</f>
        <v>0</v>
      </c>
      <c r="AW21" s="29">
        <f>SUM(AD21:AF21)</f>
        <v>0</v>
      </c>
      <c r="AX21" s="29">
        <f>SUM(AG21:AI21)</f>
        <v>0</v>
      </c>
      <c r="AY21" s="29">
        <f>SUM(AJ21:AL21)</f>
        <v>0</v>
      </c>
      <c r="BA21" s="29">
        <f>SUM(C21:N21)</f>
        <v>0</v>
      </c>
      <c r="BB21" s="29">
        <f>SUM(O21:Z21)</f>
        <v>0</v>
      </c>
      <c r="BC21" s="29">
        <f>SUM(AA21:AL21)</f>
        <v>0</v>
      </c>
    </row>
    <row r="22" spans="1:55">
      <c r="A22" s="18" t="s">
        <v>333</v>
      </c>
      <c r="B22" s="16" t="s">
        <v>334</v>
      </c>
      <c r="C22" s="20">
        <f>MAX(0,C21)*'Assumptions'!$F$10</f>
        <v>0</v>
      </c>
      <c r="D22" s="20">
        <f>MAX(0,D21)*'Assumptions'!$F$10</f>
        <v>0</v>
      </c>
      <c r="E22" s="20">
        <f>MAX(0,E21)*'Assumptions'!$F$10</f>
        <v>0</v>
      </c>
      <c r="F22" s="20">
        <f>MAX(0,F21)*'Assumptions'!$F$10</f>
        <v>0</v>
      </c>
      <c r="G22" s="20">
        <f>MAX(0,G21)*'Assumptions'!$F$10</f>
        <v>0</v>
      </c>
      <c r="H22" s="20">
        <f>MAX(0,H21)*'Assumptions'!$F$10</f>
        <v>0</v>
      </c>
      <c r="I22" s="20">
        <f>MAX(0,I21)*'Assumptions'!$F$10</f>
        <v>0</v>
      </c>
      <c r="J22" s="20">
        <f>MAX(0,J21)*'Assumptions'!$F$10</f>
        <v>0</v>
      </c>
      <c r="K22" s="20">
        <f>MAX(0,K21)*'Assumptions'!$F$10</f>
        <v>0</v>
      </c>
      <c r="L22" s="20">
        <f>MAX(0,L21)*'Assumptions'!$F$10</f>
        <v>0</v>
      </c>
      <c r="M22" s="20">
        <f>MAX(0,M21)*'Assumptions'!$F$10</f>
        <v>0</v>
      </c>
      <c r="N22" s="20">
        <f>MAX(0,N21)*'Assumptions'!$F$10</f>
        <v>0</v>
      </c>
      <c r="O22" s="20">
        <f>MAX(0,O21)*'Assumptions'!$F$10</f>
        <v>0</v>
      </c>
      <c r="P22" s="20">
        <f>MAX(0,P21)*'Assumptions'!$F$10</f>
        <v>0</v>
      </c>
      <c r="Q22" s="20">
        <f>MAX(0,Q21)*'Assumptions'!$F$10</f>
        <v>0</v>
      </c>
      <c r="R22" s="20">
        <f>MAX(0,R21)*'Assumptions'!$F$10</f>
        <v>0</v>
      </c>
      <c r="S22" s="20">
        <f>MAX(0,S21)*'Assumptions'!$F$10</f>
        <v>0</v>
      </c>
      <c r="T22" s="20">
        <f>MAX(0,T21)*'Assumptions'!$F$10</f>
        <v>0</v>
      </c>
      <c r="U22" s="20">
        <f>MAX(0,U21)*'Assumptions'!$F$10</f>
        <v>0</v>
      </c>
      <c r="V22" s="20">
        <f>MAX(0,V21)*'Assumptions'!$F$10</f>
        <v>0</v>
      </c>
      <c r="W22" s="20">
        <f>MAX(0,W21)*'Assumptions'!$F$10</f>
        <v>0</v>
      </c>
      <c r="X22" s="20">
        <f>MAX(0,X21)*'Assumptions'!$F$10</f>
        <v>0</v>
      </c>
      <c r="Y22" s="20">
        <f>MAX(0,Y21)*'Assumptions'!$F$10</f>
        <v>0</v>
      </c>
      <c r="Z22" s="20">
        <f>MAX(0,Z21)*'Assumptions'!$F$10</f>
        <v>0</v>
      </c>
      <c r="AA22" s="20">
        <f>MAX(0,AA21)*'Assumptions'!$F$10</f>
        <v>0</v>
      </c>
      <c r="AB22" s="20">
        <f>MAX(0,AB21)*'Assumptions'!$F$10</f>
        <v>0</v>
      </c>
      <c r="AC22" s="20">
        <f>MAX(0,AC21)*'Assumptions'!$F$10</f>
        <v>0</v>
      </c>
      <c r="AD22" s="20">
        <f>MAX(0,AD21)*'Assumptions'!$F$10</f>
        <v>0</v>
      </c>
      <c r="AE22" s="20">
        <f>MAX(0,AE21)*'Assumptions'!$F$10</f>
        <v>0</v>
      </c>
      <c r="AF22" s="20">
        <f>MAX(0,AF21)*'Assumptions'!$F$10</f>
        <v>0</v>
      </c>
      <c r="AG22" s="20">
        <f>MAX(0,AG21)*'Assumptions'!$F$10</f>
        <v>0</v>
      </c>
      <c r="AH22" s="20">
        <f>MAX(0,AH21)*'Assumptions'!$F$10</f>
        <v>0</v>
      </c>
      <c r="AI22" s="20">
        <f>MAX(0,AI21)*'Assumptions'!$F$10</f>
        <v>0</v>
      </c>
      <c r="AJ22" s="20">
        <f>MAX(0,AJ21)*'Assumptions'!$F$10</f>
        <v>0</v>
      </c>
      <c r="AK22" s="20">
        <f>MAX(0,AK21)*'Assumptions'!$F$10</f>
        <v>0</v>
      </c>
      <c r="AL22" s="20">
        <f>MAX(0,AL21)*'Assumptions'!$F$10</f>
        <v>0</v>
      </c>
      <c r="AN22" s="20">
        <f>SUM(C22:E22)</f>
        <v>0</v>
      </c>
      <c r="AO22" s="20">
        <f>SUM(F22:H22)</f>
        <v>0</v>
      </c>
      <c r="AP22" s="20">
        <f>SUM(I22:K22)</f>
        <v>0</v>
      </c>
      <c r="AQ22" s="20">
        <f>SUM(L22:N22)</f>
        <v>0</v>
      </c>
      <c r="AR22" s="20">
        <f>SUM(O22:Q22)</f>
        <v>0</v>
      </c>
      <c r="AS22" s="20">
        <f>SUM(R22:T22)</f>
        <v>0</v>
      </c>
      <c r="AT22" s="20">
        <f>SUM(U22:W22)</f>
        <v>0</v>
      </c>
      <c r="AU22" s="20">
        <f>SUM(X22:Z22)</f>
        <v>0</v>
      </c>
      <c r="AV22" s="20">
        <f>SUM(AA22:AC22)</f>
        <v>0</v>
      </c>
      <c r="AW22" s="20">
        <f>SUM(AD22:AF22)</f>
        <v>0</v>
      </c>
      <c r="AX22" s="20">
        <f>SUM(AG22:AI22)</f>
        <v>0</v>
      </c>
      <c r="AY22" s="20">
        <f>SUM(AJ22:AL22)</f>
        <v>0</v>
      </c>
      <c r="BA22" s="20">
        <f>SUM(C22:N22)</f>
        <v>0</v>
      </c>
      <c r="BB22" s="20">
        <f>SUM(O22:Z22)</f>
        <v>0</v>
      </c>
      <c r="BC22" s="20">
        <f>SUM(AA22:AL22)</f>
        <v>0</v>
      </c>
    </row>
    <row r="23" spans="1:55">
      <c r="A23" s="31" t="s">
        <v>335</v>
      </c>
      <c r="B23" s="16"/>
      <c r="C23" s="32">
        <f>C21-C22</f>
        <v>0</v>
      </c>
      <c r="D23" s="32">
        <f>D21-D22</f>
        <v>0</v>
      </c>
      <c r="E23" s="32">
        <f>E21-E22</f>
        <v>0</v>
      </c>
      <c r="F23" s="32">
        <f>F21-F22</f>
        <v>0</v>
      </c>
      <c r="G23" s="32">
        <f>G21-G22</f>
        <v>0</v>
      </c>
      <c r="H23" s="32">
        <f>H21-H22</f>
        <v>0</v>
      </c>
      <c r="I23" s="32">
        <f>I21-I22</f>
        <v>0</v>
      </c>
      <c r="J23" s="32">
        <f>J21-J22</f>
        <v>0</v>
      </c>
      <c r="K23" s="32">
        <f>K21-K22</f>
        <v>0</v>
      </c>
      <c r="L23" s="32">
        <f>L21-L22</f>
        <v>0</v>
      </c>
      <c r="M23" s="32">
        <f>M21-M22</f>
        <v>0</v>
      </c>
      <c r="N23" s="32">
        <f>N21-N22</f>
        <v>0</v>
      </c>
      <c r="O23" s="32">
        <f>O21-O22</f>
        <v>0</v>
      </c>
      <c r="P23" s="32">
        <f>P21-P22</f>
        <v>0</v>
      </c>
      <c r="Q23" s="32">
        <f>Q21-Q22</f>
        <v>0</v>
      </c>
      <c r="R23" s="32">
        <f>R21-R22</f>
        <v>0</v>
      </c>
      <c r="S23" s="32">
        <f>S21-S22</f>
        <v>0</v>
      </c>
      <c r="T23" s="32">
        <f>T21-T22</f>
        <v>0</v>
      </c>
      <c r="U23" s="32">
        <f>U21-U22</f>
        <v>0</v>
      </c>
      <c r="V23" s="32">
        <f>V21-V22</f>
        <v>0</v>
      </c>
      <c r="W23" s="32">
        <f>W21-W22</f>
        <v>0</v>
      </c>
      <c r="X23" s="32">
        <f>X21-X22</f>
        <v>0</v>
      </c>
      <c r="Y23" s="32">
        <f>Y21-Y22</f>
        <v>0</v>
      </c>
      <c r="Z23" s="32">
        <f>Z21-Z22</f>
        <v>0</v>
      </c>
      <c r="AA23" s="32">
        <f>AA21-AA22</f>
        <v>0</v>
      </c>
      <c r="AB23" s="32">
        <f>AB21-AB22</f>
        <v>0</v>
      </c>
      <c r="AC23" s="32">
        <f>AC21-AC22</f>
        <v>0</v>
      </c>
      <c r="AD23" s="32">
        <f>AD21-AD22</f>
        <v>0</v>
      </c>
      <c r="AE23" s="32">
        <f>AE21-AE22</f>
        <v>0</v>
      </c>
      <c r="AF23" s="32">
        <f>AF21-AF22</f>
        <v>0</v>
      </c>
      <c r="AG23" s="32">
        <f>AG21-AG22</f>
        <v>0</v>
      </c>
      <c r="AH23" s="32">
        <f>AH21-AH22</f>
        <v>0</v>
      </c>
      <c r="AI23" s="32">
        <f>AI21-AI22</f>
        <v>0</v>
      </c>
      <c r="AJ23" s="32">
        <f>AJ21-AJ22</f>
        <v>0</v>
      </c>
      <c r="AK23" s="32">
        <f>AK21-AK22</f>
        <v>0</v>
      </c>
      <c r="AL23" s="32">
        <f>AL21-AL22</f>
        <v>0</v>
      </c>
      <c r="AN23" s="32">
        <f>SUM(C23:E23)</f>
        <v>0</v>
      </c>
      <c r="AO23" s="32">
        <f>SUM(F23:H23)</f>
        <v>0</v>
      </c>
      <c r="AP23" s="32">
        <f>SUM(I23:K23)</f>
        <v>0</v>
      </c>
      <c r="AQ23" s="32">
        <f>SUM(L23:N23)</f>
        <v>0</v>
      </c>
      <c r="AR23" s="32">
        <f>SUM(O23:Q23)</f>
        <v>0</v>
      </c>
      <c r="AS23" s="32">
        <f>SUM(R23:T23)</f>
        <v>0</v>
      </c>
      <c r="AT23" s="32">
        <f>SUM(U23:W23)</f>
        <v>0</v>
      </c>
      <c r="AU23" s="32">
        <f>SUM(X23:Z23)</f>
        <v>0</v>
      </c>
      <c r="AV23" s="32">
        <f>SUM(AA23:AC23)</f>
        <v>0</v>
      </c>
      <c r="AW23" s="32">
        <f>SUM(AD23:AF23)</f>
        <v>0</v>
      </c>
      <c r="AX23" s="32">
        <f>SUM(AG23:AI23)</f>
        <v>0</v>
      </c>
      <c r="AY23" s="32">
        <f>SUM(AJ23:AL23)</f>
        <v>0</v>
      </c>
      <c r="BA23" s="32">
        <f>SUM(C23:N23)</f>
        <v>0</v>
      </c>
      <c r="BB23" s="32">
        <f>SUM(O23:Z23)</f>
        <v>0</v>
      </c>
      <c r="BC23" s="32">
        <f>SUM(AA23:AL23)</f>
        <v>0</v>
      </c>
    </row>
  </sheetData>
  <mergeCells count="6">
    <mergeCell ref="A1:BC1"/>
    <mergeCell ref="A2:BC2"/>
    <mergeCell ref="C5:AL5"/>
    <mergeCell ref="AN5:AY5"/>
    <mergeCell ref="BA5:BC5"/>
    <mergeCell ref="A12:BC12"/>
  </mergeCells>
  <pageMargins left="0.7" right="0.7" top="0.75" bottom="0.75" header="0.3" footer="0.3"/>
  <pageSetup paperSize="9" scale="55" orientation="landscape"/>
</worksheet>
</file>

<file path=xl/worksheets/sheet9.xml><?xml version="1.0" encoding="utf-8"?>
<worksheet xmlns="http://schemas.openxmlformats.org/spreadsheetml/2006/main" xmlns:r="http://schemas.openxmlformats.org/officeDocument/2006/relationships">
  <dimension ref="A1:BC28"/>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337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338</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335</v>
      </c>
      <c r="B8" s="16"/>
      <c r="C8" s="20">
        <f>'P&amp;L'!$C$23</f>
        <v>0</v>
      </c>
      <c r="D8" s="20">
        <f>'P&amp;L'!$D$23</f>
        <v>0</v>
      </c>
      <c r="E8" s="20">
        <f>'P&amp;L'!$E$23</f>
        <v>0</v>
      </c>
      <c r="F8" s="20">
        <f>'P&amp;L'!$F$23</f>
        <v>0</v>
      </c>
      <c r="G8" s="20">
        <f>'P&amp;L'!$G$23</f>
        <v>0</v>
      </c>
      <c r="H8" s="20">
        <f>'P&amp;L'!$H$23</f>
        <v>0</v>
      </c>
      <c r="I8" s="20">
        <f>'P&amp;L'!$I$23</f>
        <v>0</v>
      </c>
      <c r="J8" s="20">
        <f>'P&amp;L'!$J$23</f>
        <v>0</v>
      </c>
      <c r="K8" s="20">
        <f>'P&amp;L'!$K$23</f>
        <v>0</v>
      </c>
      <c r="L8" s="20">
        <f>'P&amp;L'!$L$23</f>
        <v>0</v>
      </c>
      <c r="M8" s="20">
        <f>'P&amp;L'!$M$23</f>
        <v>0</v>
      </c>
      <c r="N8" s="20">
        <f>'P&amp;L'!$N$23</f>
        <v>0</v>
      </c>
      <c r="O8" s="20">
        <f>'P&amp;L'!$O$23</f>
        <v>0</v>
      </c>
      <c r="P8" s="20">
        <f>'P&amp;L'!$P$23</f>
        <v>0</v>
      </c>
      <c r="Q8" s="20">
        <f>'P&amp;L'!$Q$23</f>
        <v>0</v>
      </c>
      <c r="R8" s="20">
        <f>'P&amp;L'!$R$23</f>
        <v>0</v>
      </c>
      <c r="S8" s="20">
        <f>'P&amp;L'!$S$23</f>
        <v>0</v>
      </c>
      <c r="T8" s="20">
        <f>'P&amp;L'!$T$23</f>
        <v>0</v>
      </c>
      <c r="U8" s="20">
        <f>'P&amp;L'!$U$23</f>
        <v>0</v>
      </c>
      <c r="V8" s="20">
        <f>'P&amp;L'!$V$23</f>
        <v>0</v>
      </c>
      <c r="W8" s="20">
        <f>'P&amp;L'!$W$23</f>
        <v>0</v>
      </c>
      <c r="X8" s="20">
        <f>'P&amp;L'!$X$23</f>
        <v>0</v>
      </c>
      <c r="Y8" s="20">
        <f>'P&amp;L'!$Y$23</f>
        <v>0</v>
      </c>
      <c r="Z8" s="20">
        <f>'P&amp;L'!$Z$23</f>
        <v>0</v>
      </c>
      <c r="AA8" s="20">
        <f>'P&amp;L'!$AA$23</f>
        <v>0</v>
      </c>
      <c r="AB8" s="20">
        <f>'P&amp;L'!$AB$23</f>
        <v>0</v>
      </c>
      <c r="AC8" s="20">
        <f>'P&amp;L'!$AC$23</f>
        <v>0</v>
      </c>
      <c r="AD8" s="20">
        <f>'P&amp;L'!$AD$23</f>
        <v>0</v>
      </c>
      <c r="AE8" s="20">
        <f>'P&amp;L'!$AE$23</f>
        <v>0</v>
      </c>
      <c r="AF8" s="20">
        <f>'P&amp;L'!$AF$23</f>
        <v>0</v>
      </c>
      <c r="AG8" s="20">
        <f>'P&amp;L'!$AG$23</f>
        <v>0</v>
      </c>
      <c r="AH8" s="20">
        <f>'P&amp;L'!$AH$23</f>
        <v>0</v>
      </c>
      <c r="AI8" s="20">
        <f>'P&amp;L'!$AI$23</f>
        <v>0</v>
      </c>
      <c r="AJ8" s="20">
        <f>'P&amp;L'!$AJ$23</f>
        <v>0</v>
      </c>
      <c r="AK8" s="20">
        <f>'P&amp;L'!$AK$23</f>
        <v>0</v>
      </c>
      <c r="AL8" s="20">
        <f>'P&amp;L'!$AL$23</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339</v>
      </c>
      <c r="B9" s="16"/>
      <c r="C9" s="20">
        <f>'P&amp;L'!$C$18</f>
        <v>0</v>
      </c>
      <c r="D9" s="20">
        <f>'P&amp;L'!$D$18</f>
        <v>0</v>
      </c>
      <c r="E9" s="20">
        <f>'P&amp;L'!$E$18</f>
        <v>0</v>
      </c>
      <c r="F9" s="20">
        <f>'P&amp;L'!$F$18</f>
        <v>0</v>
      </c>
      <c r="G9" s="20">
        <f>'P&amp;L'!$G$18</f>
        <v>0</v>
      </c>
      <c r="H9" s="20">
        <f>'P&amp;L'!$H$18</f>
        <v>0</v>
      </c>
      <c r="I9" s="20">
        <f>'P&amp;L'!$I$18</f>
        <v>0</v>
      </c>
      <c r="J9" s="20">
        <f>'P&amp;L'!$J$18</f>
        <v>0</v>
      </c>
      <c r="K9" s="20">
        <f>'P&amp;L'!$K$18</f>
        <v>0</v>
      </c>
      <c r="L9" s="20">
        <f>'P&amp;L'!$L$18</f>
        <v>0</v>
      </c>
      <c r="M9" s="20">
        <f>'P&amp;L'!$M$18</f>
        <v>0</v>
      </c>
      <c r="N9" s="20">
        <f>'P&amp;L'!$N$18</f>
        <v>0</v>
      </c>
      <c r="O9" s="20">
        <f>'P&amp;L'!$O$18</f>
        <v>0</v>
      </c>
      <c r="P9" s="20">
        <f>'P&amp;L'!$P$18</f>
        <v>0</v>
      </c>
      <c r="Q9" s="20">
        <f>'P&amp;L'!$Q$18</f>
        <v>0</v>
      </c>
      <c r="R9" s="20">
        <f>'P&amp;L'!$R$18</f>
        <v>0</v>
      </c>
      <c r="S9" s="20">
        <f>'P&amp;L'!$S$18</f>
        <v>0</v>
      </c>
      <c r="T9" s="20">
        <f>'P&amp;L'!$T$18</f>
        <v>0</v>
      </c>
      <c r="U9" s="20">
        <f>'P&amp;L'!$U$18</f>
        <v>0</v>
      </c>
      <c r="V9" s="20">
        <f>'P&amp;L'!$V$18</f>
        <v>0</v>
      </c>
      <c r="W9" s="20">
        <f>'P&amp;L'!$W$18</f>
        <v>0</v>
      </c>
      <c r="X9" s="20">
        <f>'P&amp;L'!$X$18</f>
        <v>0</v>
      </c>
      <c r="Y9" s="20">
        <f>'P&amp;L'!$Y$18</f>
        <v>0</v>
      </c>
      <c r="Z9" s="20">
        <f>'P&amp;L'!$Z$18</f>
        <v>0</v>
      </c>
      <c r="AA9" s="20">
        <f>'P&amp;L'!$AA$18</f>
        <v>0</v>
      </c>
      <c r="AB9" s="20">
        <f>'P&amp;L'!$AB$18</f>
        <v>0</v>
      </c>
      <c r="AC9" s="20">
        <f>'P&amp;L'!$AC$18</f>
        <v>0</v>
      </c>
      <c r="AD9" s="20">
        <f>'P&amp;L'!$AD$18</f>
        <v>0</v>
      </c>
      <c r="AE9" s="20">
        <f>'P&amp;L'!$AE$18</f>
        <v>0</v>
      </c>
      <c r="AF9" s="20">
        <f>'P&amp;L'!$AF$18</f>
        <v>0</v>
      </c>
      <c r="AG9" s="20">
        <f>'P&amp;L'!$AG$18</f>
        <v>0</v>
      </c>
      <c r="AH9" s="20">
        <f>'P&amp;L'!$AH$18</f>
        <v>0</v>
      </c>
      <c r="AI9" s="20">
        <f>'P&amp;L'!$AI$18</f>
        <v>0</v>
      </c>
      <c r="AJ9" s="20">
        <f>'P&amp;L'!$AJ$18</f>
        <v>0</v>
      </c>
      <c r="AK9" s="20">
        <f>'P&amp;L'!$AK$18</f>
        <v>0</v>
      </c>
      <c r="AL9" s="20">
        <f>'P&amp;L'!$AL$18</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340</v>
      </c>
      <c r="B10" s="16"/>
      <c r="C10" s="20">
        <f>-'Working Capital'!C12</f>
        <v>0</v>
      </c>
      <c r="D10" s="20">
        <f>-'Working Capital'!D12</f>
        <v>0</v>
      </c>
      <c r="E10" s="20">
        <f>-'Working Capital'!E12</f>
        <v>0</v>
      </c>
      <c r="F10" s="20">
        <f>-'Working Capital'!F12</f>
        <v>0</v>
      </c>
      <c r="G10" s="20">
        <f>-'Working Capital'!G12</f>
        <v>0</v>
      </c>
      <c r="H10" s="20">
        <f>-'Working Capital'!H12</f>
        <v>0</v>
      </c>
      <c r="I10" s="20">
        <f>-'Working Capital'!I12</f>
        <v>0</v>
      </c>
      <c r="J10" s="20">
        <f>-'Working Capital'!J12</f>
        <v>0</v>
      </c>
      <c r="K10" s="20">
        <f>-'Working Capital'!K12</f>
        <v>0</v>
      </c>
      <c r="L10" s="20">
        <f>-'Working Capital'!L12</f>
        <v>0</v>
      </c>
      <c r="M10" s="20">
        <f>-'Working Capital'!M12</f>
        <v>0</v>
      </c>
      <c r="N10" s="20">
        <f>-'Working Capital'!N12</f>
        <v>0</v>
      </c>
      <c r="O10" s="20">
        <f>-'Working Capital'!O12</f>
        <v>0</v>
      </c>
      <c r="P10" s="20">
        <f>-'Working Capital'!P12</f>
        <v>0</v>
      </c>
      <c r="Q10" s="20">
        <f>-'Working Capital'!Q12</f>
        <v>0</v>
      </c>
      <c r="R10" s="20">
        <f>-'Working Capital'!R12</f>
        <v>0</v>
      </c>
      <c r="S10" s="20">
        <f>-'Working Capital'!S12</f>
        <v>0</v>
      </c>
      <c r="T10" s="20">
        <f>-'Working Capital'!T12</f>
        <v>0</v>
      </c>
      <c r="U10" s="20">
        <f>-'Working Capital'!U12</f>
        <v>0</v>
      </c>
      <c r="V10" s="20">
        <f>-'Working Capital'!V12</f>
        <v>0</v>
      </c>
      <c r="W10" s="20">
        <f>-'Working Capital'!W12</f>
        <v>0</v>
      </c>
      <c r="X10" s="20">
        <f>-'Working Capital'!X12</f>
        <v>0</v>
      </c>
      <c r="Y10" s="20">
        <f>-'Working Capital'!Y12</f>
        <v>0</v>
      </c>
      <c r="Z10" s="20">
        <f>-'Working Capital'!Z12</f>
        <v>0</v>
      </c>
      <c r="AA10" s="20">
        <f>-'Working Capital'!AA12</f>
        <v>0</v>
      </c>
      <c r="AB10" s="20">
        <f>-'Working Capital'!AB12</f>
        <v>0</v>
      </c>
      <c r="AC10" s="20">
        <f>-'Working Capital'!AC12</f>
        <v>0</v>
      </c>
      <c r="AD10" s="20">
        <f>-'Working Capital'!AD12</f>
        <v>0</v>
      </c>
      <c r="AE10" s="20">
        <f>-'Working Capital'!AE12</f>
        <v>0</v>
      </c>
      <c r="AF10" s="20">
        <f>-'Working Capital'!AF12</f>
        <v>0</v>
      </c>
      <c r="AG10" s="20">
        <f>-'Working Capital'!AG12</f>
        <v>0</v>
      </c>
      <c r="AH10" s="20">
        <f>-'Working Capital'!AH12</f>
        <v>0</v>
      </c>
      <c r="AI10" s="20">
        <f>-'Working Capital'!AI12</f>
        <v>0</v>
      </c>
      <c r="AJ10" s="20">
        <f>-'Working Capital'!AJ12</f>
        <v>0</v>
      </c>
      <c r="AK10" s="20">
        <f>-'Working Capital'!AK12</f>
        <v>0</v>
      </c>
      <c r="AL10" s="20">
        <f>-'Working Capital'!AL12</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18" t="s">
        <v>341</v>
      </c>
      <c r="B11" s="16"/>
      <c r="C11" s="20">
        <f>-'Working Capital'!C15</f>
        <v>0</v>
      </c>
      <c r="D11" s="20">
        <f>-'Working Capital'!D15</f>
        <v>0</v>
      </c>
      <c r="E11" s="20">
        <f>-'Working Capital'!E15</f>
        <v>0</v>
      </c>
      <c r="F11" s="20">
        <f>-'Working Capital'!F15</f>
        <v>0</v>
      </c>
      <c r="G11" s="20">
        <f>-'Working Capital'!G15</f>
        <v>0</v>
      </c>
      <c r="H11" s="20">
        <f>-'Working Capital'!H15</f>
        <v>0</v>
      </c>
      <c r="I11" s="20">
        <f>-'Working Capital'!I15</f>
        <v>0</v>
      </c>
      <c r="J11" s="20">
        <f>-'Working Capital'!J15</f>
        <v>0</v>
      </c>
      <c r="K11" s="20">
        <f>-'Working Capital'!K15</f>
        <v>0</v>
      </c>
      <c r="L11" s="20">
        <f>-'Working Capital'!L15</f>
        <v>0</v>
      </c>
      <c r="M11" s="20">
        <f>-'Working Capital'!M15</f>
        <v>0</v>
      </c>
      <c r="N11" s="20">
        <f>-'Working Capital'!N15</f>
        <v>0</v>
      </c>
      <c r="O11" s="20">
        <f>-'Working Capital'!O15</f>
        <v>0</v>
      </c>
      <c r="P11" s="20">
        <f>-'Working Capital'!P15</f>
        <v>0</v>
      </c>
      <c r="Q11" s="20">
        <f>-'Working Capital'!Q15</f>
        <v>0</v>
      </c>
      <c r="R11" s="20">
        <f>-'Working Capital'!R15</f>
        <v>0</v>
      </c>
      <c r="S11" s="20">
        <f>-'Working Capital'!S15</f>
        <v>0</v>
      </c>
      <c r="T11" s="20">
        <f>-'Working Capital'!T15</f>
        <v>0</v>
      </c>
      <c r="U11" s="20">
        <f>-'Working Capital'!U15</f>
        <v>0</v>
      </c>
      <c r="V11" s="20">
        <f>-'Working Capital'!V15</f>
        <v>0</v>
      </c>
      <c r="W11" s="20">
        <f>-'Working Capital'!W15</f>
        <v>0</v>
      </c>
      <c r="X11" s="20">
        <f>-'Working Capital'!X15</f>
        <v>0</v>
      </c>
      <c r="Y11" s="20">
        <f>-'Working Capital'!Y15</f>
        <v>0</v>
      </c>
      <c r="Z11" s="20">
        <f>-'Working Capital'!Z15</f>
        <v>0</v>
      </c>
      <c r="AA11" s="20">
        <f>-'Working Capital'!AA15</f>
        <v>0</v>
      </c>
      <c r="AB11" s="20">
        <f>-'Working Capital'!AB15</f>
        <v>0</v>
      </c>
      <c r="AC11" s="20">
        <f>-'Working Capital'!AC15</f>
        <v>0</v>
      </c>
      <c r="AD11" s="20">
        <f>-'Working Capital'!AD15</f>
        <v>0</v>
      </c>
      <c r="AE11" s="20">
        <f>-'Working Capital'!AE15</f>
        <v>0</v>
      </c>
      <c r="AF11" s="20">
        <f>-'Working Capital'!AF15</f>
        <v>0</v>
      </c>
      <c r="AG11" s="20">
        <f>-'Working Capital'!AG15</f>
        <v>0</v>
      </c>
      <c r="AH11" s="20">
        <f>-'Working Capital'!AH15</f>
        <v>0</v>
      </c>
      <c r="AI11" s="20">
        <f>-'Working Capital'!AI15</f>
        <v>0</v>
      </c>
      <c r="AJ11" s="20">
        <f>-'Working Capital'!AJ15</f>
        <v>0</v>
      </c>
      <c r="AK11" s="20">
        <f>-'Working Capital'!AK15</f>
        <v>0</v>
      </c>
      <c r="AL11" s="20">
        <f>-'Working Capital'!AL15</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18" t="s">
        <v>342</v>
      </c>
      <c r="B12" s="16"/>
      <c r="C12" s="20">
        <f>'Working Capital'!C13</f>
        <v>0</v>
      </c>
      <c r="D12" s="20">
        <f>'Working Capital'!D13</f>
        <v>0</v>
      </c>
      <c r="E12" s="20">
        <f>'Working Capital'!E13</f>
        <v>0</v>
      </c>
      <c r="F12" s="20">
        <f>'Working Capital'!F13</f>
        <v>0</v>
      </c>
      <c r="G12" s="20">
        <f>'Working Capital'!G13</f>
        <v>0</v>
      </c>
      <c r="H12" s="20">
        <f>'Working Capital'!H13</f>
        <v>0</v>
      </c>
      <c r="I12" s="20">
        <f>'Working Capital'!I13</f>
        <v>0</v>
      </c>
      <c r="J12" s="20">
        <f>'Working Capital'!J13</f>
        <v>0</v>
      </c>
      <c r="K12" s="20">
        <f>'Working Capital'!K13</f>
        <v>0</v>
      </c>
      <c r="L12" s="20">
        <f>'Working Capital'!L13</f>
        <v>0</v>
      </c>
      <c r="M12" s="20">
        <f>'Working Capital'!M13</f>
        <v>0</v>
      </c>
      <c r="N12" s="20">
        <f>'Working Capital'!N13</f>
        <v>0</v>
      </c>
      <c r="O12" s="20">
        <f>'Working Capital'!O13</f>
        <v>0</v>
      </c>
      <c r="P12" s="20">
        <f>'Working Capital'!P13</f>
        <v>0</v>
      </c>
      <c r="Q12" s="20">
        <f>'Working Capital'!Q13</f>
        <v>0</v>
      </c>
      <c r="R12" s="20">
        <f>'Working Capital'!R13</f>
        <v>0</v>
      </c>
      <c r="S12" s="20">
        <f>'Working Capital'!S13</f>
        <v>0</v>
      </c>
      <c r="T12" s="20">
        <f>'Working Capital'!T13</f>
        <v>0</v>
      </c>
      <c r="U12" s="20">
        <f>'Working Capital'!U13</f>
        <v>0</v>
      </c>
      <c r="V12" s="20">
        <f>'Working Capital'!V13</f>
        <v>0</v>
      </c>
      <c r="W12" s="20">
        <f>'Working Capital'!W13</f>
        <v>0</v>
      </c>
      <c r="X12" s="20">
        <f>'Working Capital'!X13</f>
        <v>0</v>
      </c>
      <c r="Y12" s="20">
        <f>'Working Capital'!Y13</f>
        <v>0</v>
      </c>
      <c r="Z12" s="20">
        <f>'Working Capital'!Z13</f>
        <v>0</v>
      </c>
      <c r="AA12" s="20">
        <f>'Working Capital'!AA13</f>
        <v>0</v>
      </c>
      <c r="AB12" s="20">
        <f>'Working Capital'!AB13</f>
        <v>0</v>
      </c>
      <c r="AC12" s="20">
        <f>'Working Capital'!AC13</f>
        <v>0</v>
      </c>
      <c r="AD12" s="20">
        <f>'Working Capital'!AD13</f>
        <v>0</v>
      </c>
      <c r="AE12" s="20">
        <f>'Working Capital'!AE13</f>
        <v>0</v>
      </c>
      <c r="AF12" s="20">
        <f>'Working Capital'!AF13</f>
        <v>0</v>
      </c>
      <c r="AG12" s="20">
        <f>'Working Capital'!AG13</f>
        <v>0</v>
      </c>
      <c r="AH12" s="20">
        <f>'Working Capital'!AH13</f>
        <v>0</v>
      </c>
      <c r="AI12" s="20">
        <f>'Working Capital'!AI13</f>
        <v>0</v>
      </c>
      <c r="AJ12" s="20">
        <f>'Working Capital'!AJ13</f>
        <v>0</v>
      </c>
      <c r="AK12" s="20">
        <f>'Working Capital'!AK13</f>
        <v>0</v>
      </c>
      <c r="AL12" s="20">
        <f>'Working Capital'!AL13</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18" t="s">
        <v>343</v>
      </c>
      <c r="B13" s="16"/>
      <c r="C13" s="20">
        <f>'Working Capital'!C14</f>
        <v>0</v>
      </c>
      <c r="D13" s="20">
        <f>'Working Capital'!D14</f>
        <v>0</v>
      </c>
      <c r="E13" s="20">
        <f>'Working Capital'!E14</f>
        <v>0</v>
      </c>
      <c r="F13" s="20">
        <f>'Working Capital'!F14</f>
        <v>0</v>
      </c>
      <c r="G13" s="20">
        <f>'Working Capital'!G14</f>
        <v>0</v>
      </c>
      <c r="H13" s="20">
        <f>'Working Capital'!H14</f>
        <v>0</v>
      </c>
      <c r="I13" s="20">
        <f>'Working Capital'!I14</f>
        <v>0</v>
      </c>
      <c r="J13" s="20">
        <f>'Working Capital'!J14</f>
        <v>0</v>
      </c>
      <c r="K13" s="20">
        <f>'Working Capital'!K14</f>
        <v>0</v>
      </c>
      <c r="L13" s="20">
        <f>'Working Capital'!L14</f>
        <v>0</v>
      </c>
      <c r="M13" s="20">
        <f>'Working Capital'!M14</f>
        <v>0</v>
      </c>
      <c r="N13" s="20">
        <f>'Working Capital'!N14</f>
        <v>0</v>
      </c>
      <c r="O13" s="20">
        <f>'Working Capital'!O14</f>
        <v>0</v>
      </c>
      <c r="P13" s="20">
        <f>'Working Capital'!P14</f>
        <v>0</v>
      </c>
      <c r="Q13" s="20">
        <f>'Working Capital'!Q14</f>
        <v>0</v>
      </c>
      <c r="R13" s="20">
        <f>'Working Capital'!R14</f>
        <v>0</v>
      </c>
      <c r="S13" s="20">
        <f>'Working Capital'!S14</f>
        <v>0</v>
      </c>
      <c r="T13" s="20">
        <f>'Working Capital'!T14</f>
        <v>0</v>
      </c>
      <c r="U13" s="20">
        <f>'Working Capital'!U14</f>
        <v>0</v>
      </c>
      <c r="V13" s="20">
        <f>'Working Capital'!V14</f>
        <v>0</v>
      </c>
      <c r="W13" s="20">
        <f>'Working Capital'!W14</f>
        <v>0</v>
      </c>
      <c r="X13" s="20">
        <f>'Working Capital'!X14</f>
        <v>0</v>
      </c>
      <c r="Y13" s="20">
        <f>'Working Capital'!Y14</f>
        <v>0</v>
      </c>
      <c r="Z13" s="20">
        <f>'Working Capital'!Z14</f>
        <v>0</v>
      </c>
      <c r="AA13" s="20">
        <f>'Working Capital'!AA14</f>
        <v>0</v>
      </c>
      <c r="AB13" s="20">
        <f>'Working Capital'!AB14</f>
        <v>0</v>
      </c>
      <c r="AC13" s="20">
        <f>'Working Capital'!AC14</f>
        <v>0</v>
      </c>
      <c r="AD13" s="20">
        <f>'Working Capital'!AD14</f>
        <v>0</v>
      </c>
      <c r="AE13" s="20">
        <f>'Working Capital'!AE14</f>
        <v>0</v>
      </c>
      <c r="AF13" s="20">
        <f>'Working Capital'!AF14</f>
        <v>0</v>
      </c>
      <c r="AG13" s="20">
        <f>'Working Capital'!AG14</f>
        <v>0</v>
      </c>
      <c r="AH13" s="20">
        <f>'Working Capital'!AH14</f>
        <v>0</v>
      </c>
      <c r="AI13" s="20">
        <f>'Working Capital'!AI14</f>
        <v>0</v>
      </c>
      <c r="AJ13" s="20">
        <f>'Working Capital'!AJ14</f>
        <v>0</v>
      </c>
      <c r="AK13" s="20">
        <f>'Working Capital'!AK14</f>
        <v>0</v>
      </c>
      <c r="AL13" s="20">
        <f>'Working Capital'!AL14</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28" t="s">
        <v>344</v>
      </c>
      <c r="B14" s="16"/>
      <c r="C14" s="29">
        <f>C8+C9+C10+C11+C12+C13</f>
        <v>0</v>
      </c>
      <c r="D14" s="29">
        <f>D8+D9+D10+D11+D12+D13</f>
        <v>0</v>
      </c>
      <c r="E14" s="29">
        <f>E8+E9+E10+E11+E12+E13</f>
        <v>0</v>
      </c>
      <c r="F14" s="29">
        <f>F8+F9+F10+F11+F12+F13</f>
        <v>0</v>
      </c>
      <c r="G14" s="29">
        <f>G8+G9+G10+G11+G12+G13</f>
        <v>0</v>
      </c>
      <c r="H14" s="29">
        <f>H8+H9+H10+H11+H12+H13</f>
        <v>0</v>
      </c>
      <c r="I14" s="29">
        <f>I8+I9+I10+I11+I12+I13</f>
        <v>0</v>
      </c>
      <c r="J14" s="29">
        <f>J8+J9+J10+J11+J12+J13</f>
        <v>0</v>
      </c>
      <c r="K14" s="29">
        <f>K8+K9+K10+K11+K12+K13</f>
        <v>0</v>
      </c>
      <c r="L14" s="29">
        <f>L8+L9+L10+L11+L12+L13</f>
        <v>0</v>
      </c>
      <c r="M14" s="29">
        <f>M8+M9+M10+M11+M12+M13</f>
        <v>0</v>
      </c>
      <c r="N14" s="29">
        <f>N8+N9+N10+N11+N12+N13</f>
        <v>0</v>
      </c>
      <c r="O14" s="29">
        <f>O8+O9+O10+O11+O12+O13</f>
        <v>0</v>
      </c>
      <c r="P14" s="29">
        <f>P8+P9+P10+P11+P12+P13</f>
        <v>0</v>
      </c>
      <c r="Q14" s="29">
        <f>Q8+Q9+Q10+Q11+Q12+Q13</f>
        <v>0</v>
      </c>
      <c r="R14" s="29">
        <f>R8+R9+R10+R11+R12+R13</f>
        <v>0</v>
      </c>
      <c r="S14" s="29">
        <f>S8+S9+S10+S11+S12+S13</f>
        <v>0</v>
      </c>
      <c r="T14" s="29">
        <f>T8+T9+T10+T11+T12+T13</f>
        <v>0</v>
      </c>
      <c r="U14" s="29">
        <f>U8+U9+U10+U11+U12+U13</f>
        <v>0</v>
      </c>
      <c r="V14" s="29">
        <f>V8+V9+V10+V11+V12+V13</f>
        <v>0</v>
      </c>
      <c r="W14" s="29">
        <f>W8+W9+W10+W11+W12+W13</f>
        <v>0</v>
      </c>
      <c r="X14" s="29">
        <f>X8+X9+X10+X11+X12+X13</f>
        <v>0</v>
      </c>
      <c r="Y14" s="29">
        <f>Y8+Y9+Y10+Y11+Y12+Y13</f>
        <v>0</v>
      </c>
      <c r="Z14" s="29">
        <f>Z8+Z9+Z10+Z11+Z12+Z13</f>
        <v>0</v>
      </c>
      <c r="AA14" s="29">
        <f>AA8+AA9+AA10+AA11+AA12+AA13</f>
        <v>0</v>
      </c>
      <c r="AB14" s="29">
        <f>AB8+AB9+AB10+AB11+AB12+AB13</f>
        <v>0</v>
      </c>
      <c r="AC14" s="29">
        <f>AC8+AC9+AC10+AC11+AC12+AC13</f>
        <v>0</v>
      </c>
      <c r="AD14" s="29">
        <f>AD8+AD9+AD10+AD11+AD12+AD13</f>
        <v>0</v>
      </c>
      <c r="AE14" s="29">
        <f>AE8+AE9+AE10+AE11+AE12+AE13</f>
        <v>0</v>
      </c>
      <c r="AF14" s="29">
        <f>AF8+AF9+AF10+AF11+AF12+AF13</f>
        <v>0</v>
      </c>
      <c r="AG14" s="29">
        <f>AG8+AG9+AG10+AG11+AG12+AG13</f>
        <v>0</v>
      </c>
      <c r="AH14" s="29">
        <f>AH8+AH9+AH10+AH11+AH12+AH13</f>
        <v>0</v>
      </c>
      <c r="AI14" s="29">
        <f>AI8+AI9+AI10+AI11+AI12+AI13</f>
        <v>0</v>
      </c>
      <c r="AJ14" s="29">
        <f>AJ8+AJ9+AJ10+AJ11+AJ12+AJ13</f>
        <v>0</v>
      </c>
      <c r="AK14" s="29">
        <f>AK8+AK9+AK10+AK11+AK12+AK13</f>
        <v>0</v>
      </c>
      <c r="AL14" s="29">
        <f>AL8+AL9+AL10+AL11+AL12+AL13</f>
        <v>0</v>
      </c>
      <c r="AN14" s="29">
        <f>SUM(C14:E14)</f>
        <v>0</v>
      </c>
      <c r="AO14" s="29">
        <f>SUM(F14:H14)</f>
        <v>0</v>
      </c>
      <c r="AP14" s="29">
        <f>SUM(I14:K14)</f>
        <v>0</v>
      </c>
      <c r="AQ14" s="29">
        <f>SUM(L14:N14)</f>
        <v>0</v>
      </c>
      <c r="AR14" s="29">
        <f>SUM(O14:Q14)</f>
        <v>0</v>
      </c>
      <c r="AS14" s="29">
        <f>SUM(R14:T14)</f>
        <v>0</v>
      </c>
      <c r="AT14" s="29">
        <f>SUM(U14:W14)</f>
        <v>0</v>
      </c>
      <c r="AU14" s="29">
        <f>SUM(X14:Z14)</f>
        <v>0</v>
      </c>
      <c r="AV14" s="29">
        <f>SUM(AA14:AC14)</f>
        <v>0</v>
      </c>
      <c r="AW14" s="29">
        <f>SUM(AD14:AF14)</f>
        <v>0</v>
      </c>
      <c r="AX14" s="29">
        <f>SUM(AG14:AI14)</f>
        <v>0</v>
      </c>
      <c r="AY14" s="29">
        <f>SUM(AJ14:AL14)</f>
        <v>0</v>
      </c>
      <c r="BA14" s="29">
        <f>SUM(C14:N14)</f>
        <v>0</v>
      </c>
      <c r="BB14" s="29">
        <f>SUM(O14:Z14)</f>
        <v>0</v>
      </c>
      <c r="BC14" s="29">
        <f>SUM(AA14:AL14)</f>
        <v>0</v>
      </c>
    </row>
    <row r="15" spans="1:55" ht="5" customHeight="1"/>
    <row r="16" spans="1:55" ht="16" customHeight="1">
      <c r="A16" s="14" t="s">
        <v>345</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row>
    <row r="17" spans="1:55">
      <c r="A17" s="18" t="s">
        <v>346</v>
      </c>
      <c r="B17" s="16"/>
      <c r="C17" s="20">
        <f>-'Working Capital'!C18</f>
        <v>0</v>
      </c>
      <c r="D17" s="20">
        <f>-'Working Capital'!D18</f>
        <v>0</v>
      </c>
      <c r="E17" s="20">
        <f>-'Working Capital'!E18</f>
        <v>0</v>
      </c>
      <c r="F17" s="20">
        <f>-'Working Capital'!F18</f>
        <v>0</v>
      </c>
      <c r="G17" s="20">
        <f>-'Working Capital'!G18</f>
        <v>0</v>
      </c>
      <c r="H17" s="20">
        <f>-'Working Capital'!H18</f>
        <v>0</v>
      </c>
      <c r="I17" s="20">
        <f>-'Working Capital'!I18</f>
        <v>0</v>
      </c>
      <c r="J17" s="20">
        <f>-'Working Capital'!J18</f>
        <v>0</v>
      </c>
      <c r="K17" s="20">
        <f>-'Working Capital'!K18</f>
        <v>0</v>
      </c>
      <c r="L17" s="20">
        <f>-'Working Capital'!L18</f>
        <v>0</v>
      </c>
      <c r="M17" s="20">
        <f>-'Working Capital'!M18</f>
        <v>0</v>
      </c>
      <c r="N17" s="20">
        <f>-'Working Capital'!N18</f>
        <v>0</v>
      </c>
      <c r="O17" s="20">
        <f>-'Working Capital'!O18</f>
        <v>0</v>
      </c>
      <c r="P17" s="20">
        <f>-'Working Capital'!P18</f>
        <v>0</v>
      </c>
      <c r="Q17" s="20">
        <f>-'Working Capital'!Q18</f>
        <v>0</v>
      </c>
      <c r="R17" s="20">
        <f>-'Working Capital'!R18</f>
        <v>0</v>
      </c>
      <c r="S17" s="20">
        <f>-'Working Capital'!S18</f>
        <v>0</v>
      </c>
      <c r="T17" s="20">
        <f>-'Working Capital'!T18</f>
        <v>0</v>
      </c>
      <c r="U17" s="20">
        <f>-'Working Capital'!U18</f>
        <v>0</v>
      </c>
      <c r="V17" s="20">
        <f>-'Working Capital'!V18</f>
        <v>0</v>
      </c>
      <c r="W17" s="20">
        <f>-'Working Capital'!W18</f>
        <v>0</v>
      </c>
      <c r="X17" s="20">
        <f>-'Working Capital'!X18</f>
        <v>0</v>
      </c>
      <c r="Y17" s="20">
        <f>-'Working Capital'!Y18</f>
        <v>0</v>
      </c>
      <c r="Z17" s="20">
        <f>-'Working Capital'!Z18</f>
        <v>0</v>
      </c>
      <c r="AA17" s="20">
        <f>-'Working Capital'!AA18</f>
        <v>0</v>
      </c>
      <c r="AB17" s="20">
        <f>-'Working Capital'!AB18</f>
        <v>0</v>
      </c>
      <c r="AC17" s="20">
        <f>-'Working Capital'!AC18</f>
        <v>0</v>
      </c>
      <c r="AD17" s="20">
        <f>-'Working Capital'!AD18</f>
        <v>0</v>
      </c>
      <c r="AE17" s="20">
        <f>-'Working Capital'!AE18</f>
        <v>0</v>
      </c>
      <c r="AF17" s="20">
        <f>-'Working Capital'!AF18</f>
        <v>0</v>
      </c>
      <c r="AG17" s="20">
        <f>-'Working Capital'!AG18</f>
        <v>0</v>
      </c>
      <c r="AH17" s="20">
        <f>-'Working Capital'!AH18</f>
        <v>0</v>
      </c>
      <c r="AI17" s="20">
        <f>-'Working Capital'!AI18</f>
        <v>0</v>
      </c>
      <c r="AJ17" s="20">
        <f>-'Working Capital'!AJ18</f>
        <v>0</v>
      </c>
      <c r="AK17" s="20">
        <f>-'Working Capital'!AK18</f>
        <v>0</v>
      </c>
      <c r="AL17" s="20">
        <f>-'Working Capital'!AL18</f>
        <v>0</v>
      </c>
      <c r="AN17" s="20">
        <f>SUM(C17:E17)</f>
        <v>0</v>
      </c>
      <c r="AO17" s="20">
        <f>SUM(F17:H17)</f>
        <v>0</v>
      </c>
      <c r="AP17" s="20">
        <f>SUM(I17:K17)</f>
        <v>0</v>
      </c>
      <c r="AQ17" s="20">
        <f>SUM(L17:N17)</f>
        <v>0</v>
      </c>
      <c r="AR17" s="20">
        <f>SUM(O17:Q17)</f>
        <v>0</v>
      </c>
      <c r="AS17" s="20">
        <f>SUM(R17:T17)</f>
        <v>0</v>
      </c>
      <c r="AT17" s="20">
        <f>SUM(U17:W17)</f>
        <v>0</v>
      </c>
      <c r="AU17" s="20">
        <f>SUM(X17:Z17)</f>
        <v>0</v>
      </c>
      <c r="AV17" s="20">
        <f>SUM(AA17:AC17)</f>
        <v>0</v>
      </c>
      <c r="AW17" s="20">
        <f>SUM(AD17:AF17)</f>
        <v>0</v>
      </c>
      <c r="AX17" s="20">
        <f>SUM(AG17:AI17)</f>
        <v>0</v>
      </c>
      <c r="AY17" s="20">
        <f>SUM(AJ17:AL17)</f>
        <v>0</v>
      </c>
      <c r="BA17" s="20">
        <f>SUM(C17:N17)</f>
        <v>0</v>
      </c>
      <c r="BB17" s="20">
        <f>SUM(O17:Z17)</f>
        <v>0</v>
      </c>
      <c r="BC17" s="20">
        <f>SUM(AA17:AL17)</f>
        <v>0</v>
      </c>
    </row>
    <row r="18" spans="1:55">
      <c r="A18" s="28" t="s">
        <v>347</v>
      </c>
      <c r="B18" s="16"/>
      <c r="C18" s="29">
        <f>C17</f>
        <v>0</v>
      </c>
      <c r="D18" s="29">
        <f>D17</f>
        <v>0</v>
      </c>
      <c r="E18" s="29">
        <f>E17</f>
        <v>0</v>
      </c>
      <c r="F18" s="29">
        <f>F17</f>
        <v>0</v>
      </c>
      <c r="G18" s="29">
        <f>G17</f>
        <v>0</v>
      </c>
      <c r="H18" s="29">
        <f>H17</f>
        <v>0</v>
      </c>
      <c r="I18" s="29">
        <f>I17</f>
        <v>0</v>
      </c>
      <c r="J18" s="29">
        <f>J17</f>
        <v>0</v>
      </c>
      <c r="K18" s="29">
        <f>K17</f>
        <v>0</v>
      </c>
      <c r="L18" s="29">
        <f>L17</f>
        <v>0</v>
      </c>
      <c r="M18" s="29">
        <f>M17</f>
        <v>0</v>
      </c>
      <c r="N18" s="29">
        <f>N17</f>
        <v>0</v>
      </c>
      <c r="O18" s="29">
        <f>O17</f>
        <v>0</v>
      </c>
      <c r="P18" s="29">
        <f>P17</f>
        <v>0</v>
      </c>
      <c r="Q18" s="29">
        <f>Q17</f>
        <v>0</v>
      </c>
      <c r="R18" s="29">
        <f>R17</f>
        <v>0</v>
      </c>
      <c r="S18" s="29">
        <f>S17</f>
        <v>0</v>
      </c>
      <c r="T18" s="29">
        <f>T17</f>
        <v>0</v>
      </c>
      <c r="U18" s="29">
        <f>U17</f>
        <v>0</v>
      </c>
      <c r="V18" s="29">
        <f>V17</f>
        <v>0</v>
      </c>
      <c r="W18" s="29">
        <f>W17</f>
        <v>0</v>
      </c>
      <c r="X18" s="29">
        <f>X17</f>
        <v>0</v>
      </c>
      <c r="Y18" s="29">
        <f>Y17</f>
        <v>0</v>
      </c>
      <c r="Z18" s="29">
        <f>Z17</f>
        <v>0</v>
      </c>
      <c r="AA18" s="29">
        <f>AA17</f>
        <v>0</v>
      </c>
      <c r="AB18" s="29">
        <f>AB17</f>
        <v>0</v>
      </c>
      <c r="AC18" s="29">
        <f>AC17</f>
        <v>0</v>
      </c>
      <c r="AD18" s="29">
        <f>AD17</f>
        <v>0</v>
      </c>
      <c r="AE18" s="29">
        <f>AE17</f>
        <v>0</v>
      </c>
      <c r="AF18" s="29">
        <f>AF17</f>
        <v>0</v>
      </c>
      <c r="AG18" s="29">
        <f>AG17</f>
        <v>0</v>
      </c>
      <c r="AH18" s="29">
        <f>AH17</f>
        <v>0</v>
      </c>
      <c r="AI18" s="29">
        <f>AI17</f>
        <v>0</v>
      </c>
      <c r="AJ18" s="29">
        <f>AJ17</f>
        <v>0</v>
      </c>
      <c r="AK18" s="29">
        <f>AK17</f>
        <v>0</v>
      </c>
      <c r="AL18" s="29">
        <f>AL17</f>
        <v>0</v>
      </c>
      <c r="AN18" s="29">
        <f>SUM(C18:E18)</f>
        <v>0</v>
      </c>
      <c r="AO18" s="29">
        <f>SUM(F18:H18)</f>
        <v>0</v>
      </c>
      <c r="AP18" s="29">
        <f>SUM(I18:K18)</f>
        <v>0</v>
      </c>
      <c r="AQ18" s="29">
        <f>SUM(L18:N18)</f>
        <v>0</v>
      </c>
      <c r="AR18" s="29">
        <f>SUM(O18:Q18)</f>
        <v>0</v>
      </c>
      <c r="AS18" s="29">
        <f>SUM(R18:T18)</f>
        <v>0</v>
      </c>
      <c r="AT18" s="29">
        <f>SUM(U18:W18)</f>
        <v>0</v>
      </c>
      <c r="AU18" s="29">
        <f>SUM(X18:Z18)</f>
        <v>0</v>
      </c>
      <c r="AV18" s="29">
        <f>SUM(AA18:AC18)</f>
        <v>0</v>
      </c>
      <c r="AW18" s="29">
        <f>SUM(AD18:AF18)</f>
        <v>0</v>
      </c>
      <c r="AX18" s="29">
        <f>SUM(AG18:AI18)</f>
        <v>0</v>
      </c>
      <c r="AY18" s="29">
        <f>SUM(AJ18:AL18)</f>
        <v>0</v>
      </c>
      <c r="BA18" s="29">
        <f>SUM(C18:N18)</f>
        <v>0</v>
      </c>
      <c r="BB18" s="29">
        <f>SUM(O18:Z18)</f>
        <v>0</v>
      </c>
      <c r="BC18" s="29">
        <f>SUM(AA18:AL18)</f>
        <v>0</v>
      </c>
    </row>
    <row r="19" spans="1:55" ht="5" customHeight="1"/>
    <row r="20" spans="1:55" ht="16" customHeight="1">
      <c r="A20" s="14" t="s">
        <v>348</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row>
    <row r="21" spans="1:55">
      <c r="A21" s="18" t="s">
        <v>349</v>
      </c>
      <c r="B21" s="16"/>
      <c r="C21" s="20">
        <f>'Working Capital'!C23</f>
        <v>0</v>
      </c>
      <c r="D21" s="20">
        <f>'Working Capital'!D23</f>
        <v>0</v>
      </c>
      <c r="E21" s="20">
        <f>'Working Capital'!E23</f>
        <v>0</v>
      </c>
      <c r="F21" s="20">
        <f>'Working Capital'!F23</f>
        <v>0</v>
      </c>
      <c r="G21" s="20">
        <f>'Working Capital'!G23</f>
        <v>0</v>
      </c>
      <c r="H21" s="20">
        <f>'Working Capital'!H23</f>
        <v>0</v>
      </c>
      <c r="I21" s="20">
        <f>'Working Capital'!I23</f>
        <v>0</v>
      </c>
      <c r="J21" s="20">
        <f>'Working Capital'!J23</f>
        <v>0</v>
      </c>
      <c r="K21" s="20">
        <f>'Working Capital'!K23</f>
        <v>0</v>
      </c>
      <c r="L21" s="20">
        <f>'Working Capital'!L23</f>
        <v>0</v>
      </c>
      <c r="M21" s="20">
        <f>'Working Capital'!M23</f>
        <v>0</v>
      </c>
      <c r="N21" s="20">
        <f>'Working Capital'!N23</f>
        <v>0</v>
      </c>
      <c r="O21" s="20">
        <f>'Working Capital'!O23</f>
        <v>0</v>
      </c>
      <c r="P21" s="20">
        <f>'Working Capital'!P23</f>
        <v>0</v>
      </c>
      <c r="Q21" s="20">
        <f>'Working Capital'!Q23</f>
        <v>0</v>
      </c>
      <c r="R21" s="20">
        <f>'Working Capital'!R23</f>
        <v>0</v>
      </c>
      <c r="S21" s="20">
        <f>'Working Capital'!S23</f>
        <v>0</v>
      </c>
      <c r="T21" s="20">
        <f>'Working Capital'!T23</f>
        <v>0</v>
      </c>
      <c r="U21" s="20">
        <f>'Working Capital'!U23</f>
        <v>0</v>
      </c>
      <c r="V21" s="20">
        <f>'Working Capital'!V23</f>
        <v>0</v>
      </c>
      <c r="W21" s="20">
        <f>'Working Capital'!W23</f>
        <v>0</v>
      </c>
      <c r="X21" s="20">
        <f>'Working Capital'!X23</f>
        <v>0</v>
      </c>
      <c r="Y21" s="20">
        <f>'Working Capital'!Y23</f>
        <v>0</v>
      </c>
      <c r="Z21" s="20">
        <f>'Working Capital'!Z23</f>
        <v>0</v>
      </c>
      <c r="AA21" s="20">
        <f>'Working Capital'!AA23</f>
        <v>0</v>
      </c>
      <c r="AB21" s="20">
        <f>'Working Capital'!AB23</f>
        <v>0</v>
      </c>
      <c r="AC21" s="20">
        <f>'Working Capital'!AC23</f>
        <v>0</v>
      </c>
      <c r="AD21" s="20">
        <f>'Working Capital'!AD23</f>
        <v>0</v>
      </c>
      <c r="AE21" s="20">
        <f>'Working Capital'!AE23</f>
        <v>0</v>
      </c>
      <c r="AF21" s="20">
        <f>'Working Capital'!AF23</f>
        <v>0</v>
      </c>
      <c r="AG21" s="20">
        <f>'Working Capital'!AG23</f>
        <v>0</v>
      </c>
      <c r="AH21" s="20">
        <f>'Working Capital'!AH23</f>
        <v>0</v>
      </c>
      <c r="AI21" s="20">
        <f>'Working Capital'!AI23</f>
        <v>0</v>
      </c>
      <c r="AJ21" s="20">
        <f>'Working Capital'!AJ23</f>
        <v>0</v>
      </c>
      <c r="AK21" s="20">
        <f>'Working Capital'!AK23</f>
        <v>0</v>
      </c>
      <c r="AL21" s="20">
        <f>'Working Capital'!AL23</f>
        <v>0</v>
      </c>
      <c r="AN21" s="20">
        <f>SUM(C21:E21)</f>
        <v>0</v>
      </c>
      <c r="AO21" s="20">
        <f>SUM(F21:H21)</f>
        <v>0</v>
      </c>
      <c r="AP21" s="20">
        <f>SUM(I21:K21)</f>
        <v>0</v>
      </c>
      <c r="AQ21" s="20">
        <f>SUM(L21:N21)</f>
        <v>0</v>
      </c>
      <c r="AR21" s="20">
        <f>SUM(O21:Q21)</f>
        <v>0</v>
      </c>
      <c r="AS21" s="20">
        <f>SUM(R21:T21)</f>
        <v>0</v>
      </c>
      <c r="AT21" s="20">
        <f>SUM(U21:W21)</f>
        <v>0</v>
      </c>
      <c r="AU21" s="20">
        <f>SUM(X21:Z21)</f>
        <v>0</v>
      </c>
      <c r="AV21" s="20">
        <f>SUM(AA21:AC21)</f>
        <v>0</v>
      </c>
      <c r="AW21" s="20">
        <f>SUM(AD21:AF21)</f>
        <v>0</v>
      </c>
      <c r="AX21" s="20">
        <f>SUM(AG21:AI21)</f>
        <v>0</v>
      </c>
      <c r="AY21" s="20">
        <f>SUM(AJ21:AL21)</f>
        <v>0</v>
      </c>
      <c r="BA21" s="20">
        <f>SUM(C21:N21)</f>
        <v>0</v>
      </c>
      <c r="BB21" s="20">
        <f>SUM(O21:Z21)</f>
        <v>0</v>
      </c>
      <c r="BC21" s="20">
        <f>SUM(AA21:AL21)</f>
        <v>0</v>
      </c>
    </row>
    <row r="22" spans="1:55">
      <c r="A22" s="18" t="s">
        <v>350</v>
      </c>
      <c r="B22" s="16"/>
      <c r="C22" s="20">
        <f>-'Working Capital'!C24</f>
        <v>0</v>
      </c>
      <c r="D22" s="20">
        <f>-'Working Capital'!D24</f>
        <v>0</v>
      </c>
      <c r="E22" s="20">
        <f>-'Working Capital'!E24</f>
        <v>0</v>
      </c>
      <c r="F22" s="20">
        <f>-'Working Capital'!F24</f>
        <v>0</v>
      </c>
      <c r="G22" s="20">
        <f>-'Working Capital'!G24</f>
        <v>0</v>
      </c>
      <c r="H22" s="20">
        <f>-'Working Capital'!H24</f>
        <v>0</v>
      </c>
      <c r="I22" s="20">
        <f>-'Working Capital'!I24</f>
        <v>0</v>
      </c>
      <c r="J22" s="20">
        <f>-'Working Capital'!J24</f>
        <v>0</v>
      </c>
      <c r="K22" s="20">
        <f>-'Working Capital'!K24</f>
        <v>0</v>
      </c>
      <c r="L22" s="20">
        <f>-'Working Capital'!L24</f>
        <v>0</v>
      </c>
      <c r="M22" s="20">
        <f>-'Working Capital'!M24</f>
        <v>0</v>
      </c>
      <c r="N22" s="20">
        <f>-'Working Capital'!N24</f>
        <v>0</v>
      </c>
      <c r="O22" s="20">
        <f>-'Working Capital'!O24</f>
        <v>0</v>
      </c>
      <c r="P22" s="20">
        <f>-'Working Capital'!P24</f>
        <v>0</v>
      </c>
      <c r="Q22" s="20">
        <f>-'Working Capital'!Q24</f>
        <v>0</v>
      </c>
      <c r="R22" s="20">
        <f>-'Working Capital'!R24</f>
        <v>0</v>
      </c>
      <c r="S22" s="20">
        <f>-'Working Capital'!S24</f>
        <v>0</v>
      </c>
      <c r="T22" s="20">
        <f>-'Working Capital'!T24</f>
        <v>0</v>
      </c>
      <c r="U22" s="20">
        <f>-'Working Capital'!U24</f>
        <v>0</v>
      </c>
      <c r="V22" s="20">
        <f>-'Working Capital'!V24</f>
        <v>0</v>
      </c>
      <c r="W22" s="20">
        <f>-'Working Capital'!W24</f>
        <v>0</v>
      </c>
      <c r="X22" s="20">
        <f>-'Working Capital'!X24</f>
        <v>0</v>
      </c>
      <c r="Y22" s="20">
        <f>-'Working Capital'!Y24</f>
        <v>0</v>
      </c>
      <c r="Z22" s="20">
        <f>-'Working Capital'!Z24</f>
        <v>0</v>
      </c>
      <c r="AA22" s="20">
        <f>-'Working Capital'!AA24</f>
        <v>0</v>
      </c>
      <c r="AB22" s="20">
        <f>-'Working Capital'!AB24</f>
        <v>0</v>
      </c>
      <c r="AC22" s="20">
        <f>-'Working Capital'!AC24</f>
        <v>0</v>
      </c>
      <c r="AD22" s="20">
        <f>-'Working Capital'!AD24</f>
        <v>0</v>
      </c>
      <c r="AE22" s="20">
        <f>-'Working Capital'!AE24</f>
        <v>0</v>
      </c>
      <c r="AF22" s="20">
        <f>-'Working Capital'!AF24</f>
        <v>0</v>
      </c>
      <c r="AG22" s="20">
        <f>-'Working Capital'!AG24</f>
        <v>0</v>
      </c>
      <c r="AH22" s="20">
        <f>-'Working Capital'!AH24</f>
        <v>0</v>
      </c>
      <c r="AI22" s="20">
        <f>-'Working Capital'!AI24</f>
        <v>0</v>
      </c>
      <c r="AJ22" s="20">
        <f>-'Working Capital'!AJ24</f>
        <v>0</v>
      </c>
      <c r="AK22" s="20">
        <f>-'Working Capital'!AK24</f>
        <v>0</v>
      </c>
      <c r="AL22" s="20">
        <f>-'Working Capital'!AL24</f>
        <v>0</v>
      </c>
      <c r="AN22" s="20">
        <f>SUM(C22:E22)</f>
        <v>0</v>
      </c>
      <c r="AO22" s="20">
        <f>SUM(F22:H22)</f>
        <v>0</v>
      </c>
      <c r="AP22" s="20">
        <f>SUM(I22:K22)</f>
        <v>0</v>
      </c>
      <c r="AQ22" s="20">
        <f>SUM(L22:N22)</f>
        <v>0</v>
      </c>
      <c r="AR22" s="20">
        <f>SUM(O22:Q22)</f>
        <v>0</v>
      </c>
      <c r="AS22" s="20">
        <f>SUM(R22:T22)</f>
        <v>0</v>
      </c>
      <c r="AT22" s="20">
        <f>SUM(U22:W22)</f>
        <v>0</v>
      </c>
      <c r="AU22" s="20">
        <f>SUM(X22:Z22)</f>
        <v>0</v>
      </c>
      <c r="AV22" s="20">
        <f>SUM(AA22:AC22)</f>
        <v>0</v>
      </c>
      <c r="AW22" s="20">
        <f>SUM(AD22:AF22)</f>
        <v>0</v>
      </c>
      <c r="AX22" s="20">
        <f>SUM(AG22:AI22)</f>
        <v>0</v>
      </c>
      <c r="AY22" s="20">
        <f>SUM(AJ22:AL22)</f>
        <v>0</v>
      </c>
      <c r="BA22" s="20">
        <f>SUM(C22:N22)</f>
        <v>0</v>
      </c>
      <c r="BB22" s="20">
        <f>SUM(O22:Z22)</f>
        <v>0</v>
      </c>
      <c r="BC22" s="20">
        <f>SUM(AA22:AL22)</f>
        <v>0</v>
      </c>
    </row>
    <row r="23" spans="1:55">
      <c r="A23" s="18" t="s">
        <v>351</v>
      </c>
      <c r="B23" s="16"/>
      <c r="C23" s="20">
        <f>'Working Capital'!C29</f>
        <v>0</v>
      </c>
      <c r="D23" s="20">
        <f>'Working Capital'!D29</f>
        <v>0</v>
      </c>
      <c r="E23" s="20">
        <f>'Working Capital'!E29</f>
        <v>0</v>
      </c>
      <c r="F23" s="20">
        <f>'Working Capital'!F29</f>
        <v>0</v>
      </c>
      <c r="G23" s="20">
        <f>'Working Capital'!G29</f>
        <v>0</v>
      </c>
      <c r="H23" s="20">
        <f>'Working Capital'!H29</f>
        <v>0</v>
      </c>
      <c r="I23" s="20">
        <f>'Working Capital'!I29</f>
        <v>0</v>
      </c>
      <c r="J23" s="20">
        <f>'Working Capital'!J29</f>
        <v>0</v>
      </c>
      <c r="K23" s="20">
        <f>'Working Capital'!K29</f>
        <v>0</v>
      </c>
      <c r="L23" s="20">
        <f>'Working Capital'!L29</f>
        <v>0</v>
      </c>
      <c r="M23" s="20">
        <f>'Working Capital'!M29</f>
        <v>0</v>
      </c>
      <c r="N23" s="20">
        <f>'Working Capital'!N29</f>
        <v>0</v>
      </c>
      <c r="O23" s="20">
        <f>'Working Capital'!O29</f>
        <v>0</v>
      </c>
      <c r="P23" s="20">
        <f>'Working Capital'!P29</f>
        <v>0</v>
      </c>
      <c r="Q23" s="20">
        <f>'Working Capital'!Q29</f>
        <v>0</v>
      </c>
      <c r="R23" s="20">
        <f>'Working Capital'!R29</f>
        <v>0</v>
      </c>
      <c r="S23" s="20">
        <f>'Working Capital'!S29</f>
        <v>0</v>
      </c>
      <c r="T23" s="20">
        <f>'Working Capital'!T29</f>
        <v>0</v>
      </c>
      <c r="U23" s="20">
        <f>'Working Capital'!U29</f>
        <v>0</v>
      </c>
      <c r="V23" s="20">
        <f>'Working Capital'!V29</f>
        <v>0</v>
      </c>
      <c r="W23" s="20">
        <f>'Working Capital'!W29</f>
        <v>0</v>
      </c>
      <c r="X23" s="20">
        <f>'Working Capital'!X29</f>
        <v>0</v>
      </c>
      <c r="Y23" s="20">
        <f>'Working Capital'!Y29</f>
        <v>0</v>
      </c>
      <c r="Z23" s="20">
        <f>'Working Capital'!Z29</f>
        <v>0</v>
      </c>
      <c r="AA23" s="20">
        <f>'Working Capital'!AA29</f>
        <v>0</v>
      </c>
      <c r="AB23" s="20">
        <f>'Working Capital'!AB29</f>
        <v>0</v>
      </c>
      <c r="AC23" s="20">
        <f>'Working Capital'!AC29</f>
        <v>0</v>
      </c>
      <c r="AD23" s="20">
        <f>'Working Capital'!AD29</f>
        <v>0</v>
      </c>
      <c r="AE23" s="20">
        <f>'Working Capital'!AE29</f>
        <v>0</v>
      </c>
      <c r="AF23" s="20">
        <f>'Working Capital'!AF29</f>
        <v>0</v>
      </c>
      <c r="AG23" s="20">
        <f>'Working Capital'!AG29</f>
        <v>0</v>
      </c>
      <c r="AH23" s="20">
        <f>'Working Capital'!AH29</f>
        <v>0</v>
      </c>
      <c r="AI23" s="20">
        <f>'Working Capital'!AI29</f>
        <v>0</v>
      </c>
      <c r="AJ23" s="20">
        <f>'Working Capital'!AJ29</f>
        <v>0</v>
      </c>
      <c r="AK23" s="20">
        <f>'Working Capital'!AK29</f>
        <v>0</v>
      </c>
      <c r="AL23" s="20">
        <f>'Working Capital'!AL29</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28" t="s">
        <v>352</v>
      </c>
      <c r="B24" s="16"/>
      <c r="C24" s="29">
        <f>C21+C22+C23</f>
        <v>0</v>
      </c>
      <c r="D24" s="29">
        <f>D21+D22+D23</f>
        <v>0</v>
      </c>
      <c r="E24" s="29">
        <f>E21+E22+E23</f>
        <v>0</v>
      </c>
      <c r="F24" s="29">
        <f>F21+F22+F23</f>
        <v>0</v>
      </c>
      <c r="G24" s="29">
        <f>G21+G22+G23</f>
        <v>0</v>
      </c>
      <c r="H24" s="29">
        <f>H21+H22+H23</f>
        <v>0</v>
      </c>
      <c r="I24" s="29">
        <f>I21+I22+I23</f>
        <v>0</v>
      </c>
      <c r="J24" s="29">
        <f>J21+J22+J23</f>
        <v>0</v>
      </c>
      <c r="K24" s="29">
        <f>K21+K22+K23</f>
        <v>0</v>
      </c>
      <c r="L24" s="29">
        <f>L21+L22+L23</f>
        <v>0</v>
      </c>
      <c r="M24" s="29">
        <f>M21+M22+M23</f>
        <v>0</v>
      </c>
      <c r="N24" s="29">
        <f>N21+N22+N23</f>
        <v>0</v>
      </c>
      <c r="O24" s="29">
        <f>O21+O22+O23</f>
        <v>0</v>
      </c>
      <c r="P24" s="29">
        <f>P21+P22+P23</f>
        <v>0</v>
      </c>
      <c r="Q24" s="29">
        <f>Q21+Q22+Q23</f>
        <v>0</v>
      </c>
      <c r="R24" s="29">
        <f>R21+R22+R23</f>
        <v>0</v>
      </c>
      <c r="S24" s="29">
        <f>S21+S22+S23</f>
        <v>0</v>
      </c>
      <c r="T24" s="29">
        <f>T21+T22+T23</f>
        <v>0</v>
      </c>
      <c r="U24" s="29">
        <f>U21+U22+U23</f>
        <v>0</v>
      </c>
      <c r="V24" s="29">
        <f>V21+V22+V23</f>
        <v>0</v>
      </c>
      <c r="W24" s="29">
        <f>W21+W22+W23</f>
        <v>0</v>
      </c>
      <c r="X24" s="29">
        <f>X21+X22+X23</f>
        <v>0</v>
      </c>
      <c r="Y24" s="29">
        <f>Y21+Y22+Y23</f>
        <v>0</v>
      </c>
      <c r="Z24" s="29">
        <f>Z21+Z22+Z23</f>
        <v>0</v>
      </c>
      <c r="AA24" s="29">
        <f>AA21+AA22+AA23</f>
        <v>0</v>
      </c>
      <c r="AB24" s="29">
        <f>AB21+AB22+AB23</f>
        <v>0</v>
      </c>
      <c r="AC24" s="29">
        <f>AC21+AC22+AC23</f>
        <v>0</v>
      </c>
      <c r="AD24" s="29">
        <f>AD21+AD22+AD23</f>
        <v>0</v>
      </c>
      <c r="AE24" s="29">
        <f>AE21+AE22+AE23</f>
        <v>0</v>
      </c>
      <c r="AF24" s="29">
        <f>AF21+AF22+AF23</f>
        <v>0</v>
      </c>
      <c r="AG24" s="29">
        <f>AG21+AG22+AG23</f>
        <v>0</v>
      </c>
      <c r="AH24" s="29">
        <f>AH21+AH22+AH23</f>
        <v>0</v>
      </c>
      <c r="AI24" s="29">
        <f>AI21+AI22+AI23</f>
        <v>0</v>
      </c>
      <c r="AJ24" s="29">
        <f>AJ21+AJ22+AJ23</f>
        <v>0</v>
      </c>
      <c r="AK24" s="29">
        <f>AK21+AK22+AK23</f>
        <v>0</v>
      </c>
      <c r="AL24" s="29">
        <f>AL21+AL22+AL23</f>
        <v>0</v>
      </c>
      <c r="AN24" s="29">
        <f>SUM(C24:E24)</f>
        <v>0</v>
      </c>
      <c r="AO24" s="29">
        <f>SUM(F24:H24)</f>
        <v>0</v>
      </c>
      <c r="AP24" s="29">
        <f>SUM(I24:K24)</f>
        <v>0</v>
      </c>
      <c r="AQ24" s="29">
        <f>SUM(L24:N24)</f>
        <v>0</v>
      </c>
      <c r="AR24" s="29">
        <f>SUM(O24:Q24)</f>
        <v>0</v>
      </c>
      <c r="AS24" s="29">
        <f>SUM(R24:T24)</f>
        <v>0</v>
      </c>
      <c r="AT24" s="29">
        <f>SUM(U24:W24)</f>
        <v>0</v>
      </c>
      <c r="AU24" s="29">
        <f>SUM(X24:Z24)</f>
        <v>0</v>
      </c>
      <c r="AV24" s="29">
        <f>SUM(AA24:AC24)</f>
        <v>0</v>
      </c>
      <c r="AW24" s="29">
        <f>SUM(AD24:AF24)</f>
        <v>0</v>
      </c>
      <c r="AX24" s="29">
        <f>SUM(AG24:AI24)</f>
        <v>0</v>
      </c>
      <c r="AY24" s="29">
        <f>SUM(AJ24:AL24)</f>
        <v>0</v>
      </c>
      <c r="BA24" s="29">
        <f>SUM(C24:N24)</f>
        <v>0</v>
      </c>
      <c r="BB24" s="29">
        <f>SUM(O24:Z24)</f>
        <v>0</v>
      </c>
      <c r="BC24" s="29">
        <f>SUM(AA24:AL24)</f>
        <v>0</v>
      </c>
    </row>
    <row r="25" spans="1:55" ht="5" customHeight="1"/>
    <row r="26" spans="1:55">
      <c r="A26" s="28" t="s">
        <v>353</v>
      </c>
      <c r="B26" s="16"/>
      <c r="C26" s="29">
        <f>C14+C18+C24</f>
        <v>0</v>
      </c>
      <c r="D26" s="29">
        <f>D14+D18+D24</f>
        <v>0</v>
      </c>
      <c r="E26" s="29">
        <f>E14+E18+E24</f>
        <v>0</v>
      </c>
      <c r="F26" s="29">
        <f>F14+F18+F24</f>
        <v>0</v>
      </c>
      <c r="G26" s="29">
        <f>G14+G18+G24</f>
        <v>0</v>
      </c>
      <c r="H26" s="29">
        <f>H14+H18+H24</f>
        <v>0</v>
      </c>
      <c r="I26" s="29">
        <f>I14+I18+I24</f>
        <v>0</v>
      </c>
      <c r="J26" s="29">
        <f>J14+J18+J24</f>
        <v>0</v>
      </c>
      <c r="K26" s="29">
        <f>K14+K18+K24</f>
        <v>0</v>
      </c>
      <c r="L26" s="29">
        <f>L14+L18+L24</f>
        <v>0</v>
      </c>
      <c r="M26" s="29">
        <f>M14+M18+M24</f>
        <v>0</v>
      </c>
      <c r="N26" s="29">
        <f>N14+N18+N24</f>
        <v>0</v>
      </c>
      <c r="O26" s="29">
        <f>O14+O18+O24</f>
        <v>0</v>
      </c>
      <c r="P26" s="29">
        <f>P14+P18+P24</f>
        <v>0</v>
      </c>
      <c r="Q26" s="29">
        <f>Q14+Q18+Q24</f>
        <v>0</v>
      </c>
      <c r="R26" s="29">
        <f>R14+R18+R24</f>
        <v>0</v>
      </c>
      <c r="S26" s="29">
        <f>S14+S18+S24</f>
        <v>0</v>
      </c>
      <c r="T26" s="29">
        <f>T14+T18+T24</f>
        <v>0</v>
      </c>
      <c r="U26" s="29">
        <f>U14+U18+U24</f>
        <v>0</v>
      </c>
      <c r="V26" s="29">
        <f>V14+V18+V24</f>
        <v>0</v>
      </c>
      <c r="W26" s="29">
        <f>W14+W18+W24</f>
        <v>0</v>
      </c>
      <c r="X26" s="29">
        <f>X14+X18+X24</f>
        <v>0</v>
      </c>
      <c r="Y26" s="29">
        <f>Y14+Y18+Y24</f>
        <v>0</v>
      </c>
      <c r="Z26" s="29">
        <f>Z14+Z18+Z24</f>
        <v>0</v>
      </c>
      <c r="AA26" s="29">
        <f>AA14+AA18+AA24</f>
        <v>0</v>
      </c>
      <c r="AB26" s="29">
        <f>AB14+AB18+AB24</f>
        <v>0</v>
      </c>
      <c r="AC26" s="29">
        <f>AC14+AC18+AC24</f>
        <v>0</v>
      </c>
      <c r="AD26" s="29">
        <f>AD14+AD18+AD24</f>
        <v>0</v>
      </c>
      <c r="AE26" s="29">
        <f>AE14+AE18+AE24</f>
        <v>0</v>
      </c>
      <c r="AF26" s="29">
        <f>AF14+AF18+AF24</f>
        <v>0</v>
      </c>
      <c r="AG26" s="29">
        <f>AG14+AG18+AG24</f>
        <v>0</v>
      </c>
      <c r="AH26" s="29">
        <f>AH14+AH18+AH24</f>
        <v>0</v>
      </c>
      <c r="AI26" s="29">
        <f>AI14+AI18+AI24</f>
        <v>0</v>
      </c>
      <c r="AJ26" s="29">
        <f>AJ14+AJ18+AJ24</f>
        <v>0</v>
      </c>
      <c r="AK26" s="29">
        <f>AK14+AK18+AK24</f>
        <v>0</v>
      </c>
      <c r="AL26" s="29">
        <f>AL14+AL18+AL24</f>
        <v>0</v>
      </c>
      <c r="AN26" s="29">
        <f>SUM(C26:E26)</f>
        <v>0</v>
      </c>
      <c r="AO26" s="29">
        <f>SUM(F26:H26)</f>
        <v>0</v>
      </c>
      <c r="AP26" s="29">
        <f>SUM(I26:K26)</f>
        <v>0</v>
      </c>
      <c r="AQ26" s="29">
        <f>SUM(L26:N26)</f>
        <v>0</v>
      </c>
      <c r="AR26" s="29">
        <f>SUM(O26:Q26)</f>
        <v>0</v>
      </c>
      <c r="AS26" s="29">
        <f>SUM(R26:T26)</f>
        <v>0</v>
      </c>
      <c r="AT26" s="29">
        <f>SUM(U26:W26)</f>
        <v>0</v>
      </c>
      <c r="AU26" s="29">
        <f>SUM(X26:Z26)</f>
        <v>0</v>
      </c>
      <c r="AV26" s="29">
        <f>SUM(AA26:AC26)</f>
        <v>0</v>
      </c>
      <c r="AW26" s="29">
        <f>SUM(AD26:AF26)</f>
        <v>0</v>
      </c>
      <c r="AX26" s="29">
        <f>SUM(AG26:AI26)</f>
        <v>0</v>
      </c>
      <c r="AY26" s="29">
        <f>SUM(AJ26:AL26)</f>
        <v>0</v>
      </c>
      <c r="BA26" s="29">
        <f>SUM(C26:N26)</f>
        <v>0</v>
      </c>
      <c r="BB26" s="29">
        <f>SUM(O26:Z26)</f>
        <v>0</v>
      </c>
      <c r="BC26" s="29">
        <f>SUM(AA26:AL26)</f>
        <v>0</v>
      </c>
    </row>
    <row r="27" spans="1:55">
      <c r="A27" s="18" t="s">
        <v>354</v>
      </c>
      <c r="B27" s="16" t="s">
        <v>355</v>
      </c>
      <c r="C27" s="20">
        <f>'Assumptions'!$F$8</f>
        <v>0</v>
      </c>
      <c r="D27" s="20">
        <f>C28</f>
        <v>0</v>
      </c>
      <c r="E27" s="20">
        <f>D28</f>
        <v>0</v>
      </c>
      <c r="F27" s="20">
        <f>E28</f>
        <v>0</v>
      </c>
      <c r="G27" s="20">
        <f>F28</f>
        <v>0</v>
      </c>
      <c r="H27" s="20">
        <f>G28</f>
        <v>0</v>
      </c>
      <c r="I27" s="20">
        <f>H28</f>
        <v>0</v>
      </c>
      <c r="J27" s="20">
        <f>I28</f>
        <v>0</v>
      </c>
      <c r="K27" s="20">
        <f>J28</f>
        <v>0</v>
      </c>
      <c r="L27" s="20">
        <f>K28</f>
        <v>0</v>
      </c>
      <c r="M27" s="20">
        <f>L28</f>
        <v>0</v>
      </c>
      <c r="N27" s="20">
        <f>M28</f>
        <v>0</v>
      </c>
      <c r="O27" s="20">
        <f>N28</f>
        <v>0</v>
      </c>
      <c r="P27" s="20">
        <f>O28</f>
        <v>0</v>
      </c>
      <c r="Q27" s="20">
        <f>P28</f>
        <v>0</v>
      </c>
      <c r="R27" s="20">
        <f>Q28</f>
        <v>0</v>
      </c>
      <c r="S27" s="20">
        <f>R28</f>
        <v>0</v>
      </c>
      <c r="T27" s="20">
        <f>S28</f>
        <v>0</v>
      </c>
      <c r="U27" s="20">
        <f>T28</f>
        <v>0</v>
      </c>
      <c r="V27" s="20">
        <f>U28</f>
        <v>0</v>
      </c>
      <c r="W27" s="20">
        <f>V28</f>
        <v>0</v>
      </c>
      <c r="X27" s="20">
        <f>W28</f>
        <v>0</v>
      </c>
      <c r="Y27" s="20">
        <f>X28</f>
        <v>0</v>
      </c>
      <c r="Z27" s="20">
        <f>Y28</f>
        <v>0</v>
      </c>
      <c r="AA27" s="20">
        <f>Z28</f>
        <v>0</v>
      </c>
      <c r="AB27" s="20">
        <f>AA28</f>
        <v>0</v>
      </c>
      <c r="AC27" s="20">
        <f>AB28</f>
        <v>0</v>
      </c>
      <c r="AD27" s="20">
        <f>AC28</f>
        <v>0</v>
      </c>
      <c r="AE27" s="20">
        <f>AD28</f>
        <v>0</v>
      </c>
      <c r="AF27" s="20">
        <f>AE28</f>
        <v>0</v>
      </c>
      <c r="AG27" s="20">
        <f>AF28</f>
        <v>0</v>
      </c>
      <c r="AH27" s="20">
        <f>AG28</f>
        <v>0</v>
      </c>
      <c r="AI27" s="20">
        <f>AH28</f>
        <v>0</v>
      </c>
      <c r="AJ27" s="20">
        <f>AI28</f>
        <v>0</v>
      </c>
      <c r="AK27" s="20">
        <f>AJ28</f>
        <v>0</v>
      </c>
      <c r="AL27" s="20">
        <f>AK28</f>
        <v>0</v>
      </c>
      <c r="AN27" s="20">
        <f>C27</f>
        <v>0</v>
      </c>
      <c r="AO27" s="20">
        <f>F27</f>
        <v>0</v>
      </c>
      <c r="AP27" s="20">
        <f>I27</f>
        <v>0</v>
      </c>
      <c r="AQ27" s="20">
        <f>L27</f>
        <v>0</v>
      </c>
      <c r="AR27" s="20">
        <f>O27</f>
        <v>0</v>
      </c>
      <c r="AS27" s="20">
        <f>R27</f>
        <v>0</v>
      </c>
      <c r="AT27" s="20">
        <f>U27</f>
        <v>0</v>
      </c>
      <c r="AU27" s="20">
        <f>X27</f>
        <v>0</v>
      </c>
      <c r="AV27" s="20">
        <f>AA27</f>
        <v>0</v>
      </c>
      <c r="AW27" s="20">
        <f>AD27</f>
        <v>0</v>
      </c>
      <c r="AX27" s="20">
        <f>AG27</f>
        <v>0</v>
      </c>
      <c r="AY27" s="20">
        <f>AJ27</f>
        <v>0</v>
      </c>
      <c r="BA27" s="20">
        <f>C27</f>
        <v>0</v>
      </c>
      <c r="BB27" s="20">
        <f>O27</f>
        <v>0</v>
      </c>
      <c r="BC27" s="20">
        <f>AA27</f>
        <v>0</v>
      </c>
    </row>
    <row r="28" spans="1:55">
      <c r="A28" s="28" t="s">
        <v>356</v>
      </c>
      <c r="B28" s="16" t="s">
        <v>357</v>
      </c>
      <c r="C28" s="29">
        <f>C27+C26</f>
        <v>0</v>
      </c>
      <c r="D28" s="29">
        <f>D27+D26</f>
        <v>0</v>
      </c>
      <c r="E28" s="29">
        <f>E27+E26</f>
        <v>0</v>
      </c>
      <c r="F28" s="29">
        <f>F27+F26</f>
        <v>0</v>
      </c>
      <c r="G28" s="29">
        <f>G27+G26</f>
        <v>0</v>
      </c>
      <c r="H28" s="29">
        <f>H27+H26</f>
        <v>0</v>
      </c>
      <c r="I28" s="29">
        <f>I27+I26</f>
        <v>0</v>
      </c>
      <c r="J28" s="29">
        <f>J27+J26</f>
        <v>0</v>
      </c>
      <c r="K28" s="29">
        <f>K27+K26</f>
        <v>0</v>
      </c>
      <c r="L28" s="29">
        <f>L27+L26</f>
        <v>0</v>
      </c>
      <c r="M28" s="29">
        <f>M27+M26</f>
        <v>0</v>
      </c>
      <c r="N28" s="29">
        <f>N27+N26</f>
        <v>0</v>
      </c>
      <c r="O28" s="29">
        <f>O27+O26</f>
        <v>0</v>
      </c>
      <c r="P28" s="29">
        <f>P27+P26</f>
        <v>0</v>
      </c>
      <c r="Q28" s="29">
        <f>Q27+Q26</f>
        <v>0</v>
      </c>
      <c r="R28" s="29">
        <f>R27+R26</f>
        <v>0</v>
      </c>
      <c r="S28" s="29">
        <f>S27+S26</f>
        <v>0</v>
      </c>
      <c r="T28" s="29">
        <f>T27+T26</f>
        <v>0</v>
      </c>
      <c r="U28" s="29">
        <f>U27+U26</f>
        <v>0</v>
      </c>
      <c r="V28" s="29">
        <f>V27+V26</f>
        <v>0</v>
      </c>
      <c r="W28" s="29">
        <f>W27+W26</f>
        <v>0</v>
      </c>
      <c r="X28" s="29">
        <f>X27+X26</f>
        <v>0</v>
      </c>
      <c r="Y28" s="29">
        <f>Y27+Y26</f>
        <v>0</v>
      </c>
      <c r="Z28" s="29">
        <f>Z27+Z26</f>
        <v>0</v>
      </c>
      <c r="AA28" s="29">
        <f>AA27+AA26</f>
        <v>0</v>
      </c>
      <c r="AB28" s="29">
        <f>AB27+AB26</f>
        <v>0</v>
      </c>
      <c r="AC28" s="29">
        <f>AC27+AC26</f>
        <v>0</v>
      </c>
      <c r="AD28" s="29">
        <f>AD27+AD26</f>
        <v>0</v>
      </c>
      <c r="AE28" s="29">
        <f>AE27+AE26</f>
        <v>0</v>
      </c>
      <c r="AF28" s="29">
        <f>AF27+AF26</f>
        <v>0</v>
      </c>
      <c r="AG28" s="29">
        <f>AG27+AG26</f>
        <v>0</v>
      </c>
      <c r="AH28" s="29">
        <f>AH27+AH26</f>
        <v>0</v>
      </c>
      <c r="AI28" s="29">
        <f>AI27+AI26</f>
        <v>0</v>
      </c>
      <c r="AJ28" s="29">
        <f>AJ27+AJ26</f>
        <v>0</v>
      </c>
      <c r="AK28" s="29">
        <f>AK27+AK26</f>
        <v>0</v>
      </c>
      <c r="AL28" s="29">
        <f>AL27+AL26</f>
        <v>0</v>
      </c>
      <c r="AN28" s="29">
        <f>E28</f>
        <v>0</v>
      </c>
      <c r="AO28" s="29">
        <f>H28</f>
        <v>0</v>
      </c>
      <c r="AP28" s="29">
        <f>K28</f>
        <v>0</v>
      </c>
      <c r="AQ28" s="29">
        <f>N28</f>
        <v>0</v>
      </c>
      <c r="AR28" s="29">
        <f>Q28</f>
        <v>0</v>
      </c>
      <c r="AS28" s="29">
        <f>T28</f>
        <v>0</v>
      </c>
      <c r="AT28" s="29">
        <f>W28</f>
        <v>0</v>
      </c>
      <c r="AU28" s="29">
        <f>Z28</f>
        <v>0</v>
      </c>
      <c r="AV28" s="29">
        <f>AC28</f>
        <v>0</v>
      </c>
      <c r="AW28" s="29">
        <f>AF28</f>
        <v>0</v>
      </c>
      <c r="AX28" s="29">
        <f>AI28</f>
        <v>0</v>
      </c>
      <c r="AY28" s="29">
        <f>AL28</f>
        <v>0</v>
      </c>
      <c r="BA28" s="29">
        <f>N28</f>
        <v>0</v>
      </c>
      <c r="BB28" s="29">
        <f>Z28</f>
        <v>0</v>
      </c>
      <c r="BC28" s="29">
        <f>AL28</f>
        <v>0</v>
      </c>
    </row>
  </sheetData>
  <mergeCells count="8">
    <mergeCell ref="A1:BC1"/>
    <mergeCell ref="A2:BC2"/>
    <mergeCell ref="C5:AL5"/>
    <mergeCell ref="AN5:AY5"/>
    <mergeCell ref="BA5:BC5"/>
    <mergeCell ref="A7:BC7"/>
    <mergeCell ref="A16:BC16"/>
    <mergeCell ref="A20:BC20"/>
  </mergeCells>
  <pageMargins left="0.7" right="0.7" top="0.75" bottom="0.75" header="0.3" footer="0.3"/>
  <pageSetup paperSize="9" scale="55" orientation="landscape"/>
</worksheet>
</file>

<file path=xl/worksheets/sheet10.xml><?xml version="1.0" encoding="utf-8"?>
<worksheet xmlns="http://schemas.openxmlformats.org/spreadsheetml/2006/main" xmlns:r="http://schemas.openxmlformats.org/officeDocument/2006/relationships">
  <dimension ref="A1:BC26"/>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358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359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360</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361</v>
      </c>
      <c r="B8" s="16" t="s">
        <v>362</v>
      </c>
      <c r="C8" s="20">
        <f>'Cash Flow'!$C$28</f>
        <v>0</v>
      </c>
      <c r="D8" s="20">
        <f>'Cash Flow'!$D$28</f>
        <v>0</v>
      </c>
      <c r="E8" s="20">
        <f>'Cash Flow'!$E$28</f>
        <v>0</v>
      </c>
      <c r="F8" s="20">
        <f>'Cash Flow'!$F$28</f>
        <v>0</v>
      </c>
      <c r="G8" s="20">
        <f>'Cash Flow'!$G$28</f>
        <v>0</v>
      </c>
      <c r="H8" s="20">
        <f>'Cash Flow'!$H$28</f>
        <v>0</v>
      </c>
      <c r="I8" s="20">
        <f>'Cash Flow'!$I$28</f>
        <v>0</v>
      </c>
      <c r="J8" s="20">
        <f>'Cash Flow'!$J$28</f>
        <v>0</v>
      </c>
      <c r="K8" s="20">
        <f>'Cash Flow'!$K$28</f>
        <v>0</v>
      </c>
      <c r="L8" s="20">
        <f>'Cash Flow'!$L$28</f>
        <v>0</v>
      </c>
      <c r="M8" s="20">
        <f>'Cash Flow'!$M$28</f>
        <v>0</v>
      </c>
      <c r="N8" s="20">
        <f>'Cash Flow'!$N$28</f>
        <v>0</v>
      </c>
      <c r="O8" s="20">
        <f>'Cash Flow'!$O$28</f>
        <v>0</v>
      </c>
      <c r="P8" s="20">
        <f>'Cash Flow'!$P$28</f>
        <v>0</v>
      </c>
      <c r="Q8" s="20">
        <f>'Cash Flow'!$Q$28</f>
        <v>0</v>
      </c>
      <c r="R8" s="20">
        <f>'Cash Flow'!$R$28</f>
        <v>0</v>
      </c>
      <c r="S8" s="20">
        <f>'Cash Flow'!$S$28</f>
        <v>0</v>
      </c>
      <c r="T8" s="20">
        <f>'Cash Flow'!$T$28</f>
        <v>0</v>
      </c>
      <c r="U8" s="20">
        <f>'Cash Flow'!$U$28</f>
        <v>0</v>
      </c>
      <c r="V8" s="20">
        <f>'Cash Flow'!$V$28</f>
        <v>0</v>
      </c>
      <c r="W8" s="20">
        <f>'Cash Flow'!$W$28</f>
        <v>0</v>
      </c>
      <c r="X8" s="20">
        <f>'Cash Flow'!$X$28</f>
        <v>0</v>
      </c>
      <c r="Y8" s="20">
        <f>'Cash Flow'!$Y$28</f>
        <v>0</v>
      </c>
      <c r="Z8" s="20">
        <f>'Cash Flow'!$Z$28</f>
        <v>0</v>
      </c>
      <c r="AA8" s="20">
        <f>'Cash Flow'!$AA$28</f>
        <v>0</v>
      </c>
      <c r="AB8" s="20">
        <f>'Cash Flow'!$AB$28</f>
        <v>0</v>
      </c>
      <c r="AC8" s="20">
        <f>'Cash Flow'!$AC$28</f>
        <v>0</v>
      </c>
      <c r="AD8" s="20">
        <f>'Cash Flow'!$AD$28</f>
        <v>0</v>
      </c>
      <c r="AE8" s="20">
        <f>'Cash Flow'!$AE$28</f>
        <v>0</v>
      </c>
      <c r="AF8" s="20">
        <f>'Cash Flow'!$AF$28</f>
        <v>0</v>
      </c>
      <c r="AG8" s="20">
        <f>'Cash Flow'!$AG$28</f>
        <v>0</v>
      </c>
      <c r="AH8" s="20">
        <f>'Cash Flow'!$AH$28</f>
        <v>0</v>
      </c>
      <c r="AI8" s="20">
        <f>'Cash Flow'!$AI$28</f>
        <v>0</v>
      </c>
      <c r="AJ8" s="20">
        <f>'Cash Flow'!$AJ$28</f>
        <v>0</v>
      </c>
      <c r="AK8" s="20">
        <f>'Cash Flow'!$AK$28</f>
        <v>0</v>
      </c>
      <c r="AL8" s="20">
        <f>'Cash Flow'!$AL$28</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363</v>
      </c>
      <c r="B9" s="16"/>
      <c r="C9" s="20">
        <f>'Working Capital'!$C$8</f>
        <v>0</v>
      </c>
      <c r="D9" s="20">
        <f>'Working Capital'!$D$8</f>
        <v>0</v>
      </c>
      <c r="E9" s="20">
        <f>'Working Capital'!$E$8</f>
        <v>0</v>
      </c>
      <c r="F9" s="20">
        <f>'Working Capital'!$F$8</f>
        <v>0</v>
      </c>
      <c r="G9" s="20">
        <f>'Working Capital'!$G$8</f>
        <v>0</v>
      </c>
      <c r="H9" s="20">
        <f>'Working Capital'!$H$8</f>
        <v>0</v>
      </c>
      <c r="I9" s="20">
        <f>'Working Capital'!$I$8</f>
        <v>0</v>
      </c>
      <c r="J9" s="20">
        <f>'Working Capital'!$J$8</f>
        <v>0</v>
      </c>
      <c r="K9" s="20">
        <f>'Working Capital'!$K$8</f>
        <v>0</v>
      </c>
      <c r="L9" s="20">
        <f>'Working Capital'!$L$8</f>
        <v>0</v>
      </c>
      <c r="M9" s="20">
        <f>'Working Capital'!$M$8</f>
        <v>0</v>
      </c>
      <c r="N9" s="20">
        <f>'Working Capital'!$N$8</f>
        <v>0</v>
      </c>
      <c r="O9" s="20">
        <f>'Working Capital'!$O$8</f>
        <v>0</v>
      </c>
      <c r="P9" s="20">
        <f>'Working Capital'!$P$8</f>
        <v>0</v>
      </c>
      <c r="Q9" s="20">
        <f>'Working Capital'!$Q$8</f>
        <v>0</v>
      </c>
      <c r="R9" s="20">
        <f>'Working Capital'!$R$8</f>
        <v>0</v>
      </c>
      <c r="S9" s="20">
        <f>'Working Capital'!$S$8</f>
        <v>0</v>
      </c>
      <c r="T9" s="20">
        <f>'Working Capital'!$T$8</f>
        <v>0</v>
      </c>
      <c r="U9" s="20">
        <f>'Working Capital'!$U$8</f>
        <v>0</v>
      </c>
      <c r="V9" s="20">
        <f>'Working Capital'!$V$8</f>
        <v>0</v>
      </c>
      <c r="W9" s="20">
        <f>'Working Capital'!$W$8</f>
        <v>0</v>
      </c>
      <c r="X9" s="20">
        <f>'Working Capital'!$X$8</f>
        <v>0</v>
      </c>
      <c r="Y9" s="20">
        <f>'Working Capital'!$Y$8</f>
        <v>0</v>
      </c>
      <c r="Z9" s="20">
        <f>'Working Capital'!$Z$8</f>
        <v>0</v>
      </c>
      <c r="AA9" s="20">
        <f>'Working Capital'!$AA$8</f>
        <v>0</v>
      </c>
      <c r="AB9" s="20">
        <f>'Working Capital'!$AB$8</f>
        <v>0</v>
      </c>
      <c r="AC9" s="20">
        <f>'Working Capital'!$AC$8</f>
        <v>0</v>
      </c>
      <c r="AD9" s="20">
        <f>'Working Capital'!$AD$8</f>
        <v>0</v>
      </c>
      <c r="AE9" s="20">
        <f>'Working Capital'!$AE$8</f>
        <v>0</v>
      </c>
      <c r="AF9" s="20">
        <f>'Working Capital'!$AF$8</f>
        <v>0</v>
      </c>
      <c r="AG9" s="20">
        <f>'Working Capital'!$AG$8</f>
        <v>0</v>
      </c>
      <c r="AH9" s="20">
        <f>'Working Capital'!$AH$8</f>
        <v>0</v>
      </c>
      <c r="AI9" s="20">
        <f>'Working Capital'!$AI$8</f>
        <v>0</v>
      </c>
      <c r="AJ9" s="20">
        <f>'Working Capital'!$AJ$8</f>
        <v>0</v>
      </c>
      <c r="AK9" s="20">
        <f>'Working Capital'!$AK$8</f>
        <v>0</v>
      </c>
      <c r="AL9" s="20">
        <f>'Working Capital'!$AL$8</f>
        <v>0</v>
      </c>
      <c r="AN9" s="20">
        <f>E9</f>
        <v>0</v>
      </c>
      <c r="AO9" s="20">
        <f>H9</f>
        <v>0</v>
      </c>
      <c r="AP9" s="20">
        <f>K9</f>
        <v>0</v>
      </c>
      <c r="AQ9" s="20">
        <f>N9</f>
        <v>0</v>
      </c>
      <c r="AR9" s="20">
        <f>Q9</f>
        <v>0</v>
      </c>
      <c r="AS9" s="20">
        <f>T9</f>
        <v>0</v>
      </c>
      <c r="AT9" s="20">
        <f>W9</f>
        <v>0</v>
      </c>
      <c r="AU9" s="20">
        <f>Z9</f>
        <v>0</v>
      </c>
      <c r="AV9" s="20">
        <f>AC9</f>
        <v>0</v>
      </c>
      <c r="AW9" s="20">
        <f>AF9</f>
        <v>0</v>
      </c>
      <c r="AX9" s="20">
        <f>AI9</f>
        <v>0</v>
      </c>
      <c r="AY9" s="20">
        <f>AL9</f>
        <v>0</v>
      </c>
      <c r="BA9" s="20">
        <f>N9</f>
        <v>0</v>
      </c>
      <c r="BB9" s="20">
        <f>Z9</f>
        <v>0</v>
      </c>
      <c r="BC9" s="20">
        <f>AL9</f>
        <v>0</v>
      </c>
    </row>
    <row r="10" spans="1:55">
      <c r="A10" s="18" t="s">
        <v>364</v>
      </c>
      <c r="B10" s="16" t="s">
        <v>365</v>
      </c>
      <c r="C10" s="20">
        <f>'Working Capital'!C11</f>
        <v>0</v>
      </c>
      <c r="D10" s="20">
        <f>'Working Capital'!D11</f>
        <v>0</v>
      </c>
      <c r="E10" s="20">
        <f>'Working Capital'!E11</f>
        <v>0</v>
      </c>
      <c r="F10" s="20">
        <f>'Working Capital'!F11</f>
        <v>0</v>
      </c>
      <c r="G10" s="20">
        <f>'Working Capital'!G11</f>
        <v>0</v>
      </c>
      <c r="H10" s="20">
        <f>'Working Capital'!H11</f>
        <v>0</v>
      </c>
      <c r="I10" s="20">
        <f>'Working Capital'!I11</f>
        <v>0</v>
      </c>
      <c r="J10" s="20">
        <f>'Working Capital'!J11</f>
        <v>0</v>
      </c>
      <c r="K10" s="20">
        <f>'Working Capital'!K11</f>
        <v>0</v>
      </c>
      <c r="L10" s="20">
        <f>'Working Capital'!L11</f>
        <v>0</v>
      </c>
      <c r="M10" s="20">
        <f>'Working Capital'!M11</f>
        <v>0</v>
      </c>
      <c r="N10" s="20">
        <f>'Working Capital'!N11</f>
        <v>0</v>
      </c>
      <c r="O10" s="20">
        <f>'Working Capital'!O11</f>
        <v>0</v>
      </c>
      <c r="P10" s="20">
        <f>'Working Capital'!P11</f>
        <v>0</v>
      </c>
      <c r="Q10" s="20">
        <f>'Working Capital'!Q11</f>
        <v>0</v>
      </c>
      <c r="R10" s="20">
        <f>'Working Capital'!R11</f>
        <v>0</v>
      </c>
      <c r="S10" s="20">
        <f>'Working Capital'!S11</f>
        <v>0</v>
      </c>
      <c r="T10" s="20">
        <f>'Working Capital'!T11</f>
        <v>0</v>
      </c>
      <c r="U10" s="20">
        <f>'Working Capital'!U11</f>
        <v>0</v>
      </c>
      <c r="V10" s="20">
        <f>'Working Capital'!V11</f>
        <v>0</v>
      </c>
      <c r="W10" s="20">
        <f>'Working Capital'!W11</f>
        <v>0</v>
      </c>
      <c r="X10" s="20">
        <f>'Working Capital'!X11</f>
        <v>0</v>
      </c>
      <c r="Y10" s="20">
        <f>'Working Capital'!Y11</f>
        <v>0</v>
      </c>
      <c r="Z10" s="20">
        <f>'Working Capital'!Z11</f>
        <v>0</v>
      </c>
      <c r="AA10" s="20">
        <f>'Working Capital'!AA11</f>
        <v>0</v>
      </c>
      <c r="AB10" s="20">
        <f>'Working Capital'!AB11</f>
        <v>0</v>
      </c>
      <c r="AC10" s="20">
        <f>'Working Capital'!AC11</f>
        <v>0</v>
      </c>
      <c r="AD10" s="20">
        <f>'Working Capital'!AD11</f>
        <v>0</v>
      </c>
      <c r="AE10" s="20">
        <f>'Working Capital'!AE11</f>
        <v>0</v>
      </c>
      <c r="AF10" s="20">
        <f>'Working Capital'!AF11</f>
        <v>0</v>
      </c>
      <c r="AG10" s="20">
        <f>'Working Capital'!AG11</f>
        <v>0</v>
      </c>
      <c r="AH10" s="20">
        <f>'Working Capital'!AH11</f>
        <v>0</v>
      </c>
      <c r="AI10" s="20">
        <f>'Working Capital'!AI11</f>
        <v>0</v>
      </c>
      <c r="AJ10" s="20">
        <f>'Working Capital'!AJ11</f>
        <v>0</v>
      </c>
      <c r="AK10" s="20">
        <f>'Working Capital'!AK11</f>
        <v>0</v>
      </c>
      <c r="AL10" s="20">
        <f>'Working Capital'!AL11</f>
        <v>0</v>
      </c>
      <c r="AN10" s="20">
        <f>E10</f>
        <v>0</v>
      </c>
      <c r="AO10" s="20">
        <f>H10</f>
        <v>0</v>
      </c>
      <c r="AP10" s="20">
        <f>K10</f>
        <v>0</v>
      </c>
      <c r="AQ10" s="20">
        <f>N10</f>
        <v>0</v>
      </c>
      <c r="AR10" s="20">
        <f>Q10</f>
        <v>0</v>
      </c>
      <c r="AS10" s="20">
        <f>T10</f>
        <v>0</v>
      </c>
      <c r="AT10" s="20">
        <f>W10</f>
        <v>0</v>
      </c>
      <c r="AU10" s="20">
        <f>Z10</f>
        <v>0</v>
      </c>
      <c r="AV10" s="20">
        <f>AC10</f>
        <v>0</v>
      </c>
      <c r="AW10" s="20">
        <f>AF10</f>
        <v>0</v>
      </c>
      <c r="AX10" s="20">
        <f>AI10</f>
        <v>0</v>
      </c>
      <c r="AY10" s="20">
        <f>AL10</f>
        <v>0</v>
      </c>
      <c r="BA10" s="20">
        <f>N10</f>
        <v>0</v>
      </c>
      <c r="BB10" s="20">
        <f>Z10</f>
        <v>0</v>
      </c>
      <c r="BC10" s="20">
        <f>AL10</f>
        <v>0</v>
      </c>
    </row>
    <row r="11" spans="1:55">
      <c r="A11" s="18" t="s">
        <v>366</v>
      </c>
      <c r="B11" s="16"/>
      <c r="C11" s="20">
        <f>'Working Capital'!$C$20</f>
        <v>0</v>
      </c>
      <c r="D11" s="20">
        <f>'Working Capital'!$D$20</f>
        <v>0</v>
      </c>
      <c r="E11" s="20">
        <f>'Working Capital'!$E$20</f>
        <v>0</v>
      </c>
      <c r="F11" s="20">
        <f>'Working Capital'!$F$20</f>
        <v>0</v>
      </c>
      <c r="G11" s="20">
        <f>'Working Capital'!$G$20</f>
        <v>0</v>
      </c>
      <c r="H11" s="20">
        <f>'Working Capital'!$H$20</f>
        <v>0</v>
      </c>
      <c r="I11" s="20">
        <f>'Working Capital'!$I$20</f>
        <v>0</v>
      </c>
      <c r="J11" s="20">
        <f>'Working Capital'!$J$20</f>
        <v>0</v>
      </c>
      <c r="K11" s="20">
        <f>'Working Capital'!$K$20</f>
        <v>0</v>
      </c>
      <c r="L11" s="20">
        <f>'Working Capital'!$L$20</f>
        <v>0</v>
      </c>
      <c r="M11" s="20">
        <f>'Working Capital'!$M$20</f>
        <v>0</v>
      </c>
      <c r="N11" s="20">
        <f>'Working Capital'!$N$20</f>
        <v>0</v>
      </c>
      <c r="O11" s="20">
        <f>'Working Capital'!$O$20</f>
        <v>0</v>
      </c>
      <c r="P11" s="20">
        <f>'Working Capital'!$P$20</f>
        <v>0</v>
      </c>
      <c r="Q11" s="20">
        <f>'Working Capital'!$Q$20</f>
        <v>0</v>
      </c>
      <c r="R11" s="20">
        <f>'Working Capital'!$R$20</f>
        <v>0</v>
      </c>
      <c r="S11" s="20">
        <f>'Working Capital'!$S$20</f>
        <v>0</v>
      </c>
      <c r="T11" s="20">
        <f>'Working Capital'!$T$20</f>
        <v>0</v>
      </c>
      <c r="U11" s="20">
        <f>'Working Capital'!$U$20</f>
        <v>0</v>
      </c>
      <c r="V11" s="20">
        <f>'Working Capital'!$V$20</f>
        <v>0</v>
      </c>
      <c r="W11" s="20">
        <f>'Working Capital'!$W$20</f>
        <v>0</v>
      </c>
      <c r="X11" s="20">
        <f>'Working Capital'!$X$20</f>
        <v>0</v>
      </c>
      <c r="Y11" s="20">
        <f>'Working Capital'!$Y$20</f>
        <v>0</v>
      </c>
      <c r="Z11" s="20">
        <f>'Working Capital'!$Z$20</f>
        <v>0</v>
      </c>
      <c r="AA11" s="20">
        <f>'Working Capital'!$AA$20</f>
        <v>0</v>
      </c>
      <c r="AB11" s="20">
        <f>'Working Capital'!$AB$20</f>
        <v>0</v>
      </c>
      <c r="AC11" s="20">
        <f>'Working Capital'!$AC$20</f>
        <v>0</v>
      </c>
      <c r="AD11" s="20">
        <f>'Working Capital'!$AD$20</f>
        <v>0</v>
      </c>
      <c r="AE11" s="20">
        <f>'Working Capital'!$AE$20</f>
        <v>0</v>
      </c>
      <c r="AF11" s="20">
        <f>'Working Capital'!$AF$20</f>
        <v>0</v>
      </c>
      <c r="AG11" s="20">
        <f>'Working Capital'!$AG$20</f>
        <v>0</v>
      </c>
      <c r="AH11" s="20">
        <f>'Working Capital'!$AH$20</f>
        <v>0</v>
      </c>
      <c r="AI11" s="20">
        <f>'Working Capital'!$AI$20</f>
        <v>0</v>
      </c>
      <c r="AJ11" s="20">
        <f>'Working Capital'!$AJ$20</f>
        <v>0</v>
      </c>
      <c r="AK11" s="20">
        <f>'Working Capital'!$AK$20</f>
        <v>0</v>
      </c>
      <c r="AL11" s="20">
        <f>'Working Capital'!$AL$20</f>
        <v>0</v>
      </c>
      <c r="AN11" s="20">
        <f>E11</f>
        <v>0</v>
      </c>
      <c r="AO11" s="20">
        <f>H11</f>
        <v>0</v>
      </c>
      <c r="AP11" s="20">
        <f>K11</f>
        <v>0</v>
      </c>
      <c r="AQ11" s="20">
        <f>N11</f>
        <v>0</v>
      </c>
      <c r="AR11" s="20">
        <f>Q11</f>
        <v>0</v>
      </c>
      <c r="AS11" s="20">
        <f>T11</f>
        <v>0</v>
      </c>
      <c r="AT11" s="20">
        <f>W11</f>
        <v>0</v>
      </c>
      <c r="AU11" s="20">
        <f>Z11</f>
        <v>0</v>
      </c>
      <c r="AV11" s="20">
        <f>AC11</f>
        <v>0</v>
      </c>
      <c r="AW11" s="20">
        <f>AF11</f>
        <v>0</v>
      </c>
      <c r="AX11" s="20">
        <f>AI11</f>
        <v>0</v>
      </c>
      <c r="AY11" s="20">
        <f>AL11</f>
        <v>0</v>
      </c>
      <c r="BA11" s="20">
        <f>N11</f>
        <v>0</v>
      </c>
      <c r="BB11" s="20">
        <f>Z11</f>
        <v>0</v>
      </c>
      <c r="BC11" s="20">
        <f>AL11</f>
        <v>0</v>
      </c>
    </row>
    <row r="12" spans="1:55">
      <c r="A12" s="31" t="s">
        <v>367</v>
      </c>
      <c r="B12" s="16"/>
      <c r="C12" s="32">
        <f>C8+C9+C10+C11</f>
        <v>0</v>
      </c>
      <c r="D12" s="32">
        <f>D8+D9+D10+D11</f>
        <v>0</v>
      </c>
      <c r="E12" s="32">
        <f>E8+E9+E10+E11</f>
        <v>0</v>
      </c>
      <c r="F12" s="32">
        <f>F8+F9+F10+F11</f>
        <v>0</v>
      </c>
      <c r="G12" s="32">
        <f>G8+G9+G10+G11</f>
        <v>0</v>
      </c>
      <c r="H12" s="32">
        <f>H8+H9+H10+H11</f>
        <v>0</v>
      </c>
      <c r="I12" s="32">
        <f>I8+I9+I10+I11</f>
        <v>0</v>
      </c>
      <c r="J12" s="32">
        <f>J8+J9+J10+J11</f>
        <v>0</v>
      </c>
      <c r="K12" s="32">
        <f>K8+K9+K10+K11</f>
        <v>0</v>
      </c>
      <c r="L12" s="32">
        <f>L8+L9+L10+L11</f>
        <v>0</v>
      </c>
      <c r="M12" s="32">
        <f>M8+M9+M10+M11</f>
        <v>0</v>
      </c>
      <c r="N12" s="32">
        <f>N8+N9+N10+N11</f>
        <v>0</v>
      </c>
      <c r="O12" s="32">
        <f>O8+O9+O10+O11</f>
        <v>0</v>
      </c>
      <c r="P12" s="32">
        <f>P8+P9+P10+P11</f>
        <v>0</v>
      </c>
      <c r="Q12" s="32">
        <f>Q8+Q9+Q10+Q11</f>
        <v>0</v>
      </c>
      <c r="R12" s="32">
        <f>R8+R9+R10+R11</f>
        <v>0</v>
      </c>
      <c r="S12" s="32">
        <f>S8+S9+S10+S11</f>
        <v>0</v>
      </c>
      <c r="T12" s="32">
        <f>T8+T9+T10+T11</f>
        <v>0</v>
      </c>
      <c r="U12" s="32">
        <f>U8+U9+U10+U11</f>
        <v>0</v>
      </c>
      <c r="V12" s="32">
        <f>V8+V9+V10+V11</f>
        <v>0</v>
      </c>
      <c r="W12" s="32">
        <f>W8+W9+W10+W11</f>
        <v>0</v>
      </c>
      <c r="X12" s="32">
        <f>X8+X9+X10+X11</f>
        <v>0</v>
      </c>
      <c r="Y12" s="32">
        <f>Y8+Y9+Y10+Y11</f>
        <v>0</v>
      </c>
      <c r="Z12" s="32">
        <f>Z8+Z9+Z10+Z11</f>
        <v>0</v>
      </c>
      <c r="AA12" s="32">
        <f>AA8+AA9+AA10+AA11</f>
        <v>0</v>
      </c>
      <c r="AB12" s="32">
        <f>AB8+AB9+AB10+AB11</f>
        <v>0</v>
      </c>
      <c r="AC12" s="32">
        <f>AC8+AC9+AC10+AC11</f>
        <v>0</v>
      </c>
      <c r="AD12" s="32">
        <f>AD8+AD9+AD10+AD11</f>
        <v>0</v>
      </c>
      <c r="AE12" s="32">
        <f>AE8+AE9+AE10+AE11</f>
        <v>0</v>
      </c>
      <c r="AF12" s="32">
        <f>AF8+AF9+AF10+AF11</f>
        <v>0</v>
      </c>
      <c r="AG12" s="32">
        <f>AG8+AG9+AG10+AG11</f>
        <v>0</v>
      </c>
      <c r="AH12" s="32">
        <f>AH8+AH9+AH10+AH11</f>
        <v>0</v>
      </c>
      <c r="AI12" s="32">
        <f>AI8+AI9+AI10+AI11</f>
        <v>0</v>
      </c>
      <c r="AJ12" s="32">
        <f>AJ8+AJ9+AJ10+AJ11</f>
        <v>0</v>
      </c>
      <c r="AK12" s="32">
        <f>AK8+AK9+AK10+AK11</f>
        <v>0</v>
      </c>
      <c r="AL12" s="32">
        <f>AL8+AL9+AL10+AL11</f>
        <v>0</v>
      </c>
      <c r="AN12" s="32">
        <f>E12</f>
        <v>0</v>
      </c>
      <c r="AO12" s="32">
        <f>H12</f>
        <v>0</v>
      </c>
      <c r="AP12" s="32">
        <f>K12</f>
        <v>0</v>
      </c>
      <c r="AQ12" s="32">
        <f>N12</f>
        <v>0</v>
      </c>
      <c r="AR12" s="32">
        <f>Q12</f>
        <v>0</v>
      </c>
      <c r="AS12" s="32">
        <f>T12</f>
        <v>0</v>
      </c>
      <c r="AT12" s="32">
        <f>W12</f>
        <v>0</v>
      </c>
      <c r="AU12" s="32">
        <f>Z12</f>
        <v>0</v>
      </c>
      <c r="AV12" s="32">
        <f>AC12</f>
        <v>0</v>
      </c>
      <c r="AW12" s="32">
        <f>AF12</f>
        <v>0</v>
      </c>
      <c r="AX12" s="32">
        <f>AI12</f>
        <v>0</v>
      </c>
      <c r="AY12" s="32">
        <f>AL12</f>
        <v>0</v>
      </c>
      <c r="BA12" s="32">
        <f>N12</f>
        <v>0</v>
      </c>
      <c r="BB12" s="32">
        <f>Z12</f>
        <v>0</v>
      </c>
      <c r="BC12" s="32">
        <f>AL12</f>
        <v>0</v>
      </c>
    </row>
    <row r="13" spans="1:55" ht="5" customHeight="1"/>
    <row r="14" spans="1:55" ht="16" customHeight="1">
      <c r="A14" s="14" t="s">
        <v>368</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row>
    <row r="15" spans="1:55">
      <c r="A15" s="18" t="s">
        <v>369</v>
      </c>
      <c r="B15" s="16"/>
      <c r="C15" s="20">
        <f>'Working Capital'!$C$9</f>
        <v>0</v>
      </c>
      <c r="D15" s="20">
        <f>'Working Capital'!$D$9</f>
        <v>0</v>
      </c>
      <c r="E15" s="20">
        <f>'Working Capital'!$E$9</f>
        <v>0</v>
      </c>
      <c r="F15" s="20">
        <f>'Working Capital'!$F$9</f>
        <v>0</v>
      </c>
      <c r="G15" s="20">
        <f>'Working Capital'!$G$9</f>
        <v>0</v>
      </c>
      <c r="H15" s="20">
        <f>'Working Capital'!$H$9</f>
        <v>0</v>
      </c>
      <c r="I15" s="20">
        <f>'Working Capital'!$I$9</f>
        <v>0</v>
      </c>
      <c r="J15" s="20">
        <f>'Working Capital'!$J$9</f>
        <v>0</v>
      </c>
      <c r="K15" s="20">
        <f>'Working Capital'!$K$9</f>
        <v>0</v>
      </c>
      <c r="L15" s="20">
        <f>'Working Capital'!$L$9</f>
        <v>0</v>
      </c>
      <c r="M15" s="20">
        <f>'Working Capital'!$M$9</f>
        <v>0</v>
      </c>
      <c r="N15" s="20">
        <f>'Working Capital'!$N$9</f>
        <v>0</v>
      </c>
      <c r="O15" s="20">
        <f>'Working Capital'!$O$9</f>
        <v>0</v>
      </c>
      <c r="P15" s="20">
        <f>'Working Capital'!$P$9</f>
        <v>0</v>
      </c>
      <c r="Q15" s="20">
        <f>'Working Capital'!$Q$9</f>
        <v>0</v>
      </c>
      <c r="R15" s="20">
        <f>'Working Capital'!$R$9</f>
        <v>0</v>
      </c>
      <c r="S15" s="20">
        <f>'Working Capital'!$S$9</f>
        <v>0</v>
      </c>
      <c r="T15" s="20">
        <f>'Working Capital'!$T$9</f>
        <v>0</v>
      </c>
      <c r="U15" s="20">
        <f>'Working Capital'!$U$9</f>
        <v>0</v>
      </c>
      <c r="V15" s="20">
        <f>'Working Capital'!$V$9</f>
        <v>0</v>
      </c>
      <c r="W15" s="20">
        <f>'Working Capital'!$W$9</f>
        <v>0</v>
      </c>
      <c r="X15" s="20">
        <f>'Working Capital'!$X$9</f>
        <v>0</v>
      </c>
      <c r="Y15" s="20">
        <f>'Working Capital'!$Y$9</f>
        <v>0</v>
      </c>
      <c r="Z15" s="20">
        <f>'Working Capital'!$Z$9</f>
        <v>0</v>
      </c>
      <c r="AA15" s="20">
        <f>'Working Capital'!$AA$9</f>
        <v>0</v>
      </c>
      <c r="AB15" s="20">
        <f>'Working Capital'!$AB$9</f>
        <v>0</v>
      </c>
      <c r="AC15" s="20">
        <f>'Working Capital'!$AC$9</f>
        <v>0</v>
      </c>
      <c r="AD15" s="20">
        <f>'Working Capital'!$AD$9</f>
        <v>0</v>
      </c>
      <c r="AE15" s="20">
        <f>'Working Capital'!$AE$9</f>
        <v>0</v>
      </c>
      <c r="AF15" s="20">
        <f>'Working Capital'!$AF$9</f>
        <v>0</v>
      </c>
      <c r="AG15" s="20">
        <f>'Working Capital'!$AG$9</f>
        <v>0</v>
      </c>
      <c r="AH15" s="20">
        <f>'Working Capital'!$AH$9</f>
        <v>0</v>
      </c>
      <c r="AI15" s="20">
        <f>'Working Capital'!$AI$9</f>
        <v>0</v>
      </c>
      <c r="AJ15" s="20">
        <f>'Working Capital'!$AJ$9</f>
        <v>0</v>
      </c>
      <c r="AK15" s="20">
        <f>'Working Capital'!$AK$9</f>
        <v>0</v>
      </c>
      <c r="AL15" s="20">
        <f>'Working Capital'!$AL$9</f>
        <v>0</v>
      </c>
      <c r="AN15" s="20">
        <f>E15</f>
        <v>0</v>
      </c>
      <c r="AO15" s="20">
        <f>H15</f>
        <v>0</v>
      </c>
      <c r="AP15" s="20">
        <f>K15</f>
        <v>0</v>
      </c>
      <c r="AQ15" s="20">
        <f>N15</f>
        <v>0</v>
      </c>
      <c r="AR15" s="20">
        <f>Q15</f>
        <v>0</v>
      </c>
      <c r="AS15" s="20">
        <f>T15</f>
        <v>0</v>
      </c>
      <c r="AT15" s="20">
        <f>W15</f>
        <v>0</v>
      </c>
      <c r="AU15" s="20">
        <f>Z15</f>
        <v>0</v>
      </c>
      <c r="AV15" s="20">
        <f>AC15</f>
        <v>0</v>
      </c>
      <c r="AW15" s="20">
        <f>AF15</f>
        <v>0</v>
      </c>
      <c r="AX15" s="20">
        <f>AI15</f>
        <v>0</v>
      </c>
      <c r="AY15" s="20">
        <f>AL15</f>
        <v>0</v>
      </c>
      <c r="BA15" s="20">
        <f>N15</f>
        <v>0</v>
      </c>
      <c r="BB15" s="20">
        <f>Z15</f>
        <v>0</v>
      </c>
      <c r="BC15" s="20">
        <f>AL15</f>
        <v>0</v>
      </c>
    </row>
    <row r="16" spans="1:55">
      <c r="A16" s="18" t="s">
        <v>370</v>
      </c>
      <c r="B16" s="16"/>
      <c r="C16" s="20">
        <f>'Working Capital'!$C$10</f>
        <v>0</v>
      </c>
      <c r="D16" s="20">
        <f>'Working Capital'!$D$10</f>
        <v>0</v>
      </c>
      <c r="E16" s="20">
        <f>'Working Capital'!$E$10</f>
        <v>0</v>
      </c>
      <c r="F16" s="20">
        <f>'Working Capital'!$F$10</f>
        <v>0</v>
      </c>
      <c r="G16" s="20">
        <f>'Working Capital'!$G$10</f>
        <v>0</v>
      </c>
      <c r="H16" s="20">
        <f>'Working Capital'!$H$10</f>
        <v>0</v>
      </c>
      <c r="I16" s="20">
        <f>'Working Capital'!$I$10</f>
        <v>0</v>
      </c>
      <c r="J16" s="20">
        <f>'Working Capital'!$J$10</f>
        <v>0</v>
      </c>
      <c r="K16" s="20">
        <f>'Working Capital'!$K$10</f>
        <v>0</v>
      </c>
      <c r="L16" s="20">
        <f>'Working Capital'!$L$10</f>
        <v>0</v>
      </c>
      <c r="M16" s="20">
        <f>'Working Capital'!$M$10</f>
        <v>0</v>
      </c>
      <c r="N16" s="20">
        <f>'Working Capital'!$N$10</f>
        <v>0</v>
      </c>
      <c r="O16" s="20">
        <f>'Working Capital'!$O$10</f>
        <v>0</v>
      </c>
      <c r="P16" s="20">
        <f>'Working Capital'!$P$10</f>
        <v>0</v>
      </c>
      <c r="Q16" s="20">
        <f>'Working Capital'!$Q$10</f>
        <v>0</v>
      </c>
      <c r="R16" s="20">
        <f>'Working Capital'!$R$10</f>
        <v>0</v>
      </c>
      <c r="S16" s="20">
        <f>'Working Capital'!$S$10</f>
        <v>0</v>
      </c>
      <c r="T16" s="20">
        <f>'Working Capital'!$T$10</f>
        <v>0</v>
      </c>
      <c r="U16" s="20">
        <f>'Working Capital'!$U$10</f>
        <v>0</v>
      </c>
      <c r="V16" s="20">
        <f>'Working Capital'!$V$10</f>
        <v>0</v>
      </c>
      <c r="W16" s="20">
        <f>'Working Capital'!$W$10</f>
        <v>0</v>
      </c>
      <c r="X16" s="20">
        <f>'Working Capital'!$X$10</f>
        <v>0</v>
      </c>
      <c r="Y16" s="20">
        <f>'Working Capital'!$Y$10</f>
        <v>0</v>
      </c>
      <c r="Z16" s="20">
        <f>'Working Capital'!$Z$10</f>
        <v>0</v>
      </c>
      <c r="AA16" s="20">
        <f>'Working Capital'!$AA$10</f>
        <v>0</v>
      </c>
      <c r="AB16" s="20">
        <f>'Working Capital'!$AB$10</f>
        <v>0</v>
      </c>
      <c r="AC16" s="20">
        <f>'Working Capital'!$AC$10</f>
        <v>0</v>
      </c>
      <c r="AD16" s="20">
        <f>'Working Capital'!$AD$10</f>
        <v>0</v>
      </c>
      <c r="AE16" s="20">
        <f>'Working Capital'!$AE$10</f>
        <v>0</v>
      </c>
      <c r="AF16" s="20">
        <f>'Working Capital'!$AF$10</f>
        <v>0</v>
      </c>
      <c r="AG16" s="20">
        <f>'Working Capital'!$AG$10</f>
        <v>0</v>
      </c>
      <c r="AH16" s="20">
        <f>'Working Capital'!$AH$10</f>
        <v>0</v>
      </c>
      <c r="AI16" s="20">
        <f>'Working Capital'!$AI$10</f>
        <v>0</v>
      </c>
      <c r="AJ16" s="20">
        <f>'Working Capital'!$AJ$10</f>
        <v>0</v>
      </c>
      <c r="AK16" s="20">
        <f>'Working Capital'!$AK$10</f>
        <v>0</v>
      </c>
      <c r="AL16" s="20">
        <f>'Working Capital'!$AL$10</f>
        <v>0</v>
      </c>
      <c r="AN16" s="20">
        <f>E16</f>
        <v>0</v>
      </c>
      <c r="AO16" s="20">
        <f>H16</f>
        <v>0</v>
      </c>
      <c r="AP16" s="20">
        <f>K16</f>
        <v>0</v>
      </c>
      <c r="AQ16" s="20">
        <f>N16</f>
        <v>0</v>
      </c>
      <c r="AR16" s="20">
        <f>Q16</f>
        <v>0</v>
      </c>
      <c r="AS16" s="20">
        <f>T16</f>
        <v>0</v>
      </c>
      <c r="AT16" s="20">
        <f>W16</f>
        <v>0</v>
      </c>
      <c r="AU16" s="20">
        <f>Z16</f>
        <v>0</v>
      </c>
      <c r="AV16" s="20">
        <f>AC16</f>
        <v>0</v>
      </c>
      <c r="AW16" s="20">
        <f>AF16</f>
        <v>0</v>
      </c>
      <c r="AX16" s="20">
        <f>AI16</f>
        <v>0</v>
      </c>
      <c r="AY16" s="20">
        <f>AL16</f>
        <v>0</v>
      </c>
      <c r="BA16" s="20">
        <f>N16</f>
        <v>0</v>
      </c>
      <c r="BB16" s="20">
        <f>Z16</f>
        <v>0</v>
      </c>
      <c r="BC16" s="20">
        <f>AL16</f>
        <v>0</v>
      </c>
    </row>
    <row r="17" spans="1:55">
      <c r="A17" s="18" t="s">
        <v>371</v>
      </c>
      <c r="B17" s="16"/>
      <c r="C17" s="20">
        <f>'Working Capital'!$C$25</f>
        <v>0</v>
      </c>
      <c r="D17" s="20">
        <f>'Working Capital'!$D$25</f>
        <v>0</v>
      </c>
      <c r="E17" s="20">
        <f>'Working Capital'!$E$25</f>
        <v>0</v>
      </c>
      <c r="F17" s="20">
        <f>'Working Capital'!$F$25</f>
        <v>0</v>
      </c>
      <c r="G17" s="20">
        <f>'Working Capital'!$G$25</f>
        <v>0</v>
      </c>
      <c r="H17" s="20">
        <f>'Working Capital'!$H$25</f>
        <v>0</v>
      </c>
      <c r="I17" s="20">
        <f>'Working Capital'!$I$25</f>
        <v>0</v>
      </c>
      <c r="J17" s="20">
        <f>'Working Capital'!$J$25</f>
        <v>0</v>
      </c>
      <c r="K17" s="20">
        <f>'Working Capital'!$K$25</f>
        <v>0</v>
      </c>
      <c r="L17" s="20">
        <f>'Working Capital'!$L$25</f>
        <v>0</v>
      </c>
      <c r="M17" s="20">
        <f>'Working Capital'!$M$25</f>
        <v>0</v>
      </c>
      <c r="N17" s="20">
        <f>'Working Capital'!$N$25</f>
        <v>0</v>
      </c>
      <c r="O17" s="20">
        <f>'Working Capital'!$O$25</f>
        <v>0</v>
      </c>
      <c r="P17" s="20">
        <f>'Working Capital'!$P$25</f>
        <v>0</v>
      </c>
      <c r="Q17" s="20">
        <f>'Working Capital'!$Q$25</f>
        <v>0</v>
      </c>
      <c r="R17" s="20">
        <f>'Working Capital'!$R$25</f>
        <v>0</v>
      </c>
      <c r="S17" s="20">
        <f>'Working Capital'!$S$25</f>
        <v>0</v>
      </c>
      <c r="T17" s="20">
        <f>'Working Capital'!$T$25</f>
        <v>0</v>
      </c>
      <c r="U17" s="20">
        <f>'Working Capital'!$U$25</f>
        <v>0</v>
      </c>
      <c r="V17" s="20">
        <f>'Working Capital'!$V$25</f>
        <v>0</v>
      </c>
      <c r="W17" s="20">
        <f>'Working Capital'!$W$25</f>
        <v>0</v>
      </c>
      <c r="X17" s="20">
        <f>'Working Capital'!$X$25</f>
        <v>0</v>
      </c>
      <c r="Y17" s="20">
        <f>'Working Capital'!$Y$25</f>
        <v>0</v>
      </c>
      <c r="Z17" s="20">
        <f>'Working Capital'!$Z$25</f>
        <v>0</v>
      </c>
      <c r="AA17" s="20">
        <f>'Working Capital'!$AA$25</f>
        <v>0</v>
      </c>
      <c r="AB17" s="20">
        <f>'Working Capital'!$AB$25</f>
        <v>0</v>
      </c>
      <c r="AC17" s="20">
        <f>'Working Capital'!$AC$25</f>
        <v>0</v>
      </c>
      <c r="AD17" s="20">
        <f>'Working Capital'!$AD$25</f>
        <v>0</v>
      </c>
      <c r="AE17" s="20">
        <f>'Working Capital'!$AE$25</f>
        <v>0</v>
      </c>
      <c r="AF17" s="20">
        <f>'Working Capital'!$AF$25</f>
        <v>0</v>
      </c>
      <c r="AG17" s="20">
        <f>'Working Capital'!$AG$25</f>
        <v>0</v>
      </c>
      <c r="AH17" s="20">
        <f>'Working Capital'!$AH$25</f>
        <v>0</v>
      </c>
      <c r="AI17" s="20">
        <f>'Working Capital'!$AI$25</f>
        <v>0</v>
      </c>
      <c r="AJ17" s="20">
        <f>'Working Capital'!$AJ$25</f>
        <v>0</v>
      </c>
      <c r="AK17" s="20">
        <f>'Working Capital'!$AK$25</f>
        <v>0</v>
      </c>
      <c r="AL17" s="20">
        <f>'Working Capital'!$AL$25</f>
        <v>0</v>
      </c>
      <c r="AN17" s="20">
        <f>E17</f>
        <v>0</v>
      </c>
      <c r="AO17" s="20">
        <f>H17</f>
        <v>0</v>
      </c>
      <c r="AP17" s="20">
        <f>K17</f>
        <v>0</v>
      </c>
      <c r="AQ17" s="20">
        <f>N17</f>
        <v>0</v>
      </c>
      <c r="AR17" s="20">
        <f>Q17</f>
        <v>0</v>
      </c>
      <c r="AS17" s="20">
        <f>T17</f>
        <v>0</v>
      </c>
      <c r="AT17" s="20">
        <f>W17</f>
        <v>0</v>
      </c>
      <c r="AU17" s="20">
        <f>Z17</f>
        <v>0</v>
      </c>
      <c r="AV17" s="20">
        <f>AC17</f>
        <v>0</v>
      </c>
      <c r="AW17" s="20">
        <f>AF17</f>
        <v>0</v>
      </c>
      <c r="AX17" s="20">
        <f>AI17</f>
        <v>0</v>
      </c>
      <c r="AY17" s="20">
        <f>AL17</f>
        <v>0</v>
      </c>
      <c r="BA17" s="20">
        <f>N17</f>
        <v>0</v>
      </c>
      <c r="BB17" s="20">
        <f>Z17</f>
        <v>0</v>
      </c>
      <c r="BC17" s="20">
        <f>AL17</f>
        <v>0</v>
      </c>
    </row>
    <row r="18" spans="1:55">
      <c r="A18" s="28" t="s">
        <v>372</v>
      </c>
      <c r="B18" s="16"/>
      <c r="C18" s="29">
        <f>C15+C16+C17</f>
        <v>0</v>
      </c>
      <c r="D18" s="29">
        <f>D15+D16+D17</f>
        <v>0</v>
      </c>
      <c r="E18" s="29">
        <f>E15+E16+E17</f>
        <v>0</v>
      </c>
      <c r="F18" s="29">
        <f>F15+F16+F17</f>
        <v>0</v>
      </c>
      <c r="G18" s="29">
        <f>G15+G16+G17</f>
        <v>0</v>
      </c>
      <c r="H18" s="29">
        <f>H15+H16+H17</f>
        <v>0</v>
      </c>
      <c r="I18" s="29">
        <f>I15+I16+I17</f>
        <v>0</v>
      </c>
      <c r="J18" s="29">
        <f>J15+J16+J17</f>
        <v>0</v>
      </c>
      <c r="K18" s="29">
        <f>K15+K16+K17</f>
        <v>0</v>
      </c>
      <c r="L18" s="29">
        <f>L15+L16+L17</f>
        <v>0</v>
      </c>
      <c r="M18" s="29">
        <f>M15+M16+M17</f>
        <v>0</v>
      </c>
      <c r="N18" s="29">
        <f>N15+N16+N17</f>
        <v>0</v>
      </c>
      <c r="O18" s="29">
        <f>O15+O16+O17</f>
        <v>0</v>
      </c>
      <c r="P18" s="29">
        <f>P15+P16+P17</f>
        <v>0</v>
      </c>
      <c r="Q18" s="29">
        <f>Q15+Q16+Q17</f>
        <v>0</v>
      </c>
      <c r="R18" s="29">
        <f>R15+R16+R17</f>
        <v>0</v>
      </c>
      <c r="S18" s="29">
        <f>S15+S16+S17</f>
        <v>0</v>
      </c>
      <c r="T18" s="29">
        <f>T15+T16+T17</f>
        <v>0</v>
      </c>
      <c r="U18" s="29">
        <f>U15+U16+U17</f>
        <v>0</v>
      </c>
      <c r="V18" s="29">
        <f>V15+V16+V17</f>
        <v>0</v>
      </c>
      <c r="W18" s="29">
        <f>W15+W16+W17</f>
        <v>0</v>
      </c>
      <c r="X18" s="29">
        <f>X15+X16+X17</f>
        <v>0</v>
      </c>
      <c r="Y18" s="29">
        <f>Y15+Y16+Y17</f>
        <v>0</v>
      </c>
      <c r="Z18" s="29">
        <f>Z15+Z16+Z17</f>
        <v>0</v>
      </c>
      <c r="AA18" s="29">
        <f>AA15+AA16+AA17</f>
        <v>0</v>
      </c>
      <c r="AB18" s="29">
        <f>AB15+AB16+AB17</f>
        <v>0</v>
      </c>
      <c r="AC18" s="29">
        <f>AC15+AC16+AC17</f>
        <v>0</v>
      </c>
      <c r="AD18" s="29">
        <f>AD15+AD16+AD17</f>
        <v>0</v>
      </c>
      <c r="AE18" s="29">
        <f>AE15+AE16+AE17</f>
        <v>0</v>
      </c>
      <c r="AF18" s="29">
        <f>AF15+AF16+AF17</f>
        <v>0</v>
      </c>
      <c r="AG18" s="29">
        <f>AG15+AG16+AG17</f>
        <v>0</v>
      </c>
      <c r="AH18" s="29">
        <f>AH15+AH16+AH17</f>
        <v>0</v>
      </c>
      <c r="AI18" s="29">
        <f>AI15+AI16+AI17</f>
        <v>0</v>
      </c>
      <c r="AJ18" s="29">
        <f>AJ15+AJ16+AJ17</f>
        <v>0</v>
      </c>
      <c r="AK18" s="29">
        <f>AK15+AK16+AK17</f>
        <v>0</v>
      </c>
      <c r="AL18" s="29">
        <f>AL15+AL16+AL17</f>
        <v>0</v>
      </c>
      <c r="AN18" s="29">
        <f>E18</f>
        <v>0</v>
      </c>
      <c r="AO18" s="29">
        <f>H18</f>
        <v>0</v>
      </c>
      <c r="AP18" s="29">
        <f>K18</f>
        <v>0</v>
      </c>
      <c r="AQ18" s="29">
        <f>N18</f>
        <v>0</v>
      </c>
      <c r="AR18" s="29">
        <f>Q18</f>
        <v>0</v>
      </c>
      <c r="AS18" s="29">
        <f>T18</f>
        <v>0</v>
      </c>
      <c r="AT18" s="29">
        <f>W18</f>
        <v>0</v>
      </c>
      <c r="AU18" s="29">
        <f>Z18</f>
        <v>0</v>
      </c>
      <c r="AV18" s="29">
        <f>AC18</f>
        <v>0</v>
      </c>
      <c r="AW18" s="29">
        <f>AF18</f>
        <v>0</v>
      </c>
      <c r="AX18" s="29">
        <f>AI18</f>
        <v>0</v>
      </c>
      <c r="AY18" s="29">
        <f>AL18</f>
        <v>0</v>
      </c>
      <c r="BA18" s="29">
        <f>N18</f>
        <v>0</v>
      </c>
      <c r="BB18" s="29">
        <f>Z18</f>
        <v>0</v>
      </c>
      <c r="BC18" s="29">
        <f>AL18</f>
        <v>0</v>
      </c>
    </row>
    <row r="19" spans="1:55" ht="5" customHeight="1"/>
    <row r="20" spans="1:55" ht="16" customHeight="1">
      <c r="A20" s="14" t="s">
        <v>373</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row>
    <row r="21" spans="1:55">
      <c r="A21" s="18" t="s">
        <v>374</v>
      </c>
      <c r="B21" s="16" t="s">
        <v>375</v>
      </c>
      <c r="C21" s="20">
        <f>'Assumptions'!$F$9+'Working Capital'!C30</f>
        <v>0</v>
      </c>
      <c r="D21" s="20">
        <f>'Assumptions'!$F$9+'Working Capital'!D30</f>
        <v>0</v>
      </c>
      <c r="E21" s="20">
        <f>'Assumptions'!$F$9+'Working Capital'!E30</f>
        <v>0</v>
      </c>
      <c r="F21" s="20">
        <f>'Assumptions'!$F$9+'Working Capital'!F30</f>
        <v>0</v>
      </c>
      <c r="G21" s="20">
        <f>'Assumptions'!$F$9+'Working Capital'!G30</f>
        <v>0</v>
      </c>
      <c r="H21" s="20">
        <f>'Assumptions'!$F$9+'Working Capital'!H30</f>
        <v>0</v>
      </c>
      <c r="I21" s="20">
        <f>'Assumptions'!$F$9+'Working Capital'!I30</f>
        <v>0</v>
      </c>
      <c r="J21" s="20">
        <f>'Assumptions'!$F$9+'Working Capital'!J30</f>
        <v>0</v>
      </c>
      <c r="K21" s="20">
        <f>'Assumptions'!$F$9+'Working Capital'!K30</f>
        <v>0</v>
      </c>
      <c r="L21" s="20">
        <f>'Assumptions'!$F$9+'Working Capital'!L30</f>
        <v>0</v>
      </c>
      <c r="M21" s="20">
        <f>'Assumptions'!$F$9+'Working Capital'!M30</f>
        <v>0</v>
      </c>
      <c r="N21" s="20">
        <f>'Assumptions'!$F$9+'Working Capital'!N30</f>
        <v>0</v>
      </c>
      <c r="O21" s="20">
        <f>'Assumptions'!$F$9+'Working Capital'!O30</f>
        <v>0</v>
      </c>
      <c r="P21" s="20">
        <f>'Assumptions'!$F$9+'Working Capital'!P30</f>
        <v>0</v>
      </c>
      <c r="Q21" s="20">
        <f>'Assumptions'!$F$9+'Working Capital'!Q30</f>
        <v>0</v>
      </c>
      <c r="R21" s="20">
        <f>'Assumptions'!$F$9+'Working Capital'!R30</f>
        <v>0</v>
      </c>
      <c r="S21" s="20">
        <f>'Assumptions'!$F$9+'Working Capital'!S30</f>
        <v>0</v>
      </c>
      <c r="T21" s="20">
        <f>'Assumptions'!$F$9+'Working Capital'!T30</f>
        <v>0</v>
      </c>
      <c r="U21" s="20">
        <f>'Assumptions'!$F$9+'Working Capital'!U30</f>
        <v>0</v>
      </c>
      <c r="V21" s="20">
        <f>'Assumptions'!$F$9+'Working Capital'!V30</f>
        <v>0</v>
      </c>
      <c r="W21" s="20">
        <f>'Assumptions'!$F$9+'Working Capital'!W30</f>
        <v>0</v>
      </c>
      <c r="X21" s="20">
        <f>'Assumptions'!$F$9+'Working Capital'!X30</f>
        <v>0</v>
      </c>
      <c r="Y21" s="20">
        <f>'Assumptions'!$F$9+'Working Capital'!Y30</f>
        <v>0</v>
      </c>
      <c r="Z21" s="20">
        <f>'Assumptions'!$F$9+'Working Capital'!Z30</f>
        <v>0</v>
      </c>
      <c r="AA21" s="20">
        <f>'Assumptions'!$F$9+'Working Capital'!AA30</f>
        <v>0</v>
      </c>
      <c r="AB21" s="20">
        <f>'Assumptions'!$F$9+'Working Capital'!AB30</f>
        <v>0</v>
      </c>
      <c r="AC21" s="20">
        <f>'Assumptions'!$F$9+'Working Capital'!AC30</f>
        <v>0</v>
      </c>
      <c r="AD21" s="20">
        <f>'Assumptions'!$F$9+'Working Capital'!AD30</f>
        <v>0</v>
      </c>
      <c r="AE21" s="20">
        <f>'Assumptions'!$F$9+'Working Capital'!AE30</f>
        <v>0</v>
      </c>
      <c r="AF21" s="20">
        <f>'Assumptions'!$F$9+'Working Capital'!AF30</f>
        <v>0</v>
      </c>
      <c r="AG21" s="20">
        <f>'Assumptions'!$F$9+'Working Capital'!AG30</f>
        <v>0</v>
      </c>
      <c r="AH21" s="20">
        <f>'Assumptions'!$F$9+'Working Capital'!AH30</f>
        <v>0</v>
      </c>
      <c r="AI21" s="20">
        <f>'Assumptions'!$F$9+'Working Capital'!AI30</f>
        <v>0</v>
      </c>
      <c r="AJ21" s="20">
        <f>'Assumptions'!$F$9+'Working Capital'!AJ30</f>
        <v>0</v>
      </c>
      <c r="AK21" s="20">
        <f>'Assumptions'!$F$9+'Working Capital'!AK30</f>
        <v>0</v>
      </c>
      <c r="AL21" s="20">
        <f>'Assumptions'!$F$9+'Working Capital'!AL30</f>
        <v>0</v>
      </c>
      <c r="AN21" s="20">
        <f>E21</f>
        <v>0</v>
      </c>
      <c r="AO21" s="20">
        <f>H21</f>
        <v>0</v>
      </c>
      <c r="AP21" s="20">
        <f>K21</f>
        <v>0</v>
      </c>
      <c r="AQ21" s="20">
        <f>N21</f>
        <v>0</v>
      </c>
      <c r="AR21" s="20">
        <f>Q21</f>
        <v>0</v>
      </c>
      <c r="AS21" s="20">
        <f>T21</f>
        <v>0</v>
      </c>
      <c r="AT21" s="20">
        <f>W21</f>
        <v>0</v>
      </c>
      <c r="AU21" s="20">
        <f>Z21</f>
        <v>0</v>
      </c>
      <c r="AV21" s="20">
        <f>AC21</f>
        <v>0</v>
      </c>
      <c r="AW21" s="20">
        <f>AF21</f>
        <v>0</v>
      </c>
      <c r="AX21" s="20">
        <f>AI21</f>
        <v>0</v>
      </c>
      <c r="AY21" s="20">
        <f>AL21</f>
        <v>0</v>
      </c>
      <c r="BA21" s="20">
        <f>N21</f>
        <v>0</v>
      </c>
      <c r="BB21" s="20">
        <f>Z21</f>
        <v>0</v>
      </c>
      <c r="BC21" s="20">
        <f>AL21</f>
        <v>0</v>
      </c>
    </row>
    <row r="22" spans="1:55">
      <c r="A22" s="18" t="s">
        <v>376</v>
      </c>
      <c r="B22" s="16" t="s">
        <v>377</v>
      </c>
      <c r="C22" s="20">
        <f>('Assumptions'!$F$8-'Assumptions'!$F$9)+'P&amp;L'!C23</f>
        <v>0</v>
      </c>
      <c r="D22" s="20">
        <f>C22+'P&amp;L'!D23</f>
        <v>0</v>
      </c>
      <c r="E22" s="20">
        <f>D22+'P&amp;L'!E23</f>
        <v>0</v>
      </c>
      <c r="F22" s="20">
        <f>E22+'P&amp;L'!F23</f>
        <v>0</v>
      </c>
      <c r="G22" s="20">
        <f>F22+'P&amp;L'!G23</f>
        <v>0</v>
      </c>
      <c r="H22" s="20">
        <f>G22+'P&amp;L'!H23</f>
        <v>0</v>
      </c>
      <c r="I22" s="20">
        <f>H22+'P&amp;L'!I23</f>
        <v>0</v>
      </c>
      <c r="J22" s="20">
        <f>I22+'P&amp;L'!J23</f>
        <v>0</v>
      </c>
      <c r="K22" s="20">
        <f>J22+'P&amp;L'!K23</f>
        <v>0</v>
      </c>
      <c r="L22" s="20">
        <f>K22+'P&amp;L'!L23</f>
        <v>0</v>
      </c>
      <c r="M22" s="20">
        <f>L22+'P&amp;L'!M23</f>
        <v>0</v>
      </c>
      <c r="N22" s="20">
        <f>M22+'P&amp;L'!N23</f>
        <v>0</v>
      </c>
      <c r="O22" s="20">
        <f>N22+'P&amp;L'!O23</f>
        <v>0</v>
      </c>
      <c r="P22" s="20">
        <f>O22+'P&amp;L'!P23</f>
        <v>0</v>
      </c>
      <c r="Q22" s="20">
        <f>P22+'P&amp;L'!Q23</f>
        <v>0</v>
      </c>
      <c r="R22" s="20">
        <f>Q22+'P&amp;L'!R23</f>
        <v>0</v>
      </c>
      <c r="S22" s="20">
        <f>R22+'P&amp;L'!S23</f>
        <v>0</v>
      </c>
      <c r="T22" s="20">
        <f>S22+'P&amp;L'!T23</f>
        <v>0</v>
      </c>
      <c r="U22" s="20">
        <f>T22+'P&amp;L'!U23</f>
        <v>0</v>
      </c>
      <c r="V22" s="20">
        <f>U22+'P&amp;L'!V23</f>
        <v>0</v>
      </c>
      <c r="W22" s="20">
        <f>V22+'P&amp;L'!W23</f>
        <v>0</v>
      </c>
      <c r="X22" s="20">
        <f>W22+'P&amp;L'!X23</f>
        <v>0</v>
      </c>
      <c r="Y22" s="20">
        <f>X22+'P&amp;L'!Y23</f>
        <v>0</v>
      </c>
      <c r="Z22" s="20">
        <f>Y22+'P&amp;L'!Z23</f>
        <v>0</v>
      </c>
      <c r="AA22" s="20">
        <f>Z22+'P&amp;L'!AA23</f>
        <v>0</v>
      </c>
      <c r="AB22" s="20">
        <f>AA22+'P&amp;L'!AB23</f>
        <v>0</v>
      </c>
      <c r="AC22" s="20">
        <f>AB22+'P&amp;L'!AC23</f>
        <v>0</v>
      </c>
      <c r="AD22" s="20">
        <f>AC22+'P&amp;L'!AD23</f>
        <v>0</v>
      </c>
      <c r="AE22" s="20">
        <f>AD22+'P&amp;L'!AE23</f>
        <v>0</v>
      </c>
      <c r="AF22" s="20">
        <f>AE22+'P&amp;L'!AF23</f>
        <v>0</v>
      </c>
      <c r="AG22" s="20">
        <f>AF22+'P&amp;L'!AG23</f>
        <v>0</v>
      </c>
      <c r="AH22" s="20">
        <f>AG22+'P&amp;L'!AH23</f>
        <v>0</v>
      </c>
      <c r="AI22" s="20">
        <f>AH22+'P&amp;L'!AI23</f>
        <v>0</v>
      </c>
      <c r="AJ22" s="20">
        <f>AI22+'P&amp;L'!AJ23</f>
        <v>0</v>
      </c>
      <c r="AK22" s="20">
        <f>AJ22+'P&amp;L'!AK23</f>
        <v>0</v>
      </c>
      <c r="AL22" s="20">
        <f>AK22+'P&amp;L'!AL23</f>
        <v>0</v>
      </c>
      <c r="AN22" s="20">
        <f>E22</f>
        <v>0</v>
      </c>
      <c r="AO22" s="20">
        <f>H22</f>
        <v>0</v>
      </c>
      <c r="AP22" s="20">
        <f>K22</f>
        <v>0</v>
      </c>
      <c r="AQ22" s="20">
        <f>N22</f>
        <v>0</v>
      </c>
      <c r="AR22" s="20">
        <f>Q22</f>
        <v>0</v>
      </c>
      <c r="AS22" s="20">
        <f>T22</f>
        <v>0</v>
      </c>
      <c r="AT22" s="20">
        <f>W22</f>
        <v>0</v>
      </c>
      <c r="AU22" s="20">
        <f>Z22</f>
        <v>0</v>
      </c>
      <c r="AV22" s="20">
        <f>AC22</f>
        <v>0</v>
      </c>
      <c r="AW22" s="20">
        <f>AF22</f>
        <v>0</v>
      </c>
      <c r="AX22" s="20">
        <f>AI22</f>
        <v>0</v>
      </c>
      <c r="AY22" s="20">
        <f>AL22</f>
        <v>0</v>
      </c>
      <c r="BA22" s="20">
        <f>N22</f>
        <v>0</v>
      </c>
      <c r="BB22" s="20">
        <f>Z22</f>
        <v>0</v>
      </c>
      <c r="BC22" s="20">
        <f>AL22</f>
        <v>0</v>
      </c>
    </row>
    <row r="23" spans="1:55">
      <c r="A23" s="28" t="s">
        <v>378</v>
      </c>
      <c r="B23" s="16"/>
      <c r="C23" s="29">
        <f>C21+C22</f>
        <v>0</v>
      </c>
      <c r="D23" s="29">
        <f>D21+D22</f>
        <v>0</v>
      </c>
      <c r="E23" s="29">
        <f>E21+E22</f>
        <v>0</v>
      </c>
      <c r="F23" s="29">
        <f>F21+F22</f>
        <v>0</v>
      </c>
      <c r="G23" s="29">
        <f>G21+G22</f>
        <v>0</v>
      </c>
      <c r="H23" s="29">
        <f>H21+H22</f>
        <v>0</v>
      </c>
      <c r="I23" s="29">
        <f>I21+I22</f>
        <v>0</v>
      </c>
      <c r="J23" s="29">
        <f>J21+J22</f>
        <v>0</v>
      </c>
      <c r="K23" s="29">
        <f>K21+K22</f>
        <v>0</v>
      </c>
      <c r="L23" s="29">
        <f>L21+L22</f>
        <v>0</v>
      </c>
      <c r="M23" s="29">
        <f>M21+M22</f>
        <v>0</v>
      </c>
      <c r="N23" s="29">
        <f>N21+N22</f>
        <v>0</v>
      </c>
      <c r="O23" s="29">
        <f>O21+O22</f>
        <v>0</v>
      </c>
      <c r="P23" s="29">
        <f>P21+P22</f>
        <v>0</v>
      </c>
      <c r="Q23" s="29">
        <f>Q21+Q22</f>
        <v>0</v>
      </c>
      <c r="R23" s="29">
        <f>R21+R22</f>
        <v>0</v>
      </c>
      <c r="S23" s="29">
        <f>S21+S22</f>
        <v>0</v>
      </c>
      <c r="T23" s="29">
        <f>T21+T22</f>
        <v>0</v>
      </c>
      <c r="U23" s="29">
        <f>U21+U22</f>
        <v>0</v>
      </c>
      <c r="V23" s="29">
        <f>V21+V22</f>
        <v>0</v>
      </c>
      <c r="W23" s="29">
        <f>W21+W22</f>
        <v>0</v>
      </c>
      <c r="X23" s="29">
        <f>X21+X22</f>
        <v>0</v>
      </c>
      <c r="Y23" s="29">
        <f>Y21+Y22</f>
        <v>0</v>
      </c>
      <c r="Z23" s="29">
        <f>Z21+Z22</f>
        <v>0</v>
      </c>
      <c r="AA23" s="29">
        <f>AA21+AA22</f>
        <v>0</v>
      </c>
      <c r="AB23" s="29">
        <f>AB21+AB22</f>
        <v>0</v>
      </c>
      <c r="AC23" s="29">
        <f>AC21+AC22</f>
        <v>0</v>
      </c>
      <c r="AD23" s="29">
        <f>AD21+AD22</f>
        <v>0</v>
      </c>
      <c r="AE23" s="29">
        <f>AE21+AE22</f>
        <v>0</v>
      </c>
      <c r="AF23" s="29">
        <f>AF21+AF22</f>
        <v>0</v>
      </c>
      <c r="AG23" s="29">
        <f>AG21+AG22</f>
        <v>0</v>
      </c>
      <c r="AH23" s="29">
        <f>AH21+AH22</f>
        <v>0</v>
      </c>
      <c r="AI23" s="29">
        <f>AI21+AI22</f>
        <v>0</v>
      </c>
      <c r="AJ23" s="29">
        <f>AJ21+AJ22</f>
        <v>0</v>
      </c>
      <c r="AK23" s="29">
        <f>AK21+AK22</f>
        <v>0</v>
      </c>
      <c r="AL23" s="29">
        <f>AL21+AL22</f>
        <v>0</v>
      </c>
      <c r="AN23" s="29">
        <f>E23</f>
        <v>0</v>
      </c>
      <c r="AO23" s="29">
        <f>H23</f>
        <v>0</v>
      </c>
      <c r="AP23" s="29">
        <f>K23</f>
        <v>0</v>
      </c>
      <c r="AQ23" s="29">
        <f>N23</f>
        <v>0</v>
      </c>
      <c r="AR23" s="29">
        <f>Q23</f>
        <v>0</v>
      </c>
      <c r="AS23" s="29">
        <f>T23</f>
        <v>0</v>
      </c>
      <c r="AT23" s="29">
        <f>W23</f>
        <v>0</v>
      </c>
      <c r="AU23" s="29">
        <f>Z23</f>
        <v>0</v>
      </c>
      <c r="AV23" s="29">
        <f>AC23</f>
        <v>0</v>
      </c>
      <c r="AW23" s="29">
        <f>AF23</f>
        <v>0</v>
      </c>
      <c r="AX23" s="29">
        <f>AI23</f>
        <v>0</v>
      </c>
      <c r="AY23" s="29">
        <f>AL23</f>
        <v>0</v>
      </c>
      <c r="BA23" s="29">
        <f>N23</f>
        <v>0</v>
      </c>
      <c r="BB23" s="29">
        <f>Z23</f>
        <v>0</v>
      </c>
      <c r="BC23" s="29">
        <f>AL23</f>
        <v>0</v>
      </c>
    </row>
    <row r="24" spans="1:55">
      <c r="A24" s="31" t="s">
        <v>379</v>
      </c>
      <c r="B24" s="16"/>
      <c r="C24" s="32">
        <f>C18+C23</f>
        <v>0</v>
      </c>
      <c r="D24" s="32">
        <f>D18+D23</f>
        <v>0</v>
      </c>
      <c r="E24" s="32">
        <f>E18+E23</f>
        <v>0</v>
      </c>
      <c r="F24" s="32">
        <f>F18+F23</f>
        <v>0</v>
      </c>
      <c r="G24" s="32">
        <f>G18+G23</f>
        <v>0</v>
      </c>
      <c r="H24" s="32">
        <f>H18+H23</f>
        <v>0</v>
      </c>
      <c r="I24" s="32">
        <f>I18+I23</f>
        <v>0</v>
      </c>
      <c r="J24" s="32">
        <f>J18+J23</f>
        <v>0</v>
      </c>
      <c r="K24" s="32">
        <f>K18+K23</f>
        <v>0</v>
      </c>
      <c r="L24" s="32">
        <f>L18+L23</f>
        <v>0</v>
      </c>
      <c r="M24" s="32">
        <f>M18+M23</f>
        <v>0</v>
      </c>
      <c r="N24" s="32">
        <f>N18+N23</f>
        <v>0</v>
      </c>
      <c r="O24" s="32">
        <f>O18+O23</f>
        <v>0</v>
      </c>
      <c r="P24" s="32">
        <f>P18+P23</f>
        <v>0</v>
      </c>
      <c r="Q24" s="32">
        <f>Q18+Q23</f>
        <v>0</v>
      </c>
      <c r="R24" s="32">
        <f>R18+R23</f>
        <v>0</v>
      </c>
      <c r="S24" s="32">
        <f>S18+S23</f>
        <v>0</v>
      </c>
      <c r="T24" s="32">
        <f>T18+T23</f>
        <v>0</v>
      </c>
      <c r="U24" s="32">
        <f>U18+U23</f>
        <v>0</v>
      </c>
      <c r="V24" s="32">
        <f>V18+V23</f>
        <v>0</v>
      </c>
      <c r="W24" s="32">
        <f>W18+W23</f>
        <v>0</v>
      </c>
      <c r="X24" s="32">
        <f>X18+X23</f>
        <v>0</v>
      </c>
      <c r="Y24" s="32">
        <f>Y18+Y23</f>
        <v>0</v>
      </c>
      <c r="Z24" s="32">
        <f>Z18+Z23</f>
        <v>0</v>
      </c>
      <c r="AA24" s="32">
        <f>AA18+AA23</f>
        <v>0</v>
      </c>
      <c r="AB24" s="32">
        <f>AB18+AB23</f>
        <v>0</v>
      </c>
      <c r="AC24" s="32">
        <f>AC18+AC23</f>
        <v>0</v>
      </c>
      <c r="AD24" s="32">
        <f>AD18+AD23</f>
        <v>0</v>
      </c>
      <c r="AE24" s="32">
        <f>AE18+AE23</f>
        <v>0</v>
      </c>
      <c r="AF24" s="32">
        <f>AF18+AF23</f>
        <v>0</v>
      </c>
      <c r="AG24" s="32">
        <f>AG18+AG23</f>
        <v>0</v>
      </c>
      <c r="AH24" s="32">
        <f>AH18+AH23</f>
        <v>0</v>
      </c>
      <c r="AI24" s="32">
        <f>AI18+AI23</f>
        <v>0</v>
      </c>
      <c r="AJ24" s="32">
        <f>AJ18+AJ23</f>
        <v>0</v>
      </c>
      <c r="AK24" s="32">
        <f>AK18+AK23</f>
        <v>0</v>
      </c>
      <c r="AL24" s="32">
        <f>AL18+AL23</f>
        <v>0</v>
      </c>
      <c r="AN24" s="32">
        <f>E24</f>
        <v>0</v>
      </c>
      <c r="AO24" s="32">
        <f>H24</f>
        <v>0</v>
      </c>
      <c r="AP24" s="32">
        <f>K24</f>
        <v>0</v>
      </c>
      <c r="AQ24" s="32">
        <f>N24</f>
        <v>0</v>
      </c>
      <c r="AR24" s="32">
        <f>Q24</f>
        <v>0</v>
      </c>
      <c r="AS24" s="32">
        <f>T24</f>
        <v>0</v>
      </c>
      <c r="AT24" s="32">
        <f>W24</f>
        <v>0</v>
      </c>
      <c r="AU24" s="32">
        <f>Z24</f>
        <v>0</v>
      </c>
      <c r="AV24" s="32">
        <f>AC24</f>
        <v>0</v>
      </c>
      <c r="AW24" s="32">
        <f>AF24</f>
        <v>0</v>
      </c>
      <c r="AX24" s="32">
        <f>AI24</f>
        <v>0</v>
      </c>
      <c r="AY24" s="32">
        <f>AL24</f>
        <v>0</v>
      </c>
      <c r="BA24" s="32">
        <f>N24</f>
        <v>0</v>
      </c>
      <c r="BB24" s="32">
        <f>Z24</f>
        <v>0</v>
      </c>
      <c r="BC24" s="32">
        <f>AL24</f>
        <v>0</v>
      </c>
    </row>
    <row r="25" spans="1:55" ht="5" customHeight="1"/>
    <row r="26" spans="1:55">
      <c r="A26" s="18" t="s">
        <v>380</v>
      </c>
      <c r="B26" s="16" t="s">
        <v>381</v>
      </c>
      <c r="C26" s="30">
        <f>C12-C24</f>
        <v>0</v>
      </c>
      <c r="D26" s="30">
        <f>D12-D24</f>
        <v>0</v>
      </c>
      <c r="E26" s="30">
        <f>E12-E24</f>
        <v>0</v>
      </c>
      <c r="F26" s="30">
        <f>F12-F24</f>
        <v>0</v>
      </c>
      <c r="G26" s="30">
        <f>G12-G24</f>
        <v>0</v>
      </c>
      <c r="H26" s="30">
        <f>H12-H24</f>
        <v>0</v>
      </c>
      <c r="I26" s="30">
        <f>I12-I24</f>
        <v>0</v>
      </c>
      <c r="J26" s="30">
        <f>J12-J24</f>
        <v>0</v>
      </c>
      <c r="K26" s="30">
        <f>K12-K24</f>
        <v>0</v>
      </c>
      <c r="L26" s="30">
        <f>L12-L24</f>
        <v>0</v>
      </c>
      <c r="M26" s="30">
        <f>M12-M24</f>
        <v>0</v>
      </c>
      <c r="N26" s="30">
        <f>N12-N24</f>
        <v>0</v>
      </c>
      <c r="O26" s="30">
        <f>O12-O24</f>
        <v>0</v>
      </c>
      <c r="P26" s="30">
        <f>P12-P24</f>
        <v>0</v>
      </c>
      <c r="Q26" s="30">
        <f>Q12-Q24</f>
        <v>0</v>
      </c>
      <c r="R26" s="30">
        <f>R12-R24</f>
        <v>0</v>
      </c>
      <c r="S26" s="30">
        <f>S12-S24</f>
        <v>0</v>
      </c>
      <c r="T26" s="30">
        <f>T12-T24</f>
        <v>0</v>
      </c>
      <c r="U26" s="30">
        <f>U12-U24</f>
        <v>0</v>
      </c>
      <c r="V26" s="30">
        <f>V12-V24</f>
        <v>0</v>
      </c>
      <c r="W26" s="30">
        <f>W12-W24</f>
        <v>0</v>
      </c>
      <c r="X26" s="30">
        <f>X12-X24</f>
        <v>0</v>
      </c>
      <c r="Y26" s="30">
        <f>Y12-Y24</f>
        <v>0</v>
      </c>
      <c r="Z26" s="30">
        <f>Z12-Z24</f>
        <v>0</v>
      </c>
      <c r="AA26" s="30">
        <f>AA12-AA24</f>
        <v>0</v>
      </c>
      <c r="AB26" s="30">
        <f>AB12-AB24</f>
        <v>0</v>
      </c>
      <c r="AC26" s="30">
        <f>AC12-AC24</f>
        <v>0</v>
      </c>
      <c r="AD26" s="30">
        <f>AD12-AD24</f>
        <v>0</v>
      </c>
      <c r="AE26" s="30">
        <f>AE12-AE24</f>
        <v>0</v>
      </c>
      <c r="AF26" s="30">
        <f>AF12-AF24</f>
        <v>0</v>
      </c>
      <c r="AG26" s="30">
        <f>AG12-AG24</f>
        <v>0</v>
      </c>
      <c r="AH26" s="30">
        <f>AH12-AH24</f>
        <v>0</v>
      </c>
      <c r="AI26" s="30">
        <f>AI12-AI24</f>
        <v>0</v>
      </c>
      <c r="AJ26" s="30">
        <f>AJ12-AJ24</f>
        <v>0</v>
      </c>
      <c r="AK26" s="30">
        <f>AK12-AK24</f>
        <v>0</v>
      </c>
      <c r="AL26" s="30">
        <f>AL12-AL24</f>
        <v>0</v>
      </c>
      <c r="AN26" s="30">
        <f>E26</f>
        <v>0</v>
      </c>
      <c r="AO26" s="30">
        <f>H26</f>
        <v>0</v>
      </c>
      <c r="AP26" s="30">
        <f>K26</f>
        <v>0</v>
      </c>
      <c r="AQ26" s="30">
        <f>N26</f>
        <v>0</v>
      </c>
      <c r="AR26" s="30">
        <f>Q26</f>
        <v>0</v>
      </c>
      <c r="AS26" s="30">
        <f>T26</f>
        <v>0</v>
      </c>
      <c r="AT26" s="30">
        <f>W26</f>
        <v>0</v>
      </c>
      <c r="AU26" s="30">
        <f>Z26</f>
        <v>0</v>
      </c>
      <c r="AV26" s="30">
        <f>AC26</f>
        <v>0</v>
      </c>
      <c r="AW26" s="30">
        <f>AF26</f>
        <v>0</v>
      </c>
      <c r="AX26" s="30">
        <f>AI26</f>
        <v>0</v>
      </c>
      <c r="AY26" s="30">
        <f>AL26</f>
        <v>0</v>
      </c>
      <c r="BA26" s="30">
        <f>N26</f>
        <v>0</v>
      </c>
      <c r="BB26" s="30">
        <f>Z26</f>
        <v>0</v>
      </c>
      <c r="BC26" s="30">
        <f>AL26</f>
        <v>0</v>
      </c>
    </row>
  </sheetData>
  <mergeCells count="8">
    <mergeCell ref="A1:BC1"/>
    <mergeCell ref="A2:BC2"/>
    <mergeCell ref="C5:AL5"/>
    <mergeCell ref="AN5:AY5"/>
    <mergeCell ref="BA5:BC5"/>
    <mergeCell ref="A7:BC7"/>
    <mergeCell ref="A14:BC14"/>
    <mergeCell ref="A20:BC20"/>
  </mergeCells>
  <pageMargins left="0.7" right="0.7" top="0.75" bottom="0.75" header="0.3" footer="0.3"/>
  <pageSetup paperSize="9" scale="55" orientation="landscape"/>
</worksheet>
</file>

<file path=xl/worksheets/sheet11.xml><?xml version="1.0" encoding="utf-8"?>
<worksheet xmlns="http://schemas.openxmlformats.org/spreadsheetml/2006/main" xmlns:r="http://schemas.openxmlformats.org/officeDocument/2006/relationships">
  <dimension ref="A1:BC1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382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383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148</v>
      </c>
      <c r="B5" s="14" t="s">
        <v>149</v>
      </c>
      <c r="C5" s="14" t="s">
        <v>145</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146</v>
      </c>
      <c r="AO5" s="14"/>
      <c r="AP5" s="14"/>
      <c r="AQ5" s="14"/>
      <c r="AR5" s="14"/>
      <c r="AS5" s="14"/>
      <c r="AT5" s="14"/>
      <c r="AU5" s="14"/>
      <c r="AV5" s="14"/>
      <c r="AW5" s="14"/>
      <c r="AX5" s="14"/>
      <c r="AY5" s="14"/>
      <c r="BA5" s="14" t="s">
        <v>147</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150</v>
      </c>
      <c r="AO6" s="17" t="s">
        <v>151</v>
      </c>
      <c r="AP6" s="17" t="s">
        <v>152</v>
      </c>
      <c r="AQ6" s="17" t="s">
        <v>153</v>
      </c>
      <c r="AR6" s="17" t="s">
        <v>154</v>
      </c>
      <c r="AS6" s="17" t="s">
        <v>155</v>
      </c>
      <c r="AT6" s="17" t="s">
        <v>156</v>
      </c>
      <c r="AU6" s="17" t="s">
        <v>157</v>
      </c>
      <c r="AV6" s="17" t="s">
        <v>158</v>
      </c>
      <c r="AW6" s="17" t="s">
        <v>159</v>
      </c>
      <c r="AX6" s="17" t="s">
        <v>160</v>
      </c>
      <c r="AY6" s="17" t="s">
        <v>161</v>
      </c>
      <c r="BA6" s="17" t="s">
        <v>162</v>
      </c>
      <c r="BB6" s="17" t="s">
        <v>163</v>
      </c>
      <c r="BC6" s="17" t="s">
        <v>164</v>
      </c>
    </row>
    <row r="7" spans="1:55" ht="16" customHeight="1">
      <c r="A7" s="14" t="s">
        <v>384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385</v>
      </c>
      <c r="B8" s="16"/>
      <c r="C8" s="20">
        <f>'Cash Flow'!$C$28</f>
        <v>0</v>
      </c>
      <c r="D8" s="20">
        <f>'Cash Flow'!$D$28</f>
        <v>0</v>
      </c>
      <c r="E8" s="20">
        <f>'Cash Flow'!$E$28</f>
        <v>0</v>
      </c>
      <c r="F8" s="20">
        <f>'Cash Flow'!$F$28</f>
        <v>0</v>
      </c>
      <c r="G8" s="20">
        <f>'Cash Flow'!$G$28</f>
        <v>0</v>
      </c>
      <c r="H8" s="20">
        <f>'Cash Flow'!$H$28</f>
        <v>0</v>
      </c>
      <c r="I8" s="20">
        <f>'Cash Flow'!$I$28</f>
        <v>0</v>
      </c>
      <c r="J8" s="20">
        <f>'Cash Flow'!$J$28</f>
        <v>0</v>
      </c>
      <c r="K8" s="20">
        <f>'Cash Flow'!$K$28</f>
        <v>0</v>
      </c>
      <c r="L8" s="20">
        <f>'Cash Flow'!$L$28</f>
        <v>0</v>
      </c>
      <c r="M8" s="20">
        <f>'Cash Flow'!$M$28</f>
        <v>0</v>
      </c>
      <c r="N8" s="20">
        <f>'Cash Flow'!$N$28</f>
        <v>0</v>
      </c>
      <c r="O8" s="20">
        <f>'Cash Flow'!$O$28</f>
        <v>0</v>
      </c>
      <c r="P8" s="20">
        <f>'Cash Flow'!$P$28</f>
        <v>0</v>
      </c>
      <c r="Q8" s="20">
        <f>'Cash Flow'!$Q$28</f>
        <v>0</v>
      </c>
      <c r="R8" s="20">
        <f>'Cash Flow'!$R$28</f>
        <v>0</v>
      </c>
      <c r="S8" s="20">
        <f>'Cash Flow'!$S$28</f>
        <v>0</v>
      </c>
      <c r="T8" s="20">
        <f>'Cash Flow'!$T$28</f>
        <v>0</v>
      </c>
      <c r="U8" s="20">
        <f>'Cash Flow'!$U$28</f>
        <v>0</v>
      </c>
      <c r="V8" s="20">
        <f>'Cash Flow'!$V$28</f>
        <v>0</v>
      </c>
      <c r="W8" s="20">
        <f>'Cash Flow'!$W$28</f>
        <v>0</v>
      </c>
      <c r="X8" s="20">
        <f>'Cash Flow'!$X$28</f>
        <v>0</v>
      </c>
      <c r="Y8" s="20">
        <f>'Cash Flow'!$Y$28</f>
        <v>0</v>
      </c>
      <c r="Z8" s="20">
        <f>'Cash Flow'!$Z$28</f>
        <v>0</v>
      </c>
      <c r="AA8" s="20">
        <f>'Cash Flow'!$AA$28</f>
        <v>0</v>
      </c>
      <c r="AB8" s="20">
        <f>'Cash Flow'!$AB$28</f>
        <v>0</v>
      </c>
      <c r="AC8" s="20">
        <f>'Cash Flow'!$AC$28</f>
        <v>0</v>
      </c>
      <c r="AD8" s="20">
        <f>'Cash Flow'!$AD$28</f>
        <v>0</v>
      </c>
      <c r="AE8" s="20">
        <f>'Cash Flow'!$AE$28</f>
        <v>0</v>
      </c>
      <c r="AF8" s="20">
        <f>'Cash Flow'!$AF$28</f>
        <v>0</v>
      </c>
      <c r="AG8" s="20">
        <f>'Cash Flow'!$AG$28</f>
        <v>0</v>
      </c>
      <c r="AH8" s="20">
        <f>'Cash Flow'!$AH$28</f>
        <v>0</v>
      </c>
      <c r="AI8" s="20">
        <f>'Cash Flow'!$AI$28</f>
        <v>0</v>
      </c>
      <c r="AJ8" s="20">
        <f>'Cash Flow'!$AJ$28</f>
        <v>0</v>
      </c>
      <c r="AK8" s="20">
        <f>'Cash Flow'!$AK$28</f>
        <v>0</v>
      </c>
      <c r="AL8" s="20">
        <f>'Cash Flow'!$AL$28</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386</v>
      </c>
      <c r="B9" s="16" t="s">
        <v>387</v>
      </c>
      <c r="C9" s="20">
        <f>MAX(0,-('Cash Flow'!C14+'Cash Flow'!C18))</f>
        <v>0</v>
      </c>
      <c r="D9" s="20">
        <f>MAX(0,-('Cash Flow'!D14+'Cash Flow'!D18))</f>
        <v>0</v>
      </c>
      <c r="E9" s="20">
        <f>MAX(0,-('Cash Flow'!E14+'Cash Flow'!E18))</f>
        <v>0</v>
      </c>
      <c r="F9" s="20">
        <f>MAX(0,-('Cash Flow'!F14+'Cash Flow'!F18))</f>
        <v>0</v>
      </c>
      <c r="G9" s="20">
        <f>MAX(0,-('Cash Flow'!G14+'Cash Flow'!G18))</f>
        <v>0</v>
      </c>
      <c r="H9" s="20">
        <f>MAX(0,-('Cash Flow'!H14+'Cash Flow'!H18))</f>
        <v>0</v>
      </c>
      <c r="I9" s="20">
        <f>MAX(0,-('Cash Flow'!I14+'Cash Flow'!I18))</f>
        <v>0</v>
      </c>
      <c r="J9" s="20">
        <f>MAX(0,-('Cash Flow'!J14+'Cash Flow'!J18))</f>
        <v>0</v>
      </c>
      <c r="K9" s="20">
        <f>MAX(0,-('Cash Flow'!K14+'Cash Flow'!K18))</f>
        <v>0</v>
      </c>
      <c r="L9" s="20">
        <f>MAX(0,-('Cash Flow'!L14+'Cash Flow'!L18))</f>
        <v>0</v>
      </c>
      <c r="M9" s="20">
        <f>MAX(0,-('Cash Flow'!M14+'Cash Flow'!M18))</f>
        <v>0</v>
      </c>
      <c r="N9" s="20">
        <f>MAX(0,-('Cash Flow'!N14+'Cash Flow'!N18))</f>
        <v>0</v>
      </c>
      <c r="O9" s="20">
        <f>MAX(0,-('Cash Flow'!O14+'Cash Flow'!O18))</f>
        <v>0</v>
      </c>
      <c r="P9" s="20">
        <f>MAX(0,-('Cash Flow'!P14+'Cash Flow'!P18))</f>
        <v>0</v>
      </c>
      <c r="Q9" s="20">
        <f>MAX(0,-('Cash Flow'!Q14+'Cash Flow'!Q18))</f>
        <v>0</v>
      </c>
      <c r="R9" s="20">
        <f>MAX(0,-('Cash Flow'!R14+'Cash Flow'!R18))</f>
        <v>0</v>
      </c>
      <c r="S9" s="20">
        <f>MAX(0,-('Cash Flow'!S14+'Cash Flow'!S18))</f>
        <v>0</v>
      </c>
      <c r="T9" s="20">
        <f>MAX(0,-('Cash Flow'!T14+'Cash Flow'!T18))</f>
        <v>0</v>
      </c>
      <c r="U9" s="20">
        <f>MAX(0,-('Cash Flow'!U14+'Cash Flow'!U18))</f>
        <v>0</v>
      </c>
      <c r="V9" s="20">
        <f>MAX(0,-('Cash Flow'!V14+'Cash Flow'!V18))</f>
        <v>0</v>
      </c>
      <c r="W9" s="20">
        <f>MAX(0,-('Cash Flow'!W14+'Cash Flow'!W18))</f>
        <v>0</v>
      </c>
      <c r="X9" s="20">
        <f>MAX(0,-('Cash Flow'!X14+'Cash Flow'!X18))</f>
        <v>0</v>
      </c>
      <c r="Y9" s="20">
        <f>MAX(0,-('Cash Flow'!Y14+'Cash Flow'!Y18))</f>
        <v>0</v>
      </c>
      <c r="Z9" s="20">
        <f>MAX(0,-('Cash Flow'!Z14+'Cash Flow'!Z18))</f>
        <v>0</v>
      </c>
      <c r="AA9" s="20">
        <f>MAX(0,-('Cash Flow'!AA14+'Cash Flow'!AA18))</f>
        <v>0</v>
      </c>
      <c r="AB9" s="20">
        <f>MAX(0,-('Cash Flow'!AB14+'Cash Flow'!AB18))</f>
        <v>0</v>
      </c>
      <c r="AC9" s="20">
        <f>MAX(0,-('Cash Flow'!AC14+'Cash Flow'!AC18))</f>
        <v>0</v>
      </c>
      <c r="AD9" s="20">
        <f>MAX(0,-('Cash Flow'!AD14+'Cash Flow'!AD18))</f>
        <v>0</v>
      </c>
      <c r="AE9" s="20">
        <f>MAX(0,-('Cash Flow'!AE14+'Cash Flow'!AE18))</f>
        <v>0</v>
      </c>
      <c r="AF9" s="20">
        <f>MAX(0,-('Cash Flow'!AF14+'Cash Flow'!AF18))</f>
        <v>0</v>
      </c>
      <c r="AG9" s="20">
        <f>MAX(0,-('Cash Flow'!AG14+'Cash Flow'!AG18))</f>
        <v>0</v>
      </c>
      <c r="AH9" s="20">
        <f>MAX(0,-('Cash Flow'!AH14+'Cash Flow'!AH18))</f>
        <v>0</v>
      </c>
      <c r="AI9" s="20">
        <f>MAX(0,-('Cash Flow'!AI14+'Cash Flow'!AI18))</f>
        <v>0</v>
      </c>
      <c r="AJ9" s="20">
        <f>MAX(0,-('Cash Flow'!AJ14+'Cash Flow'!AJ18))</f>
        <v>0</v>
      </c>
      <c r="AK9" s="20">
        <f>MAX(0,-('Cash Flow'!AK14+'Cash Flow'!AK18))</f>
        <v>0</v>
      </c>
      <c r="AL9" s="20">
        <f>MAX(0,-('Cash Flow'!AL14+'Cash Flow'!AL18))</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388</v>
      </c>
      <c r="B10" s="16"/>
      <c r="C10" s="20">
        <f>AVERAGE(C9:C9)</f>
        <v>0</v>
      </c>
      <c r="D10" s="20">
        <f>AVERAGE(C9:D9)</f>
        <v>0</v>
      </c>
      <c r="E10" s="20">
        <f>AVERAGE(C9:E9)</f>
        <v>0</v>
      </c>
      <c r="F10" s="20">
        <f>AVERAGE(D9:F9)</f>
        <v>0</v>
      </c>
      <c r="G10" s="20">
        <f>AVERAGE(E9:G9)</f>
        <v>0</v>
      </c>
      <c r="H10" s="20">
        <f>AVERAGE(F9:H9)</f>
        <v>0</v>
      </c>
      <c r="I10" s="20">
        <f>AVERAGE(G9:I9)</f>
        <v>0</v>
      </c>
      <c r="J10" s="20">
        <f>AVERAGE(H9:J9)</f>
        <v>0</v>
      </c>
      <c r="K10" s="20">
        <f>AVERAGE(I9:K9)</f>
        <v>0</v>
      </c>
      <c r="L10" s="20">
        <f>AVERAGE(J9:L9)</f>
        <v>0</v>
      </c>
      <c r="M10" s="20">
        <f>AVERAGE(K9:M9)</f>
        <v>0</v>
      </c>
      <c r="N10" s="20">
        <f>AVERAGE(L9:N9)</f>
        <v>0</v>
      </c>
      <c r="O10" s="20">
        <f>AVERAGE(M9:O9)</f>
        <v>0</v>
      </c>
      <c r="P10" s="20">
        <f>AVERAGE(N9:P9)</f>
        <v>0</v>
      </c>
      <c r="Q10" s="20">
        <f>AVERAGE(O9:Q9)</f>
        <v>0</v>
      </c>
      <c r="R10" s="20">
        <f>AVERAGE(P9:R9)</f>
        <v>0</v>
      </c>
      <c r="S10" s="20">
        <f>AVERAGE(Q9:S9)</f>
        <v>0</v>
      </c>
      <c r="T10" s="20">
        <f>AVERAGE(R9:T9)</f>
        <v>0</v>
      </c>
      <c r="U10" s="20">
        <f>AVERAGE(S9:U9)</f>
        <v>0</v>
      </c>
      <c r="V10" s="20">
        <f>AVERAGE(T9:V9)</f>
        <v>0</v>
      </c>
      <c r="W10" s="20">
        <f>AVERAGE(U9:W9)</f>
        <v>0</v>
      </c>
      <c r="X10" s="20">
        <f>AVERAGE(V9:X9)</f>
        <v>0</v>
      </c>
      <c r="Y10" s="20">
        <f>AVERAGE(W9:Y9)</f>
        <v>0</v>
      </c>
      <c r="Z10" s="20">
        <f>AVERAGE(X9:Z9)</f>
        <v>0</v>
      </c>
      <c r="AA10" s="20">
        <f>AVERAGE(Y9:AA9)</f>
        <v>0</v>
      </c>
      <c r="AB10" s="20">
        <f>AVERAGE(Z9:AB9)</f>
        <v>0</v>
      </c>
      <c r="AC10" s="20">
        <f>AVERAGE(AA9:AC9)</f>
        <v>0</v>
      </c>
      <c r="AD10" s="20">
        <f>AVERAGE(AB9:AD9)</f>
        <v>0</v>
      </c>
      <c r="AE10" s="20">
        <f>AVERAGE(AC9:AE9)</f>
        <v>0</v>
      </c>
      <c r="AF10" s="20">
        <f>AVERAGE(AD9:AF9)</f>
        <v>0</v>
      </c>
      <c r="AG10" s="20">
        <f>AVERAGE(AE9:AG9)</f>
        <v>0</v>
      </c>
      <c r="AH10" s="20">
        <f>AVERAGE(AF9:AH9)</f>
        <v>0</v>
      </c>
      <c r="AI10" s="20">
        <f>AVERAGE(AG9:AI9)</f>
        <v>0</v>
      </c>
      <c r="AJ10" s="20">
        <f>AVERAGE(AH9:AJ9)</f>
        <v>0</v>
      </c>
      <c r="AK10" s="20">
        <f>AVERAGE(AI9:AK9)</f>
        <v>0</v>
      </c>
      <c r="AL10" s="20">
        <f>AVERAGE(AJ9:AL9)</f>
        <v>0</v>
      </c>
      <c r="AN10" s="20">
        <f>AVERAGE(C10:E10)</f>
        <v>0</v>
      </c>
      <c r="AO10" s="20">
        <f>AVERAGE(F10:H10)</f>
        <v>0</v>
      </c>
      <c r="AP10" s="20">
        <f>AVERAGE(I10:K10)</f>
        <v>0</v>
      </c>
      <c r="AQ10" s="20">
        <f>AVERAGE(L10:N10)</f>
        <v>0</v>
      </c>
      <c r="AR10" s="20">
        <f>AVERAGE(O10:Q10)</f>
        <v>0</v>
      </c>
      <c r="AS10" s="20">
        <f>AVERAGE(R10:T10)</f>
        <v>0</v>
      </c>
      <c r="AT10" s="20">
        <f>AVERAGE(U10:W10)</f>
        <v>0</v>
      </c>
      <c r="AU10" s="20">
        <f>AVERAGE(X10:Z10)</f>
        <v>0</v>
      </c>
      <c r="AV10" s="20">
        <f>AVERAGE(AA10:AC10)</f>
        <v>0</v>
      </c>
      <c r="AW10" s="20">
        <f>AVERAGE(AD10:AF10)</f>
        <v>0</v>
      </c>
      <c r="AX10" s="20">
        <f>AVERAGE(AG10:AI10)</f>
        <v>0</v>
      </c>
      <c r="AY10" s="20">
        <f>AVERAGE(AJ10:AL10)</f>
        <v>0</v>
      </c>
      <c r="BA10" s="20">
        <f>AVERAGE(C10:N10)</f>
        <v>0</v>
      </c>
      <c r="BB10" s="20">
        <f>AVERAGE(O10:Z10)</f>
        <v>0</v>
      </c>
      <c r="BC10" s="20">
        <f>AVERAGE(AA10:AL10)</f>
        <v>0</v>
      </c>
    </row>
    <row r="11" spans="1:55">
      <c r="A11" s="18" t="s">
        <v>389</v>
      </c>
      <c r="B11" s="16" t="s">
        <v>390</v>
      </c>
      <c r="C11" s="33">
        <f>IF(C8&lt;=0,0,IF(C10&lt;=0,999,C8/C10))</f>
        <v>0</v>
      </c>
      <c r="D11" s="33">
        <f>IF(D8&lt;=0,0,IF(D10&lt;=0,999,D8/D10))</f>
        <v>0</v>
      </c>
      <c r="E11" s="33">
        <f>IF(E8&lt;=0,0,IF(E10&lt;=0,999,E8/E10))</f>
        <v>0</v>
      </c>
      <c r="F11" s="33">
        <f>IF(F8&lt;=0,0,IF(F10&lt;=0,999,F8/F10))</f>
        <v>0</v>
      </c>
      <c r="G11" s="33">
        <f>IF(G8&lt;=0,0,IF(G10&lt;=0,999,G8/G10))</f>
        <v>0</v>
      </c>
      <c r="H11" s="33">
        <f>IF(H8&lt;=0,0,IF(H10&lt;=0,999,H8/H10))</f>
        <v>0</v>
      </c>
      <c r="I11" s="33">
        <f>IF(I8&lt;=0,0,IF(I10&lt;=0,999,I8/I10))</f>
        <v>0</v>
      </c>
      <c r="J11" s="33">
        <f>IF(J8&lt;=0,0,IF(J10&lt;=0,999,J8/J10))</f>
        <v>0</v>
      </c>
      <c r="K11" s="33">
        <f>IF(K8&lt;=0,0,IF(K10&lt;=0,999,K8/K10))</f>
        <v>0</v>
      </c>
      <c r="L11" s="33">
        <f>IF(L8&lt;=0,0,IF(L10&lt;=0,999,L8/L10))</f>
        <v>0</v>
      </c>
      <c r="M11" s="33">
        <f>IF(M8&lt;=0,0,IF(M10&lt;=0,999,M8/M10))</f>
        <v>0</v>
      </c>
      <c r="N11" s="33">
        <f>IF(N8&lt;=0,0,IF(N10&lt;=0,999,N8/N10))</f>
        <v>0</v>
      </c>
      <c r="O11" s="33">
        <f>IF(O8&lt;=0,0,IF(O10&lt;=0,999,O8/O10))</f>
        <v>0</v>
      </c>
      <c r="P11" s="33">
        <f>IF(P8&lt;=0,0,IF(P10&lt;=0,999,P8/P10))</f>
        <v>0</v>
      </c>
      <c r="Q11" s="33">
        <f>IF(Q8&lt;=0,0,IF(Q10&lt;=0,999,Q8/Q10))</f>
        <v>0</v>
      </c>
      <c r="R11" s="33">
        <f>IF(R8&lt;=0,0,IF(R10&lt;=0,999,R8/R10))</f>
        <v>0</v>
      </c>
      <c r="S11" s="33">
        <f>IF(S8&lt;=0,0,IF(S10&lt;=0,999,S8/S10))</f>
        <v>0</v>
      </c>
      <c r="T11" s="33">
        <f>IF(T8&lt;=0,0,IF(T10&lt;=0,999,T8/T10))</f>
        <v>0</v>
      </c>
      <c r="U11" s="33">
        <f>IF(U8&lt;=0,0,IF(U10&lt;=0,999,U8/U10))</f>
        <v>0</v>
      </c>
      <c r="V11" s="33">
        <f>IF(V8&lt;=0,0,IF(V10&lt;=0,999,V8/V10))</f>
        <v>0</v>
      </c>
      <c r="W11" s="33">
        <f>IF(W8&lt;=0,0,IF(W10&lt;=0,999,W8/W10))</f>
        <v>0</v>
      </c>
      <c r="X11" s="33">
        <f>IF(X8&lt;=0,0,IF(X10&lt;=0,999,X8/X10))</f>
        <v>0</v>
      </c>
      <c r="Y11" s="33">
        <f>IF(Y8&lt;=0,0,IF(Y10&lt;=0,999,Y8/Y10))</f>
        <v>0</v>
      </c>
      <c r="Z11" s="33">
        <f>IF(Z8&lt;=0,0,IF(Z10&lt;=0,999,Z8/Z10))</f>
        <v>0</v>
      </c>
      <c r="AA11" s="33">
        <f>IF(AA8&lt;=0,0,IF(AA10&lt;=0,999,AA8/AA10))</f>
        <v>0</v>
      </c>
      <c r="AB11" s="33">
        <f>IF(AB8&lt;=0,0,IF(AB10&lt;=0,999,AB8/AB10))</f>
        <v>0</v>
      </c>
      <c r="AC11" s="33">
        <f>IF(AC8&lt;=0,0,IF(AC10&lt;=0,999,AC8/AC10))</f>
        <v>0</v>
      </c>
      <c r="AD11" s="33">
        <f>IF(AD8&lt;=0,0,IF(AD10&lt;=0,999,AD8/AD10))</f>
        <v>0</v>
      </c>
      <c r="AE11" s="33">
        <f>IF(AE8&lt;=0,0,IF(AE10&lt;=0,999,AE8/AE10))</f>
        <v>0</v>
      </c>
      <c r="AF11" s="33">
        <f>IF(AF8&lt;=0,0,IF(AF10&lt;=0,999,AF8/AF10))</f>
        <v>0</v>
      </c>
      <c r="AG11" s="33">
        <f>IF(AG8&lt;=0,0,IF(AG10&lt;=0,999,AG8/AG10))</f>
        <v>0</v>
      </c>
      <c r="AH11" s="33">
        <f>IF(AH8&lt;=0,0,IF(AH10&lt;=0,999,AH8/AH10))</f>
        <v>0</v>
      </c>
      <c r="AI11" s="33">
        <f>IF(AI8&lt;=0,0,IF(AI10&lt;=0,999,AI8/AI10))</f>
        <v>0</v>
      </c>
      <c r="AJ11" s="33">
        <f>IF(AJ8&lt;=0,0,IF(AJ10&lt;=0,999,AJ8/AJ10))</f>
        <v>0</v>
      </c>
      <c r="AK11" s="33">
        <f>IF(AK8&lt;=0,0,IF(AK10&lt;=0,999,AK8/AK10))</f>
        <v>0</v>
      </c>
      <c r="AL11" s="33">
        <f>IF(AL8&lt;=0,0,IF(AL10&lt;=0,999,AL8/AL10))</f>
        <v>0</v>
      </c>
      <c r="AN11" s="33">
        <f>E11</f>
        <v>0</v>
      </c>
      <c r="AO11" s="33">
        <f>H11</f>
        <v>0</v>
      </c>
      <c r="AP11" s="33">
        <f>K11</f>
        <v>0</v>
      </c>
      <c r="AQ11" s="33">
        <f>N11</f>
        <v>0</v>
      </c>
      <c r="AR11" s="33">
        <f>Q11</f>
        <v>0</v>
      </c>
      <c r="AS11" s="33">
        <f>T11</f>
        <v>0</v>
      </c>
      <c r="AT11" s="33">
        <f>W11</f>
        <v>0</v>
      </c>
      <c r="AU11" s="33">
        <f>Z11</f>
        <v>0</v>
      </c>
      <c r="AV11" s="33">
        <f>AC11</f>
        <v>0</v>
      </c>
      <c r="AW11" s="33">
        <f>AF11</f>
        <v>0</v>
      </c>
      <c r="AX11" s="33">
        <f>AI11</f>
        <v>0</v>
      </c>
      <c r="AY11" s="33">
        <f>AL11</f>
        <v>0</v>
      </c>
      <c r="BA11" s="33">
        <f>N11</f>
        <v>0</v>
      </c>
      <c r="BB11" s="33">
        <f>Z11</f>
        <v>0</v>
      </c>
      <c r="BC11" s="33">
        <f>AL11</f>
        <v>0</v>
      </c>
    </row>
    <row r="12" spans="1:55" ht="5" customHeight="1"/>
    <row r="13" spans="1:55" ht="16" customHeight="1">
      <c r="A13" s="14" t="s">
        <v>391</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row>
    <row r="14" spans="1:55">
      <c r="A14" s="35" t="s">
        <v>392</v>
      </c>
      <c r="C14" s="33">
        <f>IF(AL8&lt;=0,0,IF(AL10&lt;=0,"Cash-flow positive",AL11))</f>
        <v>0</v>
      </c>
    </row>
  </sheetData>
  <mergeCells count="7">
    <mergeCell ref="A1:BC1"/>
    <mergeCell ref="A2:BC2"/>
    <mergeCell ref="C5:AL5"/>
    <mergeCell ref="AN5:AY5"/>
    <mergeCell ref="BA5:BC5"/>
    <mergeCell ref="A7:BC7"/>
    <mergeCell ref="A13:BC13"/>
  </mergeCells>
  <pageMargins left="0.7" right="0.7" top="0.75" bottom="0.75" header="0.3" footer="0.3"/>
  <pageSetup paperSize="9" scale="55" orientation="landscape"/>
</worksheet>
</file>

<file path=xl/worksheets/sheet12.xml><?xml version="1.0" encoding="utf-8"?>
<worksheet xmlns="http://schemas.openxmlformats.org/spreadsheetml/2006/main" xmlns:r="http://schemas.openxmlformats.org/officeDocument/2006/relationships">
  <dimension ref="A1:F15"/>
  <sheetViews>
    <sheetView showGridLines="0" zoomScale="110" zoomScaleNormal="110" workbookViewId="0"/>
  </sheetViews>
  <sheetFormatPr defaultRowHeight="15"/>
  <cols>
    <col min="1" max="1" width="34.7109375" customWidth="1"/>
    <col min="2" max="2" width="42.7109375" customWidth="1"/>
    <col min="3" max="6" width="18.7109375" customWidth="1"/>
  </cols>
  <sheetData>
    <row r="1" spans="1:6" ht="22" customHeight="1">
      <c r="A1" s="1" t="s">
        <v>396</v>
      </c>
      <c r="B1" s="1"/>
      <c r="C1" s="1"/>
      <c r="D1" s="1"/>
      <c r="E1" s="1"/>
      <c r="F1" s="1"/>
    </row>
    <row r="2" spans="1:6" ht="28" customHeight="1">
      <c r="A2" s="2" t="s">
        <v>397</v>
      </c>
      <c r="B2" s="2"/>
      <c r="C2" s="2"/>
      <c r="D2" s="2"/>
      <c r="E2" s="2"/>
      <c r="F2" s="2"/>
    </row>
    <row r="4" spans="1:6">
      <c r="A4" s="14" t="s">
        <v>398</v>
      </c>
      <c r="C4" s="15">
        <f>'Assumptions'!$C$4</f>
        <v>0</v>
      </c>
    </row>
    <row r="6" spans="1:6">
      <c r="A6" s="17" t="s">
        <v>399</v>
      </c>
      <c r="B6" s="17" t="s">
        <v>400</v>
      </c>
      <c r="C6" s="17" t="s">
        <v>29</v>
      </c>
      <c r="D6" s="17" t="s">
        <v>33</v>
      </c>
      <c r="E6" s="17" t="s">
        <v>34</v>
      </c>
      <c r="F6" s="17" t="s">
        <v>401</v>
      </c>
    </row>
    <row r="7" spans="1:6">
      <c r="A7" s="35" t="s">
        <v>402</v>
      </c>
      <c r="B7" s="21" t="s">
        <v>403</v>
      </c>
      <c r="C7" s="20">
        <f>'Assumptions'!$C$44*'Assumptions'!$C$14*'Assumptions'!$C$16*'Assumptions'!$C$17</f>
        <v>0</v>
      </c>
      <c r="D7" s="20">
        <f>'Assumptions'!$D$44*'Assumptions'!$D$14*'Assumptions'!$D$16*'Assumptions'!$D$17</f>
        <v>0</v>
      </c>
      <c r="E7" s="20">
        <f>'Assumptions'!$E$44*'Assumptions'!$E$14*'Assumptions'!$E$16*'Assumptions'!$E$17</f>
        <v>0</v>
      </c>
      <c r="F7" s="20">
        <f>'Revenue'!C14</f>
        <v>0</v>
      </c>
    </row>
    <row r="8" spans="1:6">
      <c r="A8" s="35" t="s">
        <v>404</v>
      </c>
      <c r="B8" s="21" t="s">
        <v>405</v>
      </c>
      <c r="C8" s="25">
        <f>IFERROR((MIN(((('Assumptions'!$C$44+35*'Assumptions'!$C$45/3))*('Assumptions'!$C$14*(1+'Assumptions'!$C$15)^35)*'Assumptions'!$C$16*('Assumptions'!$C$17*(1+'Assumptions'!$C$18)^35)),(('Assumptions'!$C$34+35*'Assumptions'!$C$35/3))*'Assumptions'!$C$22*(1+'Assumptions'!$C$27)*'Assumptions'!$C$23*('Assumptions'!$C$25*(1+'Assumptions'!$C$26)^35)*'Assumptions'!$C$24))/((('Assumptions'!$C$34+35*'Assumptions'!$C$35/3))*'Assumptions'!$C$22*(1+'Assumptions'!$C$27)*('Assumptions'!$C$25*(1+'Assumptions'!$C$26)^35)*'Assumptions'!$C$24),0)</f>
        <v>0</v>
      </c>
      <c r="D8" s="25">
        <f>IFERROR((MIN(((('Assumptions'!$D$44+35*'Assumptions'!$D$45/3))*('Assumptions'!$D$14*(1+'Assumptions'!$D$15)^35)*'Assumptions'!$D$16*('Assumptions'!$D$17*(1+'Assumptions'!$D$18)^35)),(('Assumptions'!$D$34+35*'Assumptions'!$D$35/3))*'Assumptions'!$D$22*(1+'Assumptions'!$D$27)*'Assumptions'!$D$23*('Assumptions'!$D$25*(1+'Assumptions'!$D$26)^35)*'Assumptions'!$D$24))/((('Assumptions'!$D$34+35*'Assumptions'!$D$35/3))*'Assumptions'!$D$22*(1+'Assumptions'!$D$27)*('Assumptions'!$D$25*(1+'Assumptions'!$D$26)^35)*'Assumptions'!$D$24),0)</f>
        <v>0</v>
      </c>
      <c r="E8" s="25">
        <f>IFERROR((MIN(((('Assumptions'!$E$44+35*'Assumptions'!$E$45/3))*('Assumptions'!$E$14*(1+'Assumptions'!$E$15)^35)*'Assumptions'!$E$16*('Assumptions'!$E$17*(1+'Assumptions'!$E$18)^35)),(('Assumptions'!$E$34+35*'Assumptions'!$E$35/3))*'Assumptions'!$E$22*(1+'Assumptions'!$E$27)*'Assumptions'!$E$23*('Assumptions'!$E$25*(1+'Assumptions'!$E$26)^35)*'Assumptions'!$E$24))/((('Assumptions'!$E$34+35*'Assumptions'!$E$35/3))*'Assumptions'!$E$22*(1+'Assumptions'!$E$27)*('Assumptions'!$E$25*(1+'Assumptions'!$E$26)^35)*'Assumptions'!$E$24),0)</f>
        <v>0</v>
      </c>
      <c r="F8" s="25">
        <f>'Revenue'!AL40</f>
        <v>0</v>
      </c>
    </row>
    <row r="9" spans="1:6">
      <c r="A9" s="35" t="s">
        <v>406</v>
      </c>
      <c r="B9" s="21" t="s">
        <v>407</v>
      </c>
      <c r="C9" s="20">
        <f>MIN(((('Assumptions'!$C$44+35*'Assumptions'!$C$45/3))*('Assumptions'!$C$14*(1+'Assumptions'!$C$15)^35)*'Assumptions'!$C$16*('Assumptions'!$C$17*(1+'Assumptions'!$C$18)^35)),(('Assumptions'!$C$34+35*'Assumptions'!$C$35/3))*'Assumptions'!$C$22*(1+'Assumptions'!$C$27)*'Assumptions'!$C$23*('Assumptions'!$C$25*(1+'Assumptions'!$C$26)^35)*'Assumptions'!$C$24)</f>
        <v>0</v>
      </c>
      <c r="D9" s="20">
        <f>MIN(((('Assumptions'!$D$44+35*'Assumptions'!$D$45/3))*('Assumptions'!$D$14*(1+'Assumptions'!$D$15)^35)*'Assumptions'!$D$16*('Assumptions'!$D$17*(1+'Assumptions'!$D$18)^35)),(('Assumptions'!$D$34+35*'Assumptions'!$D$35/3))*'Assumptions'!$D$22*(1+'Assumptions'!$D$27)*'Assumptions'!$D$23*('Assumptions'!$D$25*(1+'Assumptions'!$D$26)^35)*'Assumptions'!$D$24)</f>
        <v>0</v>
      </c>
      <c r="E9" s="20">
        <f>MIN(((('Assumptions'!$E$44+35*'Assumptions'!$E$45/3))*('Assumptions'!$E$14*(1+'Assumptions'!$E$15)^35)*'Assumptions'!$E$16*('Assumptions'!$E$17*(1+'Assumptions'!$E$18)^35)),(('Assumptions'!$E$34+35*'Assumptions'!$E$35/3))*'Assumptions'!$E$22*(1+'Assumptions'!$E$27)*'Assumptions'!$E$23*('Assumptions'!$E$25*(1+'Assumptions'!$E$26)^35)*'Assumptions'!$E$24)</f>
        <v>0</v>
      </c>
      <c r="F9" s="20">
        <f>'Revenue'!AL36</f>
        <v>0</v>
      </c>
    </row>
    <row r="10" spans="1:6">
      <c r="A10" s="35" t="s">
        <v>408</v>
      </c>
      <c r="B10" s="21" t="s">
        <v>409</v>
      </c>
      <c r="C10" s="25">
        <f>1-IFERROR((((('Assumptions'!$C$34+35*'Assumptions'!$C$35/3))*'Assumptions'!$C$36+(('Assumptions'!$C$39+35*'Assumptions'!$C$40/3))*'Assumptions'!$C$41)+((('Assumptions'!$C$34+35*'Assumptions'!$C$35/3))*'Assumptions'!$C$31)+(MIN(((('Assumptions'!$C$44+35*'Assumptions'!$C$45/3))*('Assumptions'!$C$14*(1+'Assumptions'!$C$15)^35)*'Assumptions'!$C$16*('Assumptions'!$C$17*(1+'Assumptions'!$C$18)^35)),(('Assumptions'!$C$34+35*'Assumptions'!$C$35/3))*'Assumptions'!$C$22*(1+'Assumptions'!$C$27)*'Assumptions'!$C$23*('Assumptions'!$C$25*(1+'Assumptions'!$C$26)^35)*'Assumptions'!$C$24))*'Assumptions'!$C$30)/(MIN(((('Assumptions'!$C$44+35*'Assumptions'!$C$45/3))*('Assumptions'!$C$14*(1+'Assumptions'!$C$15)^35)*'Assumptions'!$C$16*('Assumptions'!$C$17*(1+'Assumptions'!$C$18)^35)),(('Assumptions'!$C$34+35*'Assumptions'!$C$35/3))*'Assumptions'!$C$22*(1+'Assumptions'!$C$27)*'Assumptions'!$C$23*('Assumptions'!$C$25*(1+'Assumptions'!$C$26)^35)*'Assumptions'!$C$24)),0)</f>
        <v>0</v>
      </c>
      <c r="D10" s="25">
        <f>1-IFERROR((((('Assumptions'!$D$34+35*'Assumptions'!$D$35/3))*'Assumptions'!$D$36+(('Assumptions'!$D$39+35*'Assumptions'!$D$40/3))*'Assumptions'!$D$41)+((('Assumptions'!$D$34+35*'Assumptions'!$D$35/3))*'Assumptions'!$D$31)+(MIN(((('Assumptions'!$D$44+35*'Assumptions'!$D$45/3))*('Assumptions'!$D$14*(1+'Assumptions'!$D$15)^35)*'Assumptions'!$D$16*('Assumptions'!$D$17*(1+'Assumptions'!$D$18)^35)),(('Assumptions'!$D$34+35*'Assumptions'!$D$35/3))*'Assumptions'!$D$22*(1+'Assumptions'!$D$27)*'Assumptions'!$D$23*('Assumptions'!$D$25*(1+'Assumptions'!$D$26)^35)*'Assumptions'!$D$24))*'Assumptions'!$D$30)/(MIN(((('Assumptions'!$D$44+35*'Assumptions'!$D$45/3))*('Assumptions'!$D$14*(1+'Assumptions'!$D$15)^35)*'Assumptions'!$D$16*('Assumptions'!$D$17*(1+'Assumptions'!$D$18)^35)),(('Assumptions'!$D$34+35*'Assumptions'!$D$35/3))*'Assumptions'!$D$22*(1+'Assumptions'!$D$27)*'Assumptions'!$D$23*('Assumptions'!$D$25*(1+'Assumptions'!$D$26)^35)*'Assumptions'!$D$24)),0)</f>
        <v>0</v>
      </c>
      <c r="E10" s="25">
        <f>1-IFERROR((((('Assumptions'!$E$34+35*'Assumptions'!$E$35/3))*'Assumptions'!$E$36+(('Assumptions'!$E$39+35*'Assumptions'!$E$40/3))*'Assumptions'!$E$41)+((('Assumptions'!$E$34+35*'Assumptions'!$E$35/3))*'Assumptions'!$E$31)+(MIN(((('Assumptions'!$E$44+35*'Assumptions'!$E$45/3))*('Assumptions'!$E$14*(1+'Assumptions'!$E$15)^35)*'Assumptions'!$E$16*('Assumptions'!$E$17*(1+'Assumptions'!$E$18)^35)),(('Assumptions'!$E$34+35*'Assumptions'!$E$35/3))*'Assumptions'!$E$22*(1+'Assumptions'!$E$27)*'Assumptions'!$E$23*('Assumptions'!$E$25*(1+'Assumptions'!$E$26)^35)*'Assumptions'!$E$24))*'Assumptions'!$E$30)/(MIN(((('Assumptions'!$E$44+35*'Assumptions'!$E$45/3))*('Assumptions'!$E$14*(1+'Assumptions'!$E$15)^35)*'Assumptions'!$E$16*('Assumptions'!$E$17*(1+'Assumptions'!$E$18)^35)),(('Assumptions'!$E$34+35*'Assumptions'!$E$35/3))*'Assumptions'!$E$22*(1+'Assumptions'!$E$27)*'Assumptions'!$E$23*('Assumptions'!$E$25*(1+'Assumptions'!$E$26)^35)*'Assumptions'!$E$24)),0)</f>
        <v>0</v>
      </c>
      <c r="F10" s="25">
        <f>'COGS &amp; GM'!AL16</f>
        <v>0</v>
      </c>
    </row>
    <row r="11" spans="1:6">
      <c r="A11" s="35" t="s">
        <v>410</v>
      </c>
      <c r="B11" s="21" t="s">
        <v>411</v>
      </c>
      <c r="C11" s="20">
        <f>MAX(0,('Assumptions'!$C$34*'Assumptions'!$C$36+'Assumptions'!$C$39*'Assumptions'!$C$41+'Assumptions'!$C$44*'Assumptions'!$C$46+'Assumptions'!$C$49*'Assumptions'!$C$51)+((MIN(('Assumptions'!$C$13+('Assumptions'!$C$44*'Assumptions'!$C$14*'Assumptions'!$C$16*'Assumptions'!$C$17))/MAX(1,'Assumptions'!$C$19),'Assumptions'!$C$34*'Assumptions'!$C$22*(1+'Assumptions'!$C$27)*'Assumptions'!$C$23*'Assumptions'!$C$25*'Assumptions'!$C$24))*'Assumptions'!$C$30+'Assumptions'!$C$34*'Assumptions'!$C$31)+(('Assumptions'!$C$44*'Assumptions'!$C$14*'Assumptions'!$C$16*'Assumptions'!$C$17)*'Assumptions'!$C$54+'Assumptions'!$C$55+'Assumptions'!$C$57+'Assumptions'!$C$58)-(MIN(('Assumptions'!$C$13+('Assumptions'!$C$44*'Assumptions'!$C$14*'Assumptions'!$C$16*'Assumptions'!$C$17))/MAX(1,'Assumptions'!$C$19),'Assumptions'!$C$34*'Assumptions'!$C$22*(1+'Assumptions'!$C$27)*'Assumptions'!$C$23*'Assumptions'!$C$25*'Assumptions'!$C$24)))</f>
        <v>0</v>
      </c>
      <c r="D11" s="20">
        <f>MAX(0,('Assumptions'!$D$34*'Assumptions'!$D$36+'Assumptions'!$D$39*'Assumptions'!$D$41+'Assumptions'!$D$44*'Assumptions'!$D$46+'Assumptions'!$D$49*'Assumptions'!$D$51)+((MIN(('Assumptions'!$D$13+('Assumptions'!$D$44*'Assumptions'!$D$14*'Assumptions'!$D$16*'Assumptions'!$D$17))/MAX(1,'Assumptions'!$D$19),'Assumptions'!$D$34*'Assumptions'!$D$22*(1+'Assumptions'!$D$27)*'Assumptions'!$D$23*'Assumptions'!$D$25*'Assumptions'!$D$24))*'Assumptions'!$D$30+'Assumptions'!$D$34*'Assumptions'!$D$31)+(('Assumptions'!$D$44*'Assumptions'!$D$14*'Assumptions'!$D$16*'Assumptions'!$D$17)*'Assumptions'!$D$54+'Assumptions'!$D$55+'Assumptions'!$D$57+'Assumptions'!$D$58)-(MIN(('Assumptions'!$D$13+('Assumptions'!$D$44*'Assumptions'!$D$14*'Assumptions'!$D$16*'Assumptions'!$D$17))/MAX(1,'Assumptions'!$D$19),'Assumptions'!$D$34*'Assumptions'!$D$22*(1+'Assumptions'!$D$27)*'Assumptions'!$D$23*'Assumptions'!$D$25*'Assumptions'!$D$24)))</f>
        <v>0</v>
      </c>
      <c r="E11" s="20">
        <f>MAX(0,('Assumptions'!$E$34*'Assumptions'!$E$36+'Assumptions'!$E$39*'Assumptions'!$E$41+'Assumptions'!$E$44*'Assumptions'!$E$46+'Assumptions'!$E$49*'Assumptions'!$E$51)+((MIN(('Assumptions'!$E$13+('Assumptions'!$E$44*'Assumptions'!$E$14*'Assumptions'!$E$16*'Assumptions'!$E$17))/MAX(1,'Assumptions'!$E$19),'Assumptions'!$E$34*'Assumptions'!$E$22*(1+'Assumptions'!$E$27)*'Assumptions'!$E$23*'Assumptions'!$E$25*'Assumptions'!$E$24))*'Assumptions'!$E$30+'Assumptions'!$E$34*'Assumptions'!$E$31)+(('Assumptions'!$E$44*'Assumptions'!$E$14*'Assumptions'!$E$16*'Assumptions'!$E$17)*'Assumptions'!$E$54+'Assumptions'!$E$55+'Assumptions'!$E$57+'Assumptions'!$E$58)-(MIN(('Assumptions'!$E$13+('Assumptions'!$E$44*'Assumptions'!$E$14*'Assumptions'!$E$16*'Assumptions'!$E$17))/MAX(1,'Assumptions'!$E$19),'Assumptions'!$E$34*'Assumptions'!$E$22*(1+'Assumptions'!$E$27)*'Assumptions'!$E$23*'Assumptions'!$E$25*'Assumptions'!$E$24)))</f>
        <v>0</v>
      </c>
      <c r="F11" s="20">
        <f>'Cash &amp; Runway'!C9</f>
        <v>0</v>
      </c>
    </row>
    <row r="12" spans="1:6">
      <c r="A12" s="35" t="s">
        <v>412</v>
      </c>
      <c r="B12" s="21" t="s">
        <v>413</v>
      </c>
      <c r="C12" s="33">
        <f>IF((MAX(0,('Assumptions'!$C$34*'Assumptions'!$C$36+'Assumptions'!$C$39*'Assumptions'!$C$41+'Assumptions'!$C$44*'Assumptions'!$C$46+'Assumptions'!$C$49*'Assumptions'!$C$51)+((MIN(('Assumptions'!$C$13+('Assumptions'!$C$44*'Assumptions'!$C$14*'Assumptions'!$C$16*'Assumptions'!$C$17))/MAX(1,'Assumptions'!$C$19),'Assumptions'!$C$34*'Assumptions'!$C$22*(1+'Assumptions'!$C$27)*'Assumptions'!$C$23*'Assumptions'!$C$25*'Assumptions'!$C$24))*'Assumptions'!$C$30+'Assumptions'!$C$34*'Assumptions'!$C$31)+(('Assumptions'!$C$44*'Assumptions'!$C$14*'Assumptions'!$C$16*'Assumptions'!$C$17)*'Assumptions'!$C$54+'Assumptions'!$C$55+'Assumptions'!$C$57+'Assumptions'!$C$58)-(MIN(('Assumptions'!$C$13+('Assumptions'!$C$44*'Assumptions'!$C$14*'Assumptions'!$C$16*'Assumptions'!$C$17))/MAX(1,'Assumptions'!$C$19),'Assumptions'!$C$34*'Assumptions'!$C$22*(1+'Assumptions'!$C$27)*'Assumptions'!$C$23*'Assumptions'!$C$25*'Assumptions'!$C$24))))&lt;=0,999,'Assumptions'!$C$8/(MAX(0,('Assumptions'!$C$34*'Assumptions'!$C$36+'Assumptions'!$C$39*'Assumptions'!$C$41+'Assumptions'!$C$44*'Assumptions'!$C$46+'Assumptions'!$C$49*'Assumptions'!$C$51)+((MIN(('Assumptions'!$C$13+('Assumptions'!$C$44*'Assumptions'!$C$14*'Assumptions'!$C$16*'Assumptions'!$C$17))/MAX(1,'Assumptions'!$C$19),'Assumptions'!$C$34*'Assumptions'!$C$22*(1+'Assumptions'!$C$27)*'Assumptions'!$C$23*'Assumptions'!$C$25*'Assumptions'!$C$24))*'Assumptions'!$C$30+'Assumptions'!$C$34*'Assumptions'!$C$31)+(('Assumptions'!$C$44*'Assumptions'!$C$14*'Assumptions'!$C$16*'Assumptions'!$C$17)*'Assumptions'!$C$54+'Assumptions'!$C$55+'Assumptions'!$C$57+'Assumptions'!$C$58)-(MIN(('Assumptions'!$C$13+('Assumptions'!$C$44*'Assumptions'!$C$14*'Assumptions'!$C$16*'Assumptions'!$C$17))/MAX(1,'Assumptions'!$C$19),'Assumptions'!$C$34*'Assumptions'!$C$22*(1+'Assumptions'!$C$27)*'Assumptions'!$C$23*'Assumptions'!$C$25*'Assumptions'!$C$24)))))</f>
        <v>0</v>
      </c>
      <c r="D12" s="33">
        <f>IF((MAX(0,('Assumptions'!$D$34*'Assumptions'!$D$36+'Assumptions'!$D$39*'Assumptions'!$D$41+'Assumptions'!$D$44*'Assumptions'!$D$46+'Assumptions'!$D$49*'Assumptions'!$D$51)+((MIN(('Assumptions'!$D$13+('Assumptions'!$D$44*'Assumptions'!$D$14*'Assumptions'!$D$16*'Assumptions'!$D$17))/MAX(1,'Assumptions'!$D$19),'Assumptions'!$D$34*'Assumptions'!$D$22*(1+'Assumptions'!$D$27)*'Assumptions'!$D$23*'Assumptions'!$D$25*'Assumptions'!$D$24))*'Assumptions'!$D$30+'Assumptions'!$D$34*'Assumptions'!$D$31)+(('Assumptions'!$D$44*'Assumptions'!$D$14*'Assumptions'!$D$16*'Assumptions'!$D$17)*'Assumptions'!$D$54+'Assumptions'!$D$55+'Assumptions'!$D$57+'Assumptions'!$D$58)-(MIN(('Assumptions'!$D$13+('Assumptions'!$D$44*'Assumptions'!$D$14*'Assumptions'!$D$16*'Assumptions'!$D$17))/MAX(1,'Assumptions'!$D$19),'Assumptions'!$D$34*'Assumptions'!$D$22*(1+'Assumptions'!$D$27)*'Assumptions'!$D$23*'Assumptions'!$D$25*'Assumptions'!$D$24))))&lt;=0,999,'Assumptions'!$D$8/(MAX(0,('Assumptions'!$D$34*'Assumptions'!$D$36+'Assumptions'!$D$39*'Assumptions'!$D$41+'Assumptions'!$D$44*'Assumptions'!$D$46+'Assumptions'!$D$49*'Assumptions'!$D$51)+((MIN(('Assumptions'!$D$13+('Assumptions'!$D$44*'Assumptions'!$D$14*'Assumptions'!$D$16*'Assumptions'!$D$17))/MAX(1,'Assumptions'!$D$19),'Assumptions'!$D$34*'Assumptions'!$D$22*(1+'Assumptions'!$D$27)*'Assumptions'!$D$23*'Assumptions'!$D$25*'Assumptions'!$D$24))*'Assumptions'!$D$30+'Assumptions'!$D$34*'Assumptions'!$D$31)+(('Assumptions'!$D$44*'Assumptions'!$D$14*'Assumptions'!$D$16*'Assumptions'!$D$17)*'Assumptions'!$D$54+'Assumptions'!$D$55+'Assumptions'!$D$57+'Assumptions'!$D$58)-(MIN(('Assumptions'!$D$13+('Assumptions'!$D$44*'Assumptions'!$D$14*'Assumptions'!$D$16*'Assumptions'!$D$17))/MAX(1,'Assumptions'!$D$19),'Assumptions'!$D$34*'Assumptions'!$D$22*(1+'Assumptions'!$D$27)*'Assumptions'!$D$23*'Assumptions'!$D$25*'Assumptions'!$D$24)))))</f>
        <v>0</v>
      </c>
      <c r="E12" s="33">
        <f>IF((MAX(0,('Assumptions'!$E$34*'Assumptions'!$E$36+'Assumptions'!$E$39*'Assumptions'!$E$41+'Assumptions'!$E$44*'Assumptions'!$E$46+'Assumptions'!$E$49*'Assumptions'!$E$51)+((MIN(('Assumptions'!$E$13+('Assumptions'!$E$44*'Assumptions'!$E$14*'Assumptions'!$E$16*'Assumptions'!$E$17))/MAX(1,'Assumptions'!$E$19),'Assumptions'!$E$34*'Assumptions'!$E$22*(1+'Assumptions'!$E$27)*'Assumptions'!$E$23*'Assumptions'!$E$25*'Assumptions'!$E$24))*'Assumptions'!$E$30+'Assumptions'!$E$34*'Assumptions'!$E$31)+(('Assumptions'!$E$44*'Assumptions'!$E$14*'Assumptions'!$E$16*'Assumptions'!$E$17)*'Assumptions'!$E$54+'Assumptions'!$E$55+'Assumptions'!$E$57+'Assumptions'!$E$58)-(MIN(('Assumptions'!$E$13+('Assumptions'!$E$44*'Assumptions'!$E$14*'Assumptions'!$E$16*'Assumptions'!$E$17))/MAX(1,'Assumptions'!$E$19),'Assumptions'!$E$34*'Assumptions'!$E$22*(1+'Assumptions'!$E$27)*'Assumptions'!$E$23*'Assumptions'!$E$25*'Assumptions'!$E$24))))&lt;=0,999,'Assumptions'!$E$8/(MAX(0,('Assumptions'!$E$34*'Assumptions'!$E$36+'Assumptions'!$E$39*'Assumptions'!$E$41+'Assumptions'!$E$44*'Assumptions'!$E$46+'Assumptions'!$E$49*'Assumptions'!$E$51)+((MIN(('Assumptions'!$E$13+('Assumptions'!$E$44*'Assumptions'!$E$14*'Assumptions'!$E$16*'Assumptions'!$E$17))/MAX(1,'Assumptions'!$E$19),'Assumptions'!$E$34*'Assumptions'!$E$22*(1+'Assumptions'!$E$27)*'Assumptions'!$E$23*'Assumptions'!$E$25*'Assumptions'!$E$24))*'Assumptions'!$E$30+'Assumptions'!$E$34*'Assumptions'!$E$31)+(('Assumptions'!$E$44*'Assumptions'!$E$14*'Assumptions'!$E$16*'Assumptions'!$E$17)*'Assumptions'!$E$54+'Assumptions'!$E$55+'Assumptions'!$E$57+'Assumptions'!$E$58)-(MIN(('Assumptions'!$E$13+('Assumptions'!$E$44*'Assumptions'!$E$14*'Assumptions'!$E$16*'Assumptions'!$E$17))/MAX(1,'Assumptions'!$E$19),'Assumptions'!$E$34*'Assumptions'!$E$22*(1+'Assumptions'!$E$27)*'Assumptions'!$E$23*'Assumptions'!$E$25*'Assumptions'!$E$24)))))</f>
        <v>0</v>
      </c>
      <c r="F12" s="33">
        <f>'Cash &amp; Runway'!AL11</f>
        <v>0</v>
      </c>
    </row>
    <row r="14" spans="1:6">
      <c r="A14" s="14" t="s">
        <v>414</v>
      </c>
      <c r="B14" s="14"/>
      <c r="C14" s="14"/>
      <c r="D14" s="14"/>
      <c r="E14" s="14"/>
      <c r="F14" s="14"/>
    </row>
    <row r="15" spans="1:6">
      <c r="A15" s="36" t="s">
        <v>415</v>
      </c>
      <c r="C15" s="36">
        <f>IF(ISNUMBER(MATCH('Assumptions'!$C$4,{"Base","Upside","Downside"},0)),"OK","INVALID")</f>
        <v>0</v>
      </c>
    </row>
  </sheetData>
  <mergeCells count="3">
    <mergeCell ref="A1:F1"/>
    <mergeCell ref="A2:F2"/>
    <mergeCell ref="A14:F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S6"/>
  <sheetViews>
    <sheetView showGridLines="0" zoomScale="110" zoomScaleNormal="110" workbookViewId="0">
      <pane ySplit="3" topLeftCell="A4" activePane="bottomLeft" state="frozen"/>
      <selection pane="bottomLeft"/>
    </sheetView>
  </sheetViews>
  <sheetFormatPr defaultRowHeight="15"/>
  <cols>
    <col min="1" max="19" width="9.7109375" customWidth="1"/>
  </cols>
  <sheetData>
    <row r="1" spans="1:19" ht="22" customHeight="1">
      <c r="A1" s="1" t="s">
        <v>416</v>
      </c>
      <c r="B1" s="1"/>
      <c r="C1" s="1"/>
      <c r="D1" s="1"/>
      <c r="E1" s="1"/>
      <c r="F1" s="1"/>
      <c r="G1" s="1"/>
      <c r="H1" s="1"/>
      <c r="I1" s="1"/>
      <c r="J1" s="1"/>
      <c r="K1" s="1"/>
      <c r="L1" s="1"/>
      <c r="M1" s="1"/>
      <c r="N1" s="1"/>
      <c r="O1" s="1"/>
      <c r="P1" s="1"/>
      <c r="Q1" s="1"/>
      <c r="R1" s="1"/>
      <c r="S1" s="1"/>
    </row>
    <row r="2" spans="1:19" ht="16" customHeight="1">
      <c r="A2" s="2" t="s">
        <v>417</v>
      </c>
      <c r="B2" s="2"/>
      <c r="C2" s="2"/>
      <c r="D2" s="2"/>
      <c r="E2" s="2"/>
      <c r="F2" s="2"/>
      <c r="G2" s="2"/>
      <c r="H2" s="2"/>
      <c r="I2" s="2"/>
      <c r="J2" s="2"/>
      <c r="K2" s="2"/>
      <c r="L2" s="2"/>
      <c r="M2" s="2"/>
      <c r="N2" s="2"/>
      <c r="O2" s="2"/>
      <c r="P2" s="2"/>
      <c r="Q2" s="2"/>
      <c r="R2" s="2"/>
      <c r="S2" s="2"/>
    </row>
    <row r="4" spans="1:19" ht="20" customHeight="1">
      <c r="A4" s="37" t="s">
        <v>418</v>
      </c>
      <c r="B4" s="37"/>
      <c r="C4" s="37"/>
      <c r="D4" s="37" t="s">
        <v>419</v>
      </c>
      <c r="E4" s="37"/>
      <c r="F4" s="37"/>
      <c r="G4" s="37" t="s">
        <v>264</v>
      </c>
      <c r="H4" s="37"/>
      <c r="I4" s="37"/>
      <c r="J4" s="37" t="s">
        <v>241</v>
      </c>
      <c r="K4" s="37"/>
      <c r="L4" s="37"/>
      <c r="M4" s="37" t="s">
        <v>389</v>
      </c>
      <c r="N4" s="37"/>
      <c r="O4" s="37"/>
      <c r="P4" s="37" t="s">
        <v>76</v>
      </c>
      <c r="Q4" s="37"/>
      <c r="R4" s="37"/>
    </row>
    <row r="5" spans="1:19">
      <c r="A5" s="38">
        <f>'Revenue'!AL36</f>
        <v>0</v>
      </c>
      <c r="B5" s="38"/>
      <c r="C5" s="38"/>
      <c r="D5" s="38">
        <f>'Revenue'!AL35</f>
        <v>0</v>
      </c>
      <c r="E5" s="38"/>
      <c r="F5" s="38"/>
      <c r="G5" s="39">
        <f>'COGS &amp; GM'!AL16</f>
        <v>0</v>
      </c>
      <c r="H5" s="39"/>
      <c r="I5" s="39"/>
      <c r="J5" s="39">
        <f>'Revenue'!AL40</f>
        <v>0</v>
      </c>
      <c r="K5" s="39"/>
      <c r="L5" s="39"/>
      <c r="M5" s="38">
        <f>'Cash &amp; Runway'!AL11</f>
        <v>0</v>
      </c>
      <c r="N5" s="38"/>
      <c r="O5" s="38"/>
      <c r="P5" s="39">
        <f>'Revenue'!AL45</f>
        <v>0</v>
      </c>
      <c r="Q5" s="39"/>
      <c r="R5" s="39"/>
    </row>
    <row r="6" spans="1:19">
      <c r="A6" s="38"/>
      <c r="B6" s="38"/>
      <c r="C6" s="38"/>
      <c r="D6" s="38"/>
      <c r="E6" s="38"/>
      <c r="F6" s="38"/>
      <c r="G6" s="39"/>
      <c r="H6" s="39"/>
      <c r="I6" s="39"/>
      <c r="J6" s="39"/>
      <c r="K6" s="39"/>
      <c r="L6" s="39"/>
      <c r="M6" s="38"/>
      <c r="N6" s="38"/>
      <c r="O6" s="38"/>
      <c r="P6" s="39"/>
      <c r="Q6" s="39"/>
      <c r="R6" s="39"/>
    </row>
  </sheetData>
  <mergeCells count="14">
    <mergeCell ref="A1:S1"/>
    <mergeCell ref="A2:S2"/>
    <mergeCell ref="A4:C4"/>
    <mergeCell ref="A5:C6"/>
    <mergeCell ref="D4:F4"/>
    <mergeCell ref="D5:F6"/>
    <mergeCell ref="G4:I4"/>
    <mergeCell ref="G5:I6"/>
    <mergeCell ref="J4:L4"/>
    <mergeCell ref="J5:L6"/>
    <mergeCell ref="M4:O4"/>
    <mergeCell ref="M5:O6"/>
    <mergeCell ref="P4:R4"/>
    <mergeCell ref="P5:R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12"/>
  <sheetViews>
    <sheetView showGridLines="0" zoomScale="110" zoomScaleNormal="110" workbookViewId="0">
      <pane ySplit="4" topLeftCell="A5" activePane="bottomLeft" state="frozen"/>
      <selection pane="bottomLeft"/>
    </sheetView>
  </sheetViews>
  <sheetFormatPr defaultRowHeight="15"/>
  <cols>
    <col min="1" max="1" width="34.7109375" customWidth="1"/>
    <col min="2" max="2" width="52.7109375" customWidth="1"/>
    <col min="3" max="3" width="16.7109375" customWidth="1"/>
    <col min="4" max="4" width="14.7109375" customWidth="1"/>
  </cols>
  <sheetData>
    <row r="1" spans="1:4" ht="22" customHeight="1">
      <c r="A1" s="1" t="s">
        <v>420</v>
      </c>
      <c r="B1" s="1"/>
      <c r="C1" s="1"/>
      <c r="D1" s="1"/>
    </row>
    <row r="2" spans="1:4" ht="16" customHeight="1">
      <c r="A2" s="2" t="s">
        <v>421</v>
      </c>
      <c r="B2" s="2"/>
      <c r="C2" s="2"/>
      <c r="D2" s="2"/>
    </row>
    <row r="4" spans="1:4">
      <c r="A4" s="17" t="s">
        <v>422</v>
      </c>
      <c r="B4" s="17" t="s">
        <v>423</v>
      </c>
      <c r="C4" s="17" t="s">
        <v>424</v>
      </c>
      <c r="D4" s="17" t="s">
        <v>425</v>
      </c>
    </row>
    <row r="5" spans="1:4">
      <c r="A5" s="35" t="s">
        <v>426</v>
      </c>
      <c r="B5" s="21" t="s">
        <v>427</v>
      </c>
      <c r="C5" s="40">
        <f t="array" ref="C5">MAX(ABS('Balance Sheet'!C26:AL26))</f>
        <v>0</v>
      </c>
      <c r="D5" s="36">
        <f t="array" ref="D5">IF(MAX(ABS('Balance Sheet'!C26:AL26))&lt;1.0,"PASS","FAIL")</f>
        <v>0</v>
      </c>
    </row>
    <row r="6" spans="1:4">
      <c r="A6" s="35" t="s">
        <v>428</v>
      </c>
      <c r="B6" s="21" t="s">
        <v>429</v>
      </c>
      <c r="C6" s="40">
        <f t="array" ref="C6">MAX(ABS('Balance Sheet'!C8:AL8-'Cash Flow'!C28:AL28))</f>
        <v>0</v>
      </c>
      <c r="D6" s="36">
        <f t="array" ref="D6">IF(MAX(ABS('Balance Sheet'!C8:AL8-'Cash Flow'!C28:AL28))&lt;1.0,"PASS","FAIL")</f>
        <v>0</v>
      </c>
    </row>
    <row r="7" spans="1:4">
      <c r="A7" s="35" t="s">
        <v>430</v>
      </c>
      <c r="B7" s="21" t="s">
        <v>431</v>
      </c>
      <c r="C7" s="40">
        <f t="array" ref="C7">MAX(ABS('Balance Sheet'!D22:AL22-'Balance Sheet'!C22:AK22-'P&amp;L'!D23:AL23))</f>
        <v>0</v>
      </c>
      <c r="D7" s="36">
        <f t="array" ref="D7">IF(MAX(ABS('Balance Sheet'!D22:AL22-'Balance Sheet'!C22:AK22-'P&amp;L'!D23:AL23))&lt;1.0,"PASS","FAIL")</f>
        <v>0</v>
      </c>
    </row>
    <row r="8" spans="1:4">
      <c r="A8" s="35" t="s">
        <v>432</v>
      </c>
      <c r="B8" s="21" t="s">
        <v>433</v>
      </c>
      <c r="C8" s="40">
        <f t="array" ref="C8">MAX(MAX(ABS(('P&amp;L'!C7:AL7-'P&amp;L'!C8:AL8)-'P&amp;L'!C9:AL9)),MAX(ABS(('P&amp;L'!C9:AL9-'P&amp;L'!C15:AL15)-'P&amp;L'!C17:AL17)),MAX(ABS(('P&amp;L'!C17:AL17-'P&amp;L'!C18:AL18)-'P&amp;L'!C19:AL19)),MAX(ABS(('P&amp;L'!C19:AL19-'P&amp;L'!C20:AL20)-'P&amp;L'!C21:AL21)),MAX(ABS(('P&amp;L'!C21:AL21-'P&amp;L'!C22:AL22)-'P&amp;L'!C23:AL23)))</f>
        <v>0</v>
      </c>
      <c r="D8" s="36">
        <f t="array" ref="D8">IF(MAX(MAX(ABS(('P&amp;L'!C7:AL7-'P&amp;L'!C8:AL8)-'P&amp;L'!C9:AL9)),MAX(ABS(('P&amp;L'!C9:AL9-'P&amp;L'!C15:AL15)-'P&amp;L'!C17:AL17)),MAX(ABS(('P&amp;L'!C17:AL17-'P&amp;L'!C18:AL18)-'P&amp;L'!C19:AL19)),MAX(ABS(('P&amp;L'!C19:AL19-'P&amp;L'!C20:AL20)-'P&amp;L'!C21:AL21)),MAX(ABS(('P&amp;L'!C21:AL21-'P&amp;L'!C22:AL22)-'P&amp;L'!C23:AL23)))&lt;1.0,"PASS","FAIL")</f>
        <v>0</v>
      </c>
    </row>
    <row r="9" spans="1:4">
      <c r="A9" s="35" t="s">
        <v>434</v>
      </c>
      <c r="B9" s="21" t="s">
        <v>435</v>
      </c>
      <c r="C9" s="40">
        <f t="array" ref="C9">IF('Scenarios'!C15="OK",1,0)</f>
        <v>0</v>
      </c>
      <c r="D9" s="36">
        <f t="array" ref="D9">IF('Scenarios'!C15="OK","PASS","FAIL")</f>
        <v>0</v>
      </c>
    </row>
    <row r="10" spans="1:4">
      <c r="A10" s="35" t="s">
        <v>436</v>
      </c>
      <c r="B10" s="21" t="s">
        <v>437</v>
      </c>
      <c r="C10" s="20">
        <f t="array" ref="C10">SUMPRODUCT(--ISERROR('Headcount'!C5:BC260))+SUMPRODUCT(--ISERROR('Revenue'!C5:BC260))+SUMPRODUCT(--ISERROR('COGS &amp; GM'!C5:BC260))+SUMPRODUCT(--ISERROR('Opex'!C5:BC260))+SUMPRODUCT(--ISERROR('Working Capital'!C5:BC260))+SUMPRODUCT(--ISERROR('P&amp;L'!C5:BC260))+SUMPRODUCT(--ISERROR('Balance Sheet'!C5:BC260))+SUMPRODUCT(--ISERROR('Cash Flow'!C5:BC260))+SUMPRODUCT(--ISERROR('Cash &amp; Runway'!C5:BC260))</f>
        <v>0</v>
      </c>
      <c r="D10" s="36">
        <f t="array" ref="D10">IF((SUMPRODUCT(--ISERROR('Headcount'!C5:BC260))+SUMPRODUCT(--ISERROR('Revenue'!C5:BC260))+SUMPRODUCT(--ISERROR('COGS &amp; GM'!C5:BC260))+SUMPRODUCT(--ISERROR('Opex'!C5:BC260))+SUMPRODUCT(--ISERROR('Working Capital'!C5:BC260))+SUMPRODUCT(--ISERROR('P&amp;L'!C5:BC260))+SUMPRODUCT(--ISERROR('Balance Sheet'!C5:BC260))+SUMPRODUCT(--ISERROR('Cash Flow'!C5:BC260))+SUMPRODUCT(--ISERROR('Cash &amp; Runway'!C5:BC260)))=0,"PASS","FAIL")</f>
        <v>0</v>
      </c>
    </row>
    <row r="12" spans="1:4">
      <c r="A12" s="31" t="s">
        <v>438</v>
      </c>
      <c r="B12" s="31" t="s">
        <v>439</v>
      </c>
      <c r="C12" s="31"/>
      <c r="D12" s="31">
        <f>IF(AND(D5="PASS",D6="PASS",D7="PASS",D8="PASS",D9="PASS",D10="PASS"),"ALL PASS","REVIEW NEEDED")</f>
        <v>0</v>
      </c>
    </row>
  </sheetData>
  <mergeCells count="3">
    <mergeCell ref="A1:D1"/>
    <mergeCell ref="A2:D2"/>
    <mergeCell ref="B12:C12"/>
  </mergeCells>
  <conditionalFormatting sqref="D10">
    <cfRule type="cellIs" dxfId="0" priority="11" operator="equal">
      <formula>"PASS"</formula>
    </cfRule>
    <cfRule type="cellIs" dxfId="1" priority="12" operator="equal">
      <formula>"FAIL"</formula>
    </cfRule>
  </conditionalFormatting>
  <conditionalFormatting sqref="D12">
    <cfRule type="cellIs" dxfId="0" priority="13" operator="equal">
      <formula>"ALL PASS"</formula>
    </cfRule>
    <cfRule type="cellIs" dxfId="1" priority="14" operator="equal">
      <formula>"REVIEW NEEDED"</formula>
    </cfRule>
  </conditionalFormatting>
  <conditionalFormatting sqref="D5">
    <cfRule type="cellIs" dxfId="0" priority="1" operator="equal">
      <formula>"PASS"</formula>
    </cfRule>
    <cfRule type="cellIs" dxfId="1" priority="2" operator="equal">
      <formula>"FAIL"</formula>
    </cfRule>
  </conditionalFormatting>
  <conditionalFormatting sqref="D6">
    <cfRule type="cellIs" dxfId="0" priority="3" operator="equal">
      <formula>"PASS"</formula>
    </cfRule>
    <cfRule type="cellIs" dxfId="1" priority="4" operator="equal">
      <formula>"FAIL"</formula>
    </cfRule>
  </conditionalFormatting>
  <conditionalFormatting sqref="D7">
    <cfRule type="cellIs" dxfId="0" priority="5" operator="equal">
      <formula>"PASS"</formula>
    </cfRule>
    <cfRule type="cellIs" dxfId="1" priority="6" operator="equal">
      <formula>"FAIL"</formula>
    </cfRule>
  </conditionalFormatting>
  <conditionalFormatting sqref="D8">
    <cfRule type="cellIs" dxfId="0" priority="7" operator="equal">
      <formula>"PASS"</formula>
    </cfRule>
    <cfRule type="cellIs" dxfId="1" priority="8" operator="equal">
      <formula>"FAIL"</formula>
    </cfRule>
  </conditionalFormatting>
  <conditionalFormatting sqref="D9">
    <cfRule type="cellIs" dxfId="0" priority="9" operator="equal">
      <formula>"PASS"</formula>
    </cfRule>
    <cfRule type="cellIs" dxfId="1" priority="10" operator="equal">
      <formula>"FAIL"</formula>
    </cfRule>
  </conditionalFormatting>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Read Me</vt:lpstr>
      <vt:lpstr>Assumptions</vt:lpstr>
      <vt:lpstr>Headcount</vt:lpstr>
      <vt:lpstr>Revenue</vt:lpstr>
      <vt:lpstr>COGS &amp; GM</vt:lpstr>
      <vt:lpstr>Opex</vt:lpstr>
      <vt:lpstr>Working Capital</vt:lpstr>
      <vt:lpstr>P&amp;L</vt:lpstr>
      <vt:lpstr>Cash Flow</vt:lpstr>
      <vt:lpstr>Balance Sheet</vt:lpstr>
      <vt:lpstr>Cash &amp; Runway</vt:lpstr>
      <vt:lpstr>Scenarios</vt:lpstr>
      <vt:lpstr>Visuals</vt:lpstr>
      <vt:lpstr>Checks</vt:lpstr>
      <vt:lpstr>'Balance Sheet'!Print_Titles</vt:lpstr>
      <vt:lpstr>'Cash &amp; Runway'!Print_Titles</vt:lpstr>
      <vt:lpstr>'Cash Flow'!Print_Titles</vt:lpstr>
      <vt:lpstr>'COGS &amp; GM'!Print_Titles</vt:lpstr>
      <vt:lpstr>Headcount!Print_Titles</vt:lpstr>
      <vt:lpstr>Opex!Print_Titles</vt:lpstr>
      <vt:lpstr>'P&amp;L'!Print_Titles</vt:lpstr>
      <vt:lpstr>Revenue!Print_Titles</vt:lpstr>
      <vt:lpstr>'Working Capital'!Print_Titles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2026-09-03T02:40:05Z</dcterms:created>
  <dcterms:modified xsi:type="dcterms:W3CDTF">2026-09-03T02:40:05Z</dcterms:modified>
</cp:coreProperties>
</file>