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33000" windowHeight="18000"/>
  </bookViews>
  <sheets>
    <sheet name="Read Me" sheetId="1" r:id="rId1"/>
    <sheet name="Assumptions" sheetId="2" r:id="rId2"/>
    <sheet name="Headcount" sheetId="3" r:id="rId3"/>
    <sheet name="Revenue" sheetId="4" r:id="rId4"/>
    <sheet name="COGS &amp; GM" sheetId="5" r:id="rId5"/>
    <sheet name="Opex" sheetId="6" r:id="rId6"/>
    <sheet name="Working Capital" sheetId="7" r:id="rId7"/>
    <sheet name="P&amp;L" sheetId="8" r:id="rId8"/>
    <sheet name="Cash Flow" sheetId="9" r:id="rId9"/>
    <sheet name="Balance Sheet" sheetId="10" r:id="rId10"/>
    <sheet name="Cash &amp; Runway" sheetId="11" r:id="rId11"/>
    <sheet name="Scenarios" sheetId="12" r:id="rId12"/>
    <sheet name="Visuals" sheetId="13" r:id="rId13"/>
    <sheet name="Checks" sheetId="14" r:id="rId14"/>
  </sheets>
  <definedNames>
    <definedName name="_xlnm.Print_Titles" localSheetId="9">'Balance Sheet'!$1:$4</definedName>
    <definedName name="_xlnm.Print_Titles" localSheetId="10">'Cash &amp; Runway'!$1:$4</definedName>
    <definedName name="_xlnm.Print_Titles" localSheetId="8">'Cash Flow'!$1:$4</definedName>
    <definedName name="_xlnm.Print_Titles" localSheetId="4">'COGS &amp; GM'!$1:$4</definedName>
    <definedName name="_xlnm.Print_Titles" localSheetId="2">Headcount!$1:$4</definedName>
    <definedName name="_xlnm.Print_Titles" localSheetId="5">Opex!$1:$4</definedName>
    <definedName name="_xlnm.Print_Titles" localSheetId="7">'P&amp;L'!$1:$4</definedName>
    <definedName name="_xlnm.Print_Titles" localSheetId="3">Revenue!$1:$4</definedName>
    <definedName name="_xlnm.Print_Titles" localSheetId="6">'Working Capital'!$1:$4</definedName>
  </definedNames>
  <calcPr calcId="124519" fullCalcOnLoad="1"/>
</workbook>
</file>

<file path=xl/sharedStrings.xml><?xml version="1.0" encoding="utf-8"?>
<sst xmlns="http://schemas.openxmlformats.org/spreadsheetml/2006/main" count="600" uniqueCount="385">
  <si>
    <t xml:space="preserve">  B2B SaaS + Usage — 3-Year Financial Model</t>
  </si>
  <si>
    <t xml:space="preserve">  36-month integrated financial model — Read Me</t>
  </si>
  <si>
    <t>Overview</t>
  </si>
  <si>
    <t>A 36-month, formula-driven financial model for an early-stage B2B SaaS company with a usage/overage component. Start on the Assumptions tab: set your Base/Upside/Downside inputs and pick a scenario. Every other tab recalculates automatically.</t>
  </si>
  <si>
    <t>How this workbook is organized</t>
  </si>
  <si>
    <t>Assumptions -&gt; Headcount -&gt; Revenue -&gt; COGS &amp; GM -&gt; Opex -&gt; Working Capital -&gt; P&amp;L -&gt; Balance Sheet -&gt; Cash Flow -&gt; Cash &amp; Runway -&gt; Scenarios -&gt; Visuals -&gt; Checks. Data flows strictly left-to-right through that order: change an assumption, and every downstream tab recalculates automatically (workbook calculation mode is Automatic).</t>
  </si>
  <si>
    <t>Formatting legend</t>
  </si>
  <si>
    <t>Blue text on light-blue fill = an input you can edit (Assumptions tab, and scenario selector).</t>
  </si>
  <si>
    <t>Black text on white = a live formula. Do not hard-code over these cells.</t>
  </si>
  <si>
    <t>Cells on a light-gray band = a value linked in from another tab.</t>
  </si>
  <si>
    <t>Color palette</t>
  </si>
  <si>
    <t>Purple  (#7B68EE)</t>
  </si>
  <si>
    <t>Blue  (#49CCF9)</t>
  </si>
  <si>
    <t>Teal  (#79D9B9)</t>
  </si>
  <si>
    <t>Pink  (#FD71AF)</t>
  </si>
  <si>
    <t>Orange  (#FFB08E)</t>
  </si>
  <si>
    <t>Business model</t>
  </si>
  <si>
    <t>This workbook models a B2B SaaS company that also bills metered usage/overage on top of subscriptions. Revenue is built bottom-up from a customer/logo bridge (new logos, expansion, contraction, churn) into an MRR/ARR bridge, plus usage revenue per active account.</t>
  </si>
  <si>
    <t>Key KPIs</t>
  </si>
  <si>
    <t>ARR/MRR and growth, Gross Revenue Retention (GRR), Net Revenue Retention (NRR), ARPA, CAC (commission + marketing spend / new logos), LTV, CAC payback, Magic Number, Rule of 40, gross margin, burn multiple, and runway. Most of these can be derived directly from the Revenue, COGS &amp; GM, Opex, and Cash &amp; Runway tabs using the linked figures already on those tabs.</t>
  </si>
  <si>
    <t>Modeling notes</t>
  </si>
  <si>
    <t>Logo churn and dollar churn share one assumption (a common simplification for early-stage models). Deferred revenue is modeled as a flat number of months of revenue held in advance rather than a full annual-vs-monthly billing simulation. Depreciation uses a rolling trailing-window straight-line formula rather than per-asset schedules.</t>
  </si>
  <si>
    <t>Limitations &amp; disclaimer</t>
  </si>
  <si>
    <t>This workbook is a lightweight planning tool built to help you reason about unit economics, burn, and runway. It is NOT accounting, tax, or investment advice, and it is not a substitute for GAAP/IFRS-compliant books, a CPA, or legal/financial counsel. Formulas use simplified, transparent approximations (documented on each tab) rather than full cohort- or lot-level accounting. Validate every assumption against your own data before using this model for fundraising, budgeting, or compliance decisions.</t>
  </si>
  <si>
    <t>Timeline &amp; recalculation</t>
  </si>
  <si>
    <t>36 monthly periods, plus quarterly (12) and annual (3) roll-up columns on each schedule tab. Workbook calculation is set to Automatic — Excel recalculates on every edit. Deterministic, seeded default assumptions are provided so the model is internally consistent out of the box; replace them with your own numbers on the Assumptions tab.</t>
  </si>
  <si>
    <t xml:space="preserve">  B2B SaaS + Usage — 3-Year Financial Model — Assumptions</t>
  </si>
  <si>
    <t xml:space="preserve">  Plain-language inputs. Edit the Base / Upside / Downside columns only — everything else in this workbook is a formula.</t>
  </si>
  <si>
    <t>Scenario selector:</t>
  </si>
  <si>
    <t>Base</t>
  </si>
  <si>
    <t>&lt;&lt; Pick Base / Upside / Downside. This one cell drives every formula in the model.</t>
  </si>
  <si>
    <t>Assumption</t>
  </si>
  <si>
    <t>Unit</t>
  </si>
  <si>
    <t>Upside</t>
  </si>
  <si>
    <t>Downside</t>
  </si>
  <si>
    <t>Active (used in model)</t>
  </si>
  <si>
    <t>Notes / definition</t>
  </si>
  <si>
    <t xml:space="preserve">  Company &amp; Financial</t>
  </si>
  <si>
    <t>Starting cash balance</t>
  </si>
  <si>
    <t>$</t>
  </si>
  <si>
    <t>Cash in the bank on day 1 of the model.</t>
  </si>
  <si>
    <t>Starting paid-in capital</t>
  </si>
  <si>
    <t>Cumulative equity raised before month 1 (seed round).</t>
  </si>
  <si>
    <t>Income tax rate</t>
  </si>
  <si>
    <t>%</t>
  </si>
  <si>
    <t>Applied to positive Earnings Before Tax only; no NOL carryforward modeled.</t>
  </si>
  <si>
    <t xml:space="preserve">  Customers &amp; Growth</t>
  </si>
  <si>
    <t>Starting paying customers</t>
  </si>
  <si>
    <t>#</t>
  </si>
  <si>
    <t>Logos under contract at the start of month 1.</t>
  </si>
  <si>
    <t>New logos added, month 1</t>
  </si>
  <si>
    <t>New paying customers signed in month 1; grows monthly below.</t>
  </si>
  <si>
    <t>New-logo growth, month over month</t>
  </si>
  <si>
    <t>Compounding growth in the number of new logos signed each month.</t>
  </si>
  <si>
    <t>Gross logo/dollar churn rate</t>
  </si>
  <si>
    <t>Share of beginning customers (and beginning MRR) lost each month.</t>
  </si>
  <si>
    <t>Expansion (upsell) rate</t>
  </si>
  <si>
    <t>Upsell/seat-expansion MRR as % of beginning MRR each month.</t>
  </si>
  <si>
    <t>Contraction (downgrade) rate</t>
  </si>
  <si>
    <t>Downgrade MRR as % of beginning MRR each month.</t>
  </si>
  <si>
    <t xml:space="preserve">  Pricing &amp; Usage</t>
  </si>
  <si>
    <t>Starting ARPA (avg MRR per account)</t>
  </si>
  <si>
    <t>$/mo</t>
  </si>
  <si>
    <t>Average recurring revenue per account at month 1.</t>
  </si>
  <si>
    <t>ARPA growth, month over month</t>
  </si>
  <si>
    <t>Price/packaging/mix improvement applied to ARPA each month.</t>
  </si>
  <si>
    <t>Usage/overage revenue per customer</t>
  </si>
  <si>
    <t>Average metered usage revenue billed on top of subscription, per active account.</t>
  </si>
  <si>
    <t>Usage revenue growth, month over month</t>
  </si>
  <si>
    <t>Growth in metered usage intensity per account each month.</t>
  </si>
  <si>
    <t xml:space="preserve">  COGS &amp; Gross Margin</t>
  </si>
  <si>
    <t>Hosting &amp; infrastructure, % of revenue</t>
  </si>
  <si>
    <t>Cloud hosting cost to serve, as a % of total revenue.</t>
  </si>
  <si>
    <t>Third-party data/API costs, % of revenue</t>
  </si>
  <si>
    <t>Licensed data feeds / third-party APIs embedded in the product.</t>
  </si>
  <si>
    <t>Payment processing fees, % of revenue</t>
  </si>
  <si>
    <t>Card/ACH processing fees on billed revenue.</t>
  </si>
  <si>
    <t xml:space="preserve">  Headcount — Customer Success (COGS)</t>
  </si>
  <si>
    <t>Starting CS/Support FTEs</t>
  </si>
  <si>
    <t>Customer Success &amp; Support team.</t>
  </si>
  <si>
    <t>CS/Support net adds per quarter</t>
  </si>
  <si>
    <t>CS/Support fully-loaded cost per FTE</t>
  </si>
  <si>
    <t>Salary + benefits + payroll tax, monthly.</t>
  </si>
  <si>
    <t xml:space="preserve">  Headcount — Sales &amp; Marketing (Opex)</t>
  </si>
  <si>
    <t>Starting Account Executive FTEs</t>
  </si>
  <si>
    <t>AE net adds per quarter</t>
  </si>
  <si>
    <t>AE fully-loaded cost per FTE</t>
  </si>
  <si>
    <t>Starting SDR/BDR FTEs</t>
  </si>
  <si>
    <t>Pipeline-generation reps.</t>
  </si>
  <si>
    <t>SDR/BDR net adds per quarter</t>
  </si>
  <si>
    <t>SDR/BDR fully-loaded cost per FTE</t>
  </si>
  <si>
    <t xml:space="preserve">  Headcount — R&amp;D / Engineering (Opex)</t>
  </si>
  <si>
    <t>Starting Engineering/Product FTEs</t>
  </si>
  <si>
    <t>Engineering net adds per quarter</t>
  </si>
  <si>
    <t>Engineering fully-loaded cost per FTE</t>
  </si>
  <si>
    <t xml:space="preserve">  Headcount — G&amp;A (Opex)</t>
  </si>
  <si>
    <t>Starting G&amp;A FTEs</t>
  </si>
  <si>
    <t>Finance, HR, Ops.</t>
  </si>
  <si>
    <t>G&amp;A net adds per quarter</t>
  </si>
  <si>
    <t>G&amp;A fully-loaded cost per FTE</t>
  </si>
  <si>
    <t xml:space="preserve">  GTM Economics &amp; Other Opex</t>
  </si>
  <si>
    <t>Sales commission, % of new ARR booked</t>
  </si>
  <si>
    <t>Paid on newly booked ARR the month it is signed.</t>
  </si>
  <si>
    <t>Marketing programs, % of revenue</t>
  </si>
  <si>
    <t>Paid demand-gen / brand spend.</t>
  </si>
  <si>
    <t>G&amp;A software &amp; tools</t>
  </si>
  <si>
    <t>G&amp;A facilities &amp; other fixed costs</t>
  </si>
  <si>
    <t xml:space="preserve">  Working Capital &amp; Financing</t>
  </si>
  <si>
    <t>Days Sales Outstanding (AR)</t>
  </si>
  <si>
    <t>days</t>
  </si>
  <si>
    <t>Days Payable Outstanding (AP)</t>
  </si>
  <si>
    <t>Deferred revenue (months of revenue held)</t>
  </si>
  <si>
    <t>mo</t>
  </si>
  <si>
    <t>Reflects the mix of customers pre-paying annually.</t>
  </si>
  <si>
    <t>Capex, % of revenue</t>
  </si>
  <si>
    <t>Useful life of capitalized assets</t>
  </si>
  <si>
    <t>months</t>
  </si>
  <si>
    <t>Other current assets, % of revenue</t>
  </si>
  <si>
    <t>Prepaid expenses and other small current assets.</t>
  </si>
  <si>
    <t>Venture debt annual interest rate</t>
  </si>
  <si>
    <t>Venture debt draw (one-time)</t>
  </si>
  <si>
    <t>Venture debt monthly repayment</t>
  </si>
  <si>
    <t>Series A raise (month 4)</t>
  </si>
  <si>
    <t>Series B raise (month 22)</t>
  </si>
  <si>
    <t>Tip: start with the Base column, then stress-test with Upside/Downside.</t>
  </si>
  <si>
    <t xml:space="preserve">  B2B SaaS + Usage — 3-Year Financial Model — Headcount</t>
  </si>
  <si>
    <t xml:space="preserve">  Fully-loaded FTE ramps by role — flows into COGS or Opex by classification.</t>
  </si>
  <si>
    <t>Monthly (36 months)</t>
  </si>
  <si>
    <t>Quarterly</t>
  </si>
  <si>
    <t>Annual</t>
  </si>
  <si>
    <t>Line item</t>
  </si>
  <si>
    <t>Units / source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</si>
  <si>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</si>
  <si>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</si>
  <si>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</si>
  <si>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</si>
  <si>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</si>
  <si>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</si>
  <si>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</si>
  <si>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</si>
  <si>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</si>
  <si>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</si>
  <si>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</si>
  <si>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</si>
  <si>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FY1</t>
  </si>
  <si>
    <t>FY2</t>
  </si>
  <si>
    <t>FY3</t>
  </si>
  <si>
    <t xml:space="preserve">  Cost of Goods Sold headcount (COGS-classified)</t>
  </si>
  <si>
    <t>Customer Success / Support — headcount (FTE)</t>
  </si>
  <si>
    <t>Customer Success · start + net adds/qtr ÷ 3</t>
  </si>
  <si>
    <t>Customer Success / Support — fully-loaded cost</t>
  </si>
  <si>
    <t>Headcount × monthly fully-loaded cost/FTE</t>
  </si>
  <si>
    <t xml:space="preserve">  Operating expense headcount (Opex-classified)</t>
  </si>
  <si>
    <t>Account Executives (Sales) — headcount (FTE)</t>
  </si>
  <si>
    <t>Sales &amp; Marketing · start + net adds/qtr ÷ 3</t>
  </si>
  <si>
    <t>Account Executives (Sales) — fully-loaded cost</t>
  </si>
  <si>
    <t>SDR / BDR (Pipeline) — headcount (FTE)</t>
  </si>
  <si>
    <t>SDR / BDR (Pipeline) — fully-loaded cost</t>
  </si>
  <si>
    <t>Engineering / Product — headcount (FTE)</t>
  </si>
  <si>
    <t>R&amp;D / Engineering · start + net adds/qtr ÷ 3</t>
  </si>
  <si>
    <t>Engineering / Product — fully-loaded cost</t>
  </si>
  <si>
    <t>G&amp;A (Finance/HR/Ops) — headcount (FTE)</t>
  </si>
  <si>
    <t>General &amp; Administrative · start + net adds/qtr ÷ 3</t>
  </si>
  <si>
    <t>G&amp;A (Finance/HR/Ops) — fully-loaded cost</t>
  </si>
  <si>
    <t xml:space="preserve">  Totals</t>
  </si>
  <si>
    <t>Total headcount (FTE)</t>
  </si>
  <si>
    <t>Sum of all roles</t>
  </si>
  <si>
    <t>Total COGS-classified people cost</t>
  </si>
  <si>
    <t>Feeds COGS &amp; GM tab</t>
  </si>
  <si>
    <t>Total Opex-classified people cost</t>
  </si>
  <si>
    <t>Feeds Opex tab</t>
  </si>
  <si>
    <t xml:space="preserve">  General &amp; Administrative people cost</t>
  </si>
  <si>
    <t xml:space="preserve">  R&amp;D / Engineering people cost</t>
  </si>
  <si>
    <t xml:space="preserve">  Sales &amp; Marketing people cost</t>
  </si>
  <si>
    <t xml:space="preserve">  B2B SaaS + Usage — 3-Year Financial Model — Revenue</t>
  </si>
  <si>
    <t xml:space="preserve">  Customer/logo bridge -&gt; MRR bridge (new/expansion/contraction/churn) -&gt; usage overage revenue.</t>
  </si>
  <si>
    <t xml:space="preserve">  Customer / Logo Bridge</t>
  </si>
  <si>
    <t>Beginning Customers</t>
  </si>
  <si>
    <t>New Logos Added</t>
  </si>
  <si>
    <t>Churned Customers</t>
  </si>
  <si>
    <t>Ending Customers</t>
  </si>
  <si>
    <t xml:space="preserve">  MRR Bridge</t>
  </si>
  <si>
    <t>ARPA (avg MRR per account)</t>
  </si>
  <si>
    <t>Beginning MRR</t>
  </si>
  <si>
    <t>New MRR</t>
  </si>
  <si>
    <t>Expansion MRR</t>
  </si>
  <si>
    <t>Contraction MRR</t>
  </si>
  <si>
    <t>Churned MRR</t>
  </si>
  <si>
    <t>Ending MRR</t>
  </si>
  <si>
    <t>ARR (Ending MRR x 12)</t>
  </si>
  <si>
    <t xml:space="preserve">  Usage &amp; Overage Revenue</t>
  </si>
  <si>
    <t>Usage revenue per customer</t>
  </si>
  <si>
    <t>Usage &amp; Overage Revenue</t>
  </si>
  <si>
    <t>Total Revenue</t>
  </si>
  <si>
    <t xml:space="preserve">  SaaS KPIs</t>
  </si>
  <si>
    <t>Gross Revenue Retention (GRR)</t>
  </si>
  <si>
    <t>Net Revenue Retention (NRR)</t>
  </si>
  <si>
    <t>MRR Growth (month over month)</t>
  </si>
  <si>
    <t xml:space="preserve">  B2B SaaS + Usage — 3-Year Financial Model — COGS &amp; GM</t>
  </si>
  <si>
    <t xml:space="preserve">  Hosting, third-party data/API, payment processing, and Customer Success headcount.</t>
  </si>
  <si>
    <t xml:space="preserve">  COGS Components</t>
  </si>
  <si>
    <t>Hosting &amp; Infrastructure</t>
  </si>
  <si>
    <t>Third-Party Data / APIs</t>
  </si>
  <si>
    <t>Payment Processing Fees</t>
  </si>
  <si>
    <t>Customer Success &amp; Support (people)</t>
  </si>
  <si>
    <t>Total COGS</t>
  </si>
  <si>
    <t xml:space="preserve">  Gross Profit</t>
  </si>
  <si>
    <t>Gross Profit</t>
  </si>
  <si>
    <t>Gross Margin %</t>
  </si>
  <si>
    <t xml:space="preserve">  B2B SaaS + Usage — 3-Year Financial Model — Opex</t>
  </si>
  <si>
    <t xml:space="preserve">  Operating expenses by department — headcount cost plus program spend.</t>
  </si>
  <si>
    <t xml:space="preserve">  Sales &amp; Marketing</t>
  </si>
  <si>
    <t>Sales &amp; Marketing — people cost</t>
  </si>
  <si>
    <t>Linked from Headcount tab</t>
  </si>
  <si>
    <t>Sales Commissions</t>
  </si>
  <si>
    <t>10% of newly booked ARR</t>
  </si>
  <si>
    <t>Marketing Programs</t>
  </si>
  <si>
    <t>% of total revenue</t>
  </si>
  <si>
    <t>Total Sales &amp; Marketing</t>
  </si>
  <si>
    <t xml:space="preserve">  R&amp;D / Engineering</t>
  </si>
  <si>
    <t>R&amp;D / Engineering — people cost</t>
  </si>
  <si>
    <t>Total R&amp;D / Engineering</t>
  </si>
  <si>
    <t xml:space="preserve">  General &amp; Administrative</t>
  </si>
  <si>
    <t>General &amp; Administrative — people cost</t>
  </si>
  <si>
    <t>Software &amp; Tools</t>
  </si>
  <si>
    <t>Fixed monthly</t>
  </si>
  <si>
    <t>Facilities &amp; Other</t>
  </si>
  <si>
    <t>Total General &amp; Administrative</t>
  </si>
  <si>
    <t xml:space="preserve">  Total Operating Expenses</t>
  </si>
  <si>
    <t>Total Opex</t>
  </si>
  <si>
    <t xml:space="preserve">  B2B SaaS + Usage — 3-Year Financial Model — Working Capital</t>
  </si>
  <si>
    <t xml:space="preserve">  Balance-sheet drivers: receivables, payables, deferred revenue, capex/depreciation, debt &amp; equity financing.</t>
  </si>
  <si>
    <t xml:space="preserve">  Receivables, Payables &amp; Deferred Revenue</t>
  </si>
  <si>
    <t>Accounts Receivable balance</t>
  </si>
  <si>
    <t>Revenue × DSO ÷ 30</t>
  </si>
  <si>
    <t>Accounts Payable balance</t>
  </si>
  <si>
    <t>(COGS + Opex) × DPO ÷ 30</t>
  </si>
  <si>
    <t>Deferred Revenue balance</t>
  </si>
  <si>
    <t>Revenue × months collected in advance</t>
  </si>
  <si>
    <t>Other Current Assets balance</t>
  </si>
  <si>
    <t>Revenue × assumption % (prepaid expenses, etc.)</t>
  </si>
  <si>
    <t xml:space="preserve">  Change in Accounts Receivable</t>
  </si>
  <si>
    <t xml:space="preserve">  Change in Accounts Payable</t>
  </si>
  <si>
    <t xml:space="preserve">  Change in Deferred Revenue</t>
  </si>
  <si>
    <t xml:space="preserve">  Change in Other Current Assets</t>
  </si>
  <si>
    <t xml:space="preserve">  Capex &amp; Depreciation (PP&amp;E)</t>
  </si>
  <si>
    <t>Capital expenditures</t>
  </si>
  <si>
    <t>Revenue × capex % of revenue</t>
  </si>
  <si>
    <t>Depreciation &amp; amortization</t>
  </si>
  <si>
    <t>Straight-line over useful life; trailing-window formula</t>
  </si>
  <si>
    <t>Net PP&amp;E balance</t>
  </si>
  <si>
    <t xml:space="preserve">  Debt Schedule</t>
  </si>
  <si>
    <t>Debt draw</t>
  </si>
  <si>
    <t>One-time draw in month 13</t>
  </si>
  <si>
    <t>Debt repayment</t>
  </si>
  <si>
    <t>Fixed $/month once balance exists, starting the assumed month</t>
  </si>
  <si>
    <t>Debt balance (ending)</t>
  </si>
  <si>
    <t>Prior balance + draw − repayment</t>
  </si>
  <si>
    <t>Interest expense</t>
  </si>
  <si>
    <t>Prior month balance × annual rate ÷ 12</t>
  </si>
  <si>
    <t xml:space="preserve">  Equity Financing</t>
  </si>
  <si>
    <t>Equity raised</t>
  </si>
  <si>
    <t>Series A in month 4; Series B in month 22</t>
  </si>
  <si>
    <t>Cumulative paid-in capital</t>
  </si>
  <si>
    <t xml:space="preserve">  B2B SaaS + Usage — 3-Year Financial Model — P&amp;L</t>
  </si>
  <si>
    <t xml:space="preserve">  Integrated income statement — every line links to Revenue, COGS &amp; GM, Opex, or Working Capital.</t>
  </si>
  <si>
    <t>Revenue</t>
  </si>
  <si>
    <t>Cost of Goods Sold</t>
  </si>
  <si>
    <t xml:space="preserve">  Operating Expenses</t>
  </si>
  <si>
    <t>Sales &amp; Marketing</t>
  </si>
  <si>
    <t>R&amp;D / Engineering</t>
  </si>
  <si>
    <t>General &amp; Administrative</t>
  </si>
  <si>
    <t>Total Operating Expenses</t>
  </si>
  <si>
    <t>EBITDA</t>
  </si>
  <si>
    <t>Depreciation &amp; Amortization</t>
  </si>
  <si>
    <t>EBIT (Operating Income)</t>
  </si>
  <si>
    <t>Interest Expense</t>
  </si>
  <si>
    <t>Earnings Before Tax</t>
  </si>
  <si>
    <t>Income Tax Expense</t>
  </si>
  <si>
    <t>MAX(0, EBT) × tax rate — no NOL modeling</t>
  </si>
  <si>
    <t>Net Income</t>
  </si>
  <si>
    <t xml:space="preserve">  B2B SaaS + Usage — 3-Year Financial Model — Cash Flow</t>
  </si>
  <si>
    <t xml:space="preserve">  Indirect method — Net Income reconciled to the change in cash.</t>
  </si>
  <si>
    <t xml:space="preserve">  Cash from Operations</t>
  </si>
  <si>
    <t>+ Depreciation &amp; Amortization</t>
  </si>
  <si>
    <t>− Change in Accounts Receivable</t>
  </si>
  <si>
    <t>− Change in Other Current Assets</t>
  </si>
  <si>
    <t>+ Change in Accounts Payable</t>
  </si>
  <si>
    <t>+ Change in Deferred Revenue</t>
  </si>
  <si>
    <t>Cash from Operations</t>
  </si>
  <si>
    <t xml:space="preserve">  Cash from Investing</t>
  </si>
  <si>
    <t>− Capital Expenditures</t>
  </si>
  <si>
    <t>Cash from Investing</t>
  </si>
  <si>
    <t xml:space="preserve">  Cash from Financing</t>
  </si>
  <si>
    <t>+ Debt Draw</t>
  </si>
  <si>
    <t>− Debt Repayment</t>
  </si>
  <si>
    <t>+ Equity Raised</t>
  </si>
  <si>
    <t>Cash from Financing</t>
  </si>
  <si>
    <t>Net Change in Cash</t>
  </si>
  <si>
    <t>Beginning Cash</t>
  </si>
  <si>
    <t>Prior month ending cash (or starting cash in month 1)</t>
  </si>
  <si>
    <t>Ending Cash</t>
  </si>
  <si>
    <t>Beginning cash + net change in cash</t>
  </si>
  <si>
    <t xml:space="preserve">  B2B SaaS + Usage — 3-Year Financial Model — Balance Sheet</t>
  </si>
  <si>
    <t xml:space="preserve">  Assets = Liabilities + Equity every month, by construction.</t>
  </si>
  <si>
    <t xml:space="preserve">  Assets</t>
  </si>
  <si>
    <t>Cash &amp; equivalents</t>
  </si>
  <si>
    <t>Linked from Cash Flow tab</t>
  </si>
  <si>
    <t>Accounts Receivable</t>
  </si>
  <si>
    <t>Other Current Assets (prepaid, etc.)</t>
  </si>
  <si>
    <t>Linked from Working Capital tab</t>
  </si>
  <si>
    <t>Net PP&amp;E</t>
  </si>
  <si>
    <t>Total Assets</t>
  </si>
  <si>
    <t xml:space="preserve">  Liabilities</t>
  </si>
  <si>
    <t>Accounts Payable</t>
  </si>
  <si>
    <t>Deferred Revenue</t>
  </si>
  <si>
    <t>Debt</t>
  </si>
  <si>
    <t>Total Liabilities</t>
  </si>
  <si>
    <t xml:space="preserve">  Equity</t>
  </si>
  <si>
    <t>Paid-in Capital</t>
  </si>
  <si>
    <t>Starting paid-in capital + cumulative equity raised</t>
  </si>
  <si>
    <t>Retained Earnings</t>
  </si>
  <si>
    <t>Starting RE (= starting cash − starting paid-in capital) + cumulative Net Income</t>
  </si>
  <si>
    <t>Total Equity</t>
  </si>
  <si>
    <t>Total Liabilities + Equity</t>
  </si>
  <si>
    <t>Balance check (Assets − Liab&amp;Equity)</t>
  </si>
  <si>
    <t>Must equal ~0 every month</t>
  </si>
  <si>
    <t xml:space="preserve">  B2B SaaS + Usage — 3-Year Financial Model — Cash &amp; Runway</t>
  </si>
  <si>
    <t xml:space="preserve">  Burn rate and runway — reconciled to the Cash Flow tab.</t>
  </si>
  <si>
    <t xml:space="preserve">  Cash Position</t>
  </si>
  <si>
    <t>Ending Cash Balance</t>
  </si>
  <si>
    <t>Monthly Net Burn (pre-financing)</t>
  </si>
  <si>
    <t>MAX(0, −(operating + investing cash flow)); excludes debt and equity proceeds</t>
  </si>
  <si>
    <t>Trailing 3-Month Avg Burn</t>
  </si>
  <si>
    <t>Runway (months)</t>
  </si>
  <si>
    <t>Ending cash ÷ trailing 3-month pre-financing burn; 0 if cash is depleted; 999 if cash-flow positive</t>
  </si>
  <si>
    <t xml:space="preserve">  Headline</t>
  </si>
  <si>
    <t>Runway as of final month (36)</t>
  </si>
  <si>
    <t xml:space="preserve">  B2B SaaS + Usage — 3-Year Financial Model — Scenario Comparison</t>
  </si>
  <si>
    <t xml:space="preserve">  Base/Upside/Downside columns are a fast analytical approximation for side-by-side comparison. The 'Full model' column reflects the detailed 36-month model at the scenario currently selected on the Assumptions tab.</t>
  </si>
  <si>
    <t>Currently selected scenario:</t>
  </si>
  <si>
    <t>KPI</t>
  </si>
  <si>
    <t>Definition</t>
  </si>
  <si>
    <t>Full model (selected)</t>
  </si>
  <si>
    <t>Starting ARR (Month 1 run-rate)</t>
  </si>
  <si>
    <t>Starting customers x starting ARPA x 12</t>
  </si>
  <si>
    <t>Net Revenue Retention (illustrative)</t>
  </si>
  <si>
    <t>1 + expansion − contraction − churn (constant-rate approximation)</t>
  </si>
  <si>
    <t>Implied ARR at Month 36 (approx.)</t>
  </si>
  <si>
    <t>Month-1 ARR compounded at (NRR-1 + new-logo rate) for 35 months — a rough trend estimate, not the detailed model</t>
  </si>
  <si>
    <t>Gross Margin % (illustrative, Month 1)</t>
  </si>
  <si>
    <t>1 − variable COGS % − CS people cost ÷ ARR1</t>
  </si>
  <si>
    <t>Month-1 Net Burn (illustrative)</t>
  </si>
  <si>
    <t>Month-1 headcount cost + variable COGS − Month-1 revenue</t>
  </si>
  <si>
    <t>Runway (illustrative, months)</t>
  </si>
  <si>
    <t>Starting cash ÷ Month-1 net burn</t>
  </si>
  <si>
    <t xml:space="preserve">  Scenario Validity</t>
  </si>
  <si>
    <t>Selector value is valid (Base/Upside/Downside)?</t>
  </si>
  <si>
    <t xml:space="preserve">  B2B SaaS + Usage — 3-Year Financial Model — Visuals</t>
  </si>
  <si>
    <t xml:space="preserve">  ARR, retention, margin, cash, and headcount trends for the B2B SaaS + Usage model.</t>
  </si>
  <si>
    <t>ARR (Month 36)</t>
  </si>
  <si>
    <t>Gross Margin % (Month 36)</t>
  </si>
  <si>
    <t>Net Revenue Retention (Month 36)</t>
  </si>
  <si>
    <t>Ending Cash (Month 36)</t>
  </si>
  <si>
    <t>Total Headcount (Month 36)</t>
  </si>
  <si>
    <t xml:space="preserve">  B2B SaaS + Usage — 3-Year Financial Model — Checks</t>
  </si>
  <si>
    <t xml:space="preserve">  Every control below should read PASS. If anything reads FAIL, trace it back through the linked tabs before trusting the outputs.</t>
  </si>
  <si>
    <t>Check</t>
  </si>
  <si>
    <t>Description</t>
  </si>
  <si>
    <t>Metric</t>
  </si>
  <si>
    <t>Status</t>
  </si>
  <si>
    <t>Balance Sheet balances</t>
  </si>
  <si>
    <t>MAX absolute (Assets − Liabilities&amp;Equity) across all 36 months</t>
  </si>
  <si>
    <t>Cash Flow reconciles to Balance Sheet</t>
  </si>
  <si>
    <t>MAX absolute difference between BS cash and CF ending cash across all 36 months</t>
  </si>
  <si>
    <t>Retained Earnings roll-forward</t>
  </si>
  <si>
    <t>MAX absolute (RE(m) − RE(m−1) − NetIncome(m)) for months 2-36</t>
  </si>
  <si>
    <t>P&amp;L subtotal integrity</t>
  </si>
  <si>
    <t>MAX absolute error across Gross Profit / EBITDA / EBIT / EBT / Net Income subtotals</t>
  </si>
  <si>
    <t>Scenario selector validity</t>
  </si>
  <si>
    <t>Assumptions scenario selector must equal Base, Upside, or Downside</t>
  </si>
  <si>
    <t>No formula errors</t>
  </si>
  <si>
    <t>Count of #REF!/#DIV0!/#VALUE! etc. across all key schedules (Headcount through Cash &amp; Runway)</t>
  </si>
  <si>
    <t>ALL CHECKS</t>
  </si>
  <si>
    <t>Overall model integrity status</t>
  </si>
</sst>
</file>

<file path=xl/styles.xml><?xml version="1.0" encoding="utf-8"?>
<styleSheet xmlns="http://schemas.openxmlformats.org/spreadsheetml/2006/main">
  <numFmts count="8">
    <numFmt numFmtId="164" formatCode="#,##0;(#,##0)"/>
    <numFmt numFmtId="165" formatCode="0%;(0%)"/>
    <numFmt numFmtId="166" formatCode="0.0%;(0.0%)"/>
    <numFmt numFmtId="167" formatCode="mmm-yy"/>
    <numFmt numFmtId="168" formatCode="#,##0.0"/>
    <numFmt numFmtId="169" formatCode="#,##0.00;(#,##0.00)"/>
    <numFmt numFmtId="170" formatCode="#,##0.0&quot; mo&quot;"/>
    <numFmt numFmtId="171" formatCode="0.0000"/>
  </numFmts>
  <fonts count="1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6"/>
      <color rgb="FF7B68EE"/>
      <name val="Calibri"/>
      <family val="2"/>
      <scheme val="minor"/>
    </font>
    <font>
      <sz val="10"/>
      <color rgb="FF1B1F2A"/>
      <name val="Calibri"/>
      <family val="2"/>
      <scheme val="minor"/>
    </font>
    <font>
      <b/>
      <sz val="12"/>
      <color rgb="FF1B1F2A"/>
      <name val="Calibri"/>
      <family val="2"/>
      <scheme val="minor"/>
    </font>
    <font>
      <sz val="10"/>
      <color rgb="FF1B5FD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1B5FD6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0"/>
      <color rgb="FF1B1F2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6"/>
      <color rgb="FF1B1F2A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1F2A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0FA"/>
        <bgColor indexed="64"/>
      </patternFill>
    </fill>
    <fill>
      <patternFill patternType="solid">
        <fgColor rgb="FF7B68EE"/>
        <bgColor indexed="64"/>
      </patternFill>
    </fill>
    <fill>
      <patternFill patternType="solid">
        <fgColor rgb="FF49CCF9"/>
        <bgColor indexed="64"/>
      </patternFill>
    </fill>
    <fill>
      <patternFill patternType="solid">
        <fgColor rgb="FF79D9B9"/>
        <bgColor indexed="64"/>
      </patternFill>
    </fill>
    <fill>
      <patternFill patternType="solid">
        <fgColor rgb="FFFD71AF"/>
        <bgColor indexed="64"/>
      </patternFill>
    </fill>
    <fill>
      <patternFill patternType="solid">
        <fgColor rgb="FFFFB08E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7F8FC"/>
        <bgColor indexed="64"/>
      </patternFill>
    </fill>
  </fills>
  <borders count="4">
    <border>
      <left/>
      <right/>
      <top/>
      <bottom/>
      <diagonal/>
    </border>
    <border>
      <left style="thin">
        <color rgb="FFD7DAE6"/>
      </left>
      <right style="thin">
        <color rgb="FFD7DAE6"/>
      </right>
      <top style="thin">
        <color rgb="FFD7DAE6"/>
      </top>
      <bottom style="thin">
        <color rgb="FFD7DAE6"/>
      </bottom>
      <diagonal/>
    </border>
    <border>
      <left style="medium">
        <color rgb="FFFFB08E"/>
      </left>
      <right style="medium">
        <color rgb="FFFFB08E"/>
      </right>
      <top style="medium">
        <color rgb="FFFFB08E"/>
      </top>
      <bottom style="medium">
        <color rgb="FFFFB08E"/>
      </bottom>
      <diagonal/>
    </border>
    <border>
      <left/>
      <right/>
      <top style="thin">
        <color rgb="FFD7DAE6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6" borderId="0" xfId="0" applyFont="1" applyFill="1" applyAlignment="1">
      <alignment horizontal="left" vertical="center" indent="1"/>
    </xf>
    <xf numFmtId="0" fontId="8" fillId="11" borderId="2" xfId="0" applyFont="1" applyFill="1" applyBorder="1" applyAlignment="1">
      <alignment horizontal="center"/>
    </xf>
    <xf numFmtId="0" fontId="9" fillId="0" borderId="0" xfId="0" applyFont="1"/>
    <xf numFmtId="0" fontId="10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indent="1"/>
    </xf>
    <xf numFmtId="164" fontId="6" fillId="3" borderId="0" xfId="0" applyNumberFormat="1" applyFont="1" applyFill="1"/>
    <xf numFmtId="164" fontId="4" fillId="0" borderId="0" xfId="0" applyNumberFormat="1" applyFont="1"/>
    <xf numFmtId="0" fontId="9" fillId="0" borderId="0" xfId="0" applyFont="1" applyAlignment="1">
      <alignment vertical="top" wrapText="1"/>
    </xf>
    <xf numFmtId="165" fontId="6" fillId="3" borderId="0" xfId="0" applyNumberFormat="1" applyFont="1" applyFill="1"/>
    <xf numFmtId="165" fontId="4" fillId="0" borderId="0" xfId="0" applyNumberFormat="1" applyFont="1"/>
    <xf numFmtId="166" fontId="6" fillId="3" borderId="0" xfId="0" applyNumberFormat="1" applyFont="1" applyFill="1"/>
    <xf numFmtId="166" fontId="4" fillId="0" borderId="0" xfId="0" applyNumberFormat="1" applyFont="1"/>
    <xf numFmtId="167" fontId="10" fillId="5" borderId="1" xfId="0" applyNumberFormat="1" applyFont="1" applyFill="1" applyBorder="1" applyAlignment="1">
      <alignment horizontal="center"/>
    </xf>
    <xf numFmtId="168" fontId="4" fillId="0" borderId="0" xfId="0" applyNumberFormat="1" applyFont="1"/>
    <xf numFmtId="0" fontId="10" fillId="0" borderId="3" xfId="0" applyFont="1" applyBorder="1"/>
    <xf numFmtId="164" fontId="10" fillId="0" borderId="3" xfId="0" applyNumberFormat="1" applyFont="1" applyBorder="1"/>
    <xf numFmtId="169" fontId="4" fillId="0" borderId="0" xfId="0" applyNumberFormat="1" applyFont="1"/>
    <xf numFmtId="0" fontId="11" fillId="2" borderId="0" xfId="0" applyFont="1" applyFill="1"/>
    <xf numFmtId="164" fontId="11" fillId="2" borderId="0" xfId="0" applyNumberFormat="1" applyFont="1" applyFill="1"/>
    <xf numFmtId="170" fontId="4" fillId="0" borderId="0" xfId="0" applyNumberFormat="1" applyFont="1"/>
    <xf numFmtId="0" fontId="10" fillId="0" borderId="0" xfId="0" applyFont="1"/>
    <xf numFmtId="0" fontId="4" fillId="0" borderId="0" xfId="0" applyFont="1"/>
    <xf numFmtId="0" fontId="11" fillId="6" borderId="0" xfId="0" applyFont="1" applyFill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171" fontId="4" fillId="0" borderId="0" xfId="0" applyNumberFormat="1" applyFont="1"/>
  </cellXfs>
  <cellStyles count="1">
    <cellStyle name="Normal" xfId="0" builtinId="0"/>
  </cellStyles>
  <dxfs count="2">
    <dxf>
      <font>
        <b/>
        <color rgb="FFFFFFFF"/>
      </font>
      <fill>
        <patternFill>
          <bgColor rgb="FF1E8A5F"/>
        </patternFill>
      </fill>
    </dxf>
    <dxf>
      <font>
        <b/>
        <color rgb="FFFFFFFF"/>
      </font>
      <fill>
        <patternFill>
          <bgColor rgb="FFC0392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ARR Growth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ARR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'Revenue'!$C$21:$AL$21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Gross Margin 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Gross Margin %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'COGS &amp; GM'!$C$16:$AL$16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Cash &amp; Runway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Ending Cash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'Cash &amp; Runway'!$C$8:$AL$8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1"/>
          <c:order val="1"/>
          <c:tx>
            <c:v>Monthly Burn</c:v>
          </c:tx>
          <c:spPr>
            <a:solidFill>
              <a:srgbClr val="49CCF9"/>
            </a:solidFill>
            <a:ln w="28575">
              <a:solidFill>
                <a:srgbClr val="49CCF9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'Cash &amp; Runway'!$C$9:$AL$9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Headcount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Headcount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'Headcount'!$C$22:$AL$22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FTE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Scenario Comparison — Implied ARR at Month 36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Base/Upside/Downside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val>
            <c:numRef>
              <c:f>'Scenarios'!$C$9:$E$9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Net Revenue Retention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NRR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'Revenue'!$C$31:$AL$31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38100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16</xdr:col>
      <xdr:colOff>38100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38100</xdr:colOff>
      <xdr:row>44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38100</xdr:colOff>
      <xdr:row>44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7</xdr:col>
      <xdr:colOff>38100</xdr:colOff>
      <xdr:row>61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46</xdr:row>
      <xdr:rowOff>0</xdr:rowOff>
    </xdr:from>
    <xdr:to>
      <xdr:col>16</xdr:col>
      <xdr:colOff>38100</xdr:colOff>
      <xdr:row>61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showGridLines="0" tabSelected="1" zoomScale="110" zoomScaleNormal="110" workbookViewId="0">
      <pane ySplit="3" topLeftCell="A4" activePane="bottomLeft" state="frozen"/>
      <selection pane="bottomLeft"/>
    </sheetView>
  </sheetViews>
  <sheetFormatPr defaultRowHeight="15"/>
  <cols>
    <col min="1" max="1" width="100.7109375" customWidth="1"/>
  </cols>
  <sheetData>
    <row r="1" spans="1:1" ht="26" customHeight="1">
      <c r="A1" s="1" t="s">
        <v>0</v>
      </c>
    </row>
    <row r="2" spans="1:1" ht="18" customHeight="1">
      <c r="A2" s="2" t="s">
        <v>1</v>
      </c>
    </row>
    <row r="4" spans="1:1">
      <c r="A4" s="3" t="s">
        <v>2</v>
      </c>
    </row>
    <row r="5" spans="1:1" ht="90" customHeight="1">
      <c r="A5" s="4" t="s">
        <v>3</v>
      </c>
    </row>
    <row r="7" spans="1:1">
      <c r="A7" s="5" t="s">
        <v>4</v>
      </c>
    </row>
    <row r="8" spans="1:1" ht="45" customHeight="1">
      <c r="A8" s="4" t="s">
        <v>5</v>
      </c>
    </row>
    <row r="10" spans="1:1">
      <c r="A10" s="5" t="s">
        <v>6</v>
      </c>
    </row>
    <row r="11" spans="1:1" ht="18" customHeight="1">
      <c r="A11" s="6" t="s">
        <v>7</v>
      </c>
    </row>
    <row r="12" spans="1:1" ht="18" customHeight="1">
      <c r="A12" s="7" t="s">
        <v>8</v>
      </c>
    </row>
    <row r="13" spans="1:1" ht="18" customHeight="1">
      <c r="A13" s="8" t="s">
        <v>9</v>
      </c>
    </row>
    <row r="15" spans="1:1">
      <c r="A15" s="5" t="s">
        <v>10</v>
      </c>
    </row>
    <row r="16" spans="1:1" ht="16" customHeight="1">
      <c r="A16" s="9" t="s">
        <v>11</v>
      </c>
    </row>
    <row r="17" spans="1:1" ht="16" customHeight="1">
      <c r="A17" s="10" t="s">
        <v>12</v>
      </c>
    </row>
    <row r="18" spans="1:1" ht="16" customHeight="1">
      <c r="A18" s="11" t="s">
        <v>13</v>
      </c>
    </row>
    <row r="19" spans="1:1" ht="16" customHeight="1">
      <c r="A19" s="12" t="s">
        <v>14</v>
      </c>
    </row>
    <row r="20" spans="1:1" ht="16" customHeight="1">
      <c r="A20" s="13" t="s">
        <v>15</v>
      </c>
    </row>
    <row r="22" spans="1:1">
      <c r="A22" s="5" t="s">
        <v>16</v>
      </c>
    </row>
    <row r="23" spans="1:1" ht="45" customHeight="1">
      <c r="A23" s="4" t="s">
        <v>17</v>
      </c>
    </row>
    <row r="25" spans="1:1">
      <c r="A25" s="5" t="s">
        <v>18</v>
      </c>
    </row>
    <row r="26" spans="1:1" ht="60" customHeight="1">
      <c r="A26" s="4" t="s">
        <v>19</v>
      </c>
    </row>
    <row r="28" spans="1:1">
      <c r="A28" s="5" t="s">
        <v>20</v>
      </c>
    </row>
    <row r="29" spans="1:1" ht="60" customHeight="1">
      <c r="A29" s="4" t="s">
        <v>21</v>
      </c>
    </row>
    <row r="31" spans="1:1">
      <c r="A31" s="5" t="s">
        <v>22</v>
      </c>
    </row>
    <row r="32" spans="1:1" ht="75" customHeight="1">
      <c r="A32" s="4" t="s">
        <v>23</v>
      </c>
    </row>
    <row r="34" spans="1:1">
      <c r="A34" s="5" t="s">
        <v>24</v>
      </c>
    </row>
    <row r="35" spans="1:1" ht="45" customHeight="1">
      <c r="A35" s="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4"/>
  <sheetViews>
    <sheetView showGridLines="0" zoomScale="110" zoomScaleNormal="11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42.7109375" customWidth="1"/>
    <col min="2" max="2" width="14.7109375" customWidth="1"/>
    <col min="3" max="5" width="13.7109375" customWidth="1"/>
    <col min="6" max="6" width="14.7109375" customWidth="1"/>
    <col min="7" max="7" width="46.7109375" customWidth="1"/>
  </cols>
  <sheetData>
    <row r="1" spans="1:7" ht="22" customHeight="1">
      <c r="A1" s="1" t="s">
        <v>26</v>
      </c>
      <c r="B1" s="1"/>
      <c r="C1" s="1"/>
      <c r="D1" s="1"/>
      <c r="E1" s="1"/>
      <c r="F1" s="1"/>
      <c r="G1" s="1"/>
    </row>
    <row r="2" spans="1:7" ht="16" customHeight="1">
      <c r="A2" s="2" t="s">
        <v>27</v>
      </c>
      <c r="B2" s="2"/>
      <c r="C2" s="2"/>
      <c r="D2" s="2"/>
      <c r="E2" s="2"/>
      <c r="F2" s="2"/>
      <c r="G2" s="2"/>
    </row>
    <row r="4" spans="1:7">
      <c r="A4" s="14" t="s">
        <v>28</v>
      </c>
      <c r="C4" s="15" t="s">
        <v>29</v>
      </c>
      <c r="D4" s="16" t="s">
        <v>30</v>
      </c>
    </row>
    <row r="6" spans="1:7">
      <c r="A6" s="17" t="s">
        <v>31</v>
      </c>
      <c r="B6" s="17" t="s">
        <v>32</v>
      </c>
      <c r="C6" s="17" t="s">
        <v>29</v>
      </c>
      <c r="D6" s="17" t="s">
        <v>33</v>
      </c>
      <c r="E6" s="17" t="s">
        <v>34</v>
      </c>
      <c r="F6" s="17" t="s">
        <v>35</v>
      </c>
      <c r="G6" s="17" t="s">
        <v>36</v>
      </c>
    </row>
    <row r="7" spans="1:7">
      <c r="A7" s="14" t="s">
        <v>37</v>
      </c>
      <c r="B7" s="14"/>
      <c r="C7" s="14"/>
      <c r="D7" s="14"/>
      <c r="E7" s="14"/>
      <c r="F7" s="14"/>
      <c r="G7" s="14"/>
    </row>
    <row r="8" spans="1:7">
      <c r="A8" s="18" t="s">
        <v>38</v>
      </c>
      <c r="B8" s="16" t="s">
        <v>39</v>
      </c>
      <c r="C8" s="19">
        <v>1500000</v>
      </c>
      <c r="D8" s="19">
        <v>1500000</v>
      </c>
      <c r="E8" s="19">
        <v>1500000</v>
      </c>
      <c r="F8" s="20">
        <f>CHOOSE(MATCH('Assumptions'!$C$4,{"Base","Upside","Downside"},0),C8,D8,E8)</f>
        <v>0</v>
      </c>
      <c r="G8" s="21" t="s">
        <v>40</v>
      </c>
    </row>
    <row r="9" spans="1:7">
      <c r="A9" s="18" t="s">
        <v>41</v>
      </c>
      <c r="B9" s="16" t="s">
        <v>39</v>
      </c>
      <c r="C9" s="19">
        <v>1800000</v>
      </c>
      <c r="D9" s="19">
        <v>1800000</v>
      </c>
      <c r="E9" s="19">
        <v>1800000</v>
      </c>
      <c r="F9" s="20">
        <f>CHOOSE(MATCH('Assumptions'!$C$4,{"Base","Upside","Downside"},0),C9,D9,E9)</f>
        <v>0</v>
      </c>
      <c r="G9" s="21" t="s">
        <v>42</v>
      </c>
    </row>
    <row r="10" spans="1:7">
      <c r="A10" s="18" t="s">
        <v>43</v>
      </c>
      <c r="B10" s="16" t="s">
        <v>44</v>
      </c>
      <c r="C10" s="22">
        <v>0</v>
      </c>
      <c r="D10" s="22">
        <v>0</v>
      </c>
      <c r="E10" s="22">
        <v>0</v>
      </c>
      <c r="F10" s="23">
        <f>CHOOSE(MATCH('Assumptions'!$C$4,{"Base","Upside","Downside"},0),C10,D10,E10)</f>
        <v>0</v>
      </c>
      <c r="G10" s="21" t="s">
        <v>45</v>
      </c>
    </row>
    <row r="11" spans="1:7" ht="5" customHeight="1"/>
    <row r="12" spans="1:7">
      <c r="A12" s="14" t="s">
        <v>46</v>
      </c>
      <c r="B12" s="14"/>
      <c r="C12" s="14"/>
      <c r="D12" s="14"/>
      <c r="E12" s="14"/>
      <c r="F12" s="14"/>
      <c r="G12" s="14"/>
    </row>
    <row r="13" spans="1:7">
      <c r="A13" s="18" t="s">
        <v>47</v>
      </c>
      <c r="B13" s="16" t="s">
        <v>48</v>
      </c>
      <c r="C13" s="19">
        <v>40</v>
      </c>
      <c r="D13" s="19">
        <v>40</v>
      </c>
      <c r="E13" s="19">
        <v>40</v>
      </c>
      <c r="F13" s="20">
        <f>CHOOSE(MATCH('Assumptions'!$C$4,{"Base","Upside","Downside"},0),C13,D13,E13)</f>
        <v>0</v>
      </c>
      <c r="G13" s="21" t="s">
        <v>49</v>
      </c>
    </row>
    <row r="14" spans="1:7">
      <c r="A14" s="18" t="s">
        <v>50</v>
      </c>
      <c r="B14" s="16" t="s">
        <v>48</v>
      </c>
      <c r="C14" s="19">
        <v>6</v>
      </c>
      <c r="D14" s="19">
        <v>8</v>
      </c>
      <c r="E14" s="19">
        <v>4</v>
      </c>
      <c r="F14" s="20">
        <f>CHOOSE(MATCH('Assumptions'!$C$4,{"Base","Upside","Downside"},0),C14,D14,E14)</f>
        <v>0</v>
      </c>
      <c r="G14" s="21" t="s">
        <v>51</v>
      </c>
    </row>
    <row r="15" spans="1:7">
      <c r="A15" s="18" t="s">
        <v>52</v>
      </c>
      <c r="B15" s="16" t="s">
        <v>44</v>
      </c>
      <c r="C15" s="24">
        <v>0.0322</v>
      </c>
      <c r="D15" s="24">
        <v>0.0464</v>
      </c>
      <c r="E15" s="24">
        <v>0.0039</v>
      </c>
      <c r="F15" s="25">
        <f>CHOOSE(MATCH('Assumptions'!$C$4,{"Base","Upside","Downside"},0),C15,D15,E15)</f>
        <v>0</v>
      </c>
      <c r="G15" s="21" t="s">
        <v>53</v>
      </c>
    </row>
    <row r="16" spans="1:7">
      <c r="A16" s="18" t="s">
        <v>54</v>
      </c>
      <c r="B16" s="16" t="s">
        <v>44</v>
      </c>
      <c r="C16" s="24">
        <v>0.015</v>
      </c>
      <c r="D16" s="24">
        <v>0.01</v>
      </c>
      <c r="E16" s="24">
        <v>0.025</v>
      </c>
      <c r="F16" s="25">
        <f>CHOOSE(MATCH('Assumptions'!$C$4,{"Base","Upside","Downside"},0),C16,D16,E16)</f>
        <v>0</v>
      </c>
      <c r="G16" s="21" t="s">
        <v>55</v>
      </c>
    </row>
    <row r="17" spans="1:7">
      <c r="A17" s="18" t="s">
        <v>56</v>
      </c>
      <c r="B17" s="16" t="s">
        <v>44</v>
      </c>
      <c r="C17" s="24">
        <v>0.01</v>
      </c>
      <c r="D17" s="24">
        <v>0.016</v>
      </c>
      <c r="E17" s="24">
        <v>0.006</v>
      </c>
      <c r="F17" s="25">
        <f>CHOOSE(MATCH('Assumptions'!$C$4,{"Base","Upside","Downside"},0),C17,D17,E17)</f>
        <v>0</v>
      </c>
      <c r="G17" s="21" t="s">
        <v>57</v>
      </c>
    </row>
    <row r="18" spans="1:7">
      <c r="A18" s="18" t="s">
        <v>58</v>
      </c>
      <c r="B18" s="16" t="s">
        <v>44</v>
      </c>
      <c r="C18" s="24">
        <v>0.004</v>
      </c>
      <c r="D18" s="24">
        <v>0.002</v>
      </c>
      <c r="E18" s="24">
        <v>0.008</v>
      </c>
      <c r="F18" s="25">
        <f>CHOOSE(MATCH('Assumptions'!$C$4,{"Base","Upside","Downside"},0),C18,D18,E18)</f>
        <v>0</v>
      </c>
      <c r="G18" s="21" t="s">
        <v>59</v>
      </c>
    </row>
    <row r="19" spans="1:7" ht="5" customHeight="1"/>
    <row r="20" spans="1:7">
      <c r="A20" s="14" t="s">
        <v>60</v>
      </c>
      <c r="B20" s="14"/>
      <c r="C20" s="14"/>
      <c r="D20" s="14"/>
      <c r="E20" s="14"/>
      <c r="F20" s="14"/>
      <c r="G20" s="14"/>
    </row>
    <row r="21" spans="1:7">
      <c r="A21" s="18" t="s">
        <v>61</v>
      </c>
      <c r="B21" s="16" t="s">
        <v>62</v>
      </c>
      <c r="C21" s="19">
        <v>1200</v>
      </c>
      <c r="D21" s="19">
        <v>1300</v>
      </c>
      <c r="E21" s="19">
        <v>1100</v>
      </c>
      <c r="F21" s="20">
        <f>CHOOSE(MATCH('Assumptions'!$C$4,{"Base","Upside","Downside"},0),C21,D21,E21)</f>
        <v>0</v>
      </c>
      <c r="G21" s="21" t="s">
        <v>63</v>
      </c>
    </row>
    <row r="22" spans="1:7">
      <c r="A22" s="18" t="s">
        <v>64</v>
      </c>
      <c r="B22" s="16" t="s">
        <v>44</v>
      </c>
      <c r="C22" s="24">
        <v>0.005</v>
      </c>
      <c r="D22" s="24">
        <v>0.008999999999999999</v>
      </c>
      <c r="E22" s="24">
        <v>0.001</v>
      </c>
      <c r="F22" s="25">
        <f>CHOOSE(MATCH('Assumptions'!$C$4,{"Base","Upside","Downside"},0),C22,D22,E22)</f>
        <v>0</v>
      </c>
      <c r="G22" s="21" t="s">
        <v>65</v>
      </c>
    </row>
    <row r="23" spans="1:7">
      <c r="A23" s="18" t="s">
        <v>66</v>
      </c>
      <c r="B23" s="16" t="s">
        <v>62</v>
      </c>
      <c r="C23" s="19">
        <v>150</v>
      </c>
      <c r="D23" s="19">
        <v>190</v>
      </c>
      <c r="E23" s="19">
        <v>100</v>
      </c>
      <c r="F23" s="20">
        <f>CHOOSE(MATCH('Assumptions'!$C$4,{"Base","Upside","Downside"},0),C23,D23,E23)</f>
        <v>0</v>
      </c>
      <c r="G23" s="21" t="s">
        <v>67</v>
      </c>
    </row>
    <row r="24" spans="1:7">
      <c r="A24" s="18" t="s">
        <v>68</v>
      </c>
      <c r="B24" s="16" t="s">
        <v>44</v>
      </c>
      <c r="C24" s="24">
        <v>0.01</v>
      </c>
      <c r="D24" s="24">
        <v>0.018</v>
      </c>
      <c r="E24" s="24">
        <v>0.003</v>
      </c>
      <c r="F24" s="25">
        <f>CHOOSE(MATCH('Assumptions'!$C$4,{"Base","Upside","Downside"},0),C24,D24,E24)</f>
        <v>0</v>
      </c>
      <c r="G24" s="21" t="s">
        <v>69</v>
      </c>
    </row>
    <row r="25" spans="1:7" ht="5" customHeight="1"/>
    <row r="26" spans="1:7">
      <c r="A26" s="14" t="s">
        <v>70</v>
      </c>
      <c r="B26" s="14"/>
      <c r="C26" s="14"/>
      <c r="D26" s="14"/>
      <c r="E26" s="14"/>
      <c r="F26" s="14"/>
      <c r="G26" s="14"/>
    </row>
    <row r="27" spans="1:7">
      <c r="A27" s="18" t="s">
        <v>71</v>
      </c>
      <c r="B27" s="16" t="s">
        <v>44</v>
      </c>
      <c r="C27" s="24">
        <v>0.08</v>
      </c>
      <c r="D27" s="24">
        <v>0.065</v>
      </c>
      <c r="E27" s="24">
        <v>0.1</v>
      </c>
      <c r="F27" s="25">
        <f>CHOOSE(MATCH('Assumptions'!$C$4,{"Base","Upside","Downside"},0),C27,D27,E27)</f>
        <v>0</v>
      </c>
      <c r="G27" s="21" t="s">
        <v>72</v>
      </c>
    </row>
    <row r="28" spans="1:7">
      <c r="A28" s="18" t="s">
        <v>73</v>
      </c>
      <c r="B28" s="16" t="s">
        <v>44</v>
      </c>
      <c r="C28" s="24">
        <v>0.03</v>
      </c>
      <c r="D28" s="24">
        <v>0.025</v>
      </c>
      <c r="E28" s="24">
        <v>0.04</v>
      </c>
      <c r="F28" s="25">
        <f>CHOOSE(MATCH('Assumptions'!$C$4,{"Base","Upside","Downside"},0),C28,D28,E28)</f>
        <v>0</v>
      </c>
      <c r="G28" s="21" t="s">
        <v>74</v>
      </c>
    </row>
    <row r="29" spans="1:7">
      <c r="A29" s="18" t="s">
        <v>75</v>
      </c>
      <c r="B29" s="16" t="s">
        <v>44</v>
      </c>
      <c r="C29" s="24">
        <v>0.015</v>
      </c>
      <c r="D29" s="24">
        <v>0.013</v>
      </c>
      <c r="E29" s="24">
        <v>0.018</v>
      </c>
      <c r="F29" s="25">
        <f>CHOOSE(MATCH('Assumptions'!$C$4,{"Base","Upside","Downside"},0),C29,D29,E29)</f>
        <v>0</v>
      </c>
      <c r="G29" s="21" t="s">
        <v>76</v>
      </c>
    </row>
    <row r="30" spans="1:7" ht="5" customHeight="1"/>
    <row r="31" spans="1:7">
      <c r="A31" s="14" t="s">
        <v>77</v>
      </c>
      <c r="B31" s="14"/>
      <c r="C31" s="14"/>
      <c r="D31" s="14"/>
      <c r="E31" s="14"/>
      <c r="F31" s="14"/>
      <c r="G31" s="14"/>
    </row>
    <row r="32" spans="1:7">
      <c r="A32" s="18" t="s">
        <v>78</v>
      </c>
      <c r="B32" s="16" t="s">
        <v>48</v>
      </c>
      <c r="C32" s="19">
        <v>2</v>
      </c>
      <c r="D32" s="19">
        <v>2</v>
      </c>
      <c r="E32" s="19">
        <v>2</v>
      </c>
      <c r="F32" s="20">
        <f>CHOOSE(MATCH('Assumptions'!$C$4,{"Base","Upside","Downside"},0),C32,D32,E32)</f>
        <v>0</v>
      </c>
      <c r="G32" s="21" t="s">
        <v>79</v>
      </c>
    </row>
    <row r="33" spans="1:7">
      <c r="A33" s="18" t="s">
        <v>80</v>
      </c>
      <c r="B33" s="16" t="s">
        <v>48</v>
      </c>
      <c r="C33" s="19">
        <v>1</v>
      </c>
      <c r="D33" s="19">
        <v>1.5</v>
      </c>
      <c r="E33" s="19">
        <v>0.5</v>
      </c>
      <c r="F33" s="20">
        <f>CHOOSE(MATCH('Assumptions'!$C$4,{"Base","Upside","Downside"},0),C33,D33,E33)</f>
        <v>0</v>
      </c>
      <c r="G33" s="21"/>
    </row>
    <row r="34" spans="1:7">
      <c r="A34" s="18" t="s">
        <v>81</v>
      </c>
      <c r="B34" s="16" t="s">
        <v>62</v>
      </c>
      <c r="C34" s="19">
        <v>9000</v>
      </c>
      <c r="D34" s="19">
        <v>9000</v>
      </c>
      <c r="E34" s="19">
        <v>9000</v>
      </c>
      <c r="F34" s="20">
        <f>CHOOSE(MATCH('Assumptions'!$C$4,{"Base","Upside","Downside"},0),C34,D34,E34)</f>
        <v>0</v>
      </c>
      <c r="G34" s="21" t="s">
        <v>82</v>
      </c>
    </row>
    <row r="35" spans="1:7" ht="5" customHeight="1"/>
    <row r="36" spans="1:7">
      <c r="A36" s="14" t="s">
        <v>83</v>
      </c>
      <c r="B36" s="14"/>
      <c r="C36" s="14"/>
      <c r="D36" s="14"/>
      <c r="E36" s="14"/>
      <c r="F36" s="14"/>
      <c r="G36" s="14"/>
    </row>
    <row r="37" spans="1:7">
      <c r="A37" s="18" t="s">
        <v>84</v>
      </c>
      <c r="B37" s="16" t="s">
        <v>48</v>
      </c>
      <c r="C37" s="19">
        <v>3</v>
      </c>
      <c r="D37" s="19">
        <v>3</v>
      </c>
      <c r="E37" s="19">
        <v>3</v>
      </c>
      <c r="F37" s="20">
        <f>CHOOSE(MATCH('Assumptions'!$C$4,{"Base","Upside","Downside"},0),C37,D37,E37)</f>
        <v>0</v>
      </c>
      <c r="G37" s="21"/>
    </row>
    <row r="38" spans="1:7">
      <c r="A38" s="18" t="s">
        <v>85</v>
      </c>
      <c r="B38" s="16" t="s">
        <v>48</v>
      </c>
      <c r="C38" s="19">
        <v>1</v>
      </c>
      <c r="D38" s="19">
        <v>2</v>
      </c>
      <c r="E38" s="19">
        <v>0.5</v>
      </c>
      <c r="F38" s="20">
        <f>CHOOSE(MATCH('Assumptions'!$C$4,{"Base","Upside","Downside"},0),C38,D38,E38)</f>
        <v>0</v>
      </c>
      <c r="G38" s="21"/>
    </row>
    <row r="39" spans="1:7">
      <c r="A39" s="18" t="s">
        <v>86</v>
      </c>
      <c r="B39" s="16" t="s">
        <v>62</v>
      </c>
      <c r="C39" s="19">
        <v>14000</v>
      </c>
      <c r="D39" s="19">
        <v>14000</v>
      </c>
      <c r="E39" s="19">
        <v>14000</v>
      </c>
      <c r="F39" s="20">
        <f>CHOOSE(MATCH('Assumptions'!$C$4,{"Base","Upside","Downside"},0),C39,D39,E39)</f>
        <v>0</v>
      </c>
      <c r="G39" s="21"/>
    </row>
    <row r="40" spans="1:7">
      <c r="A40" s="18" t="s">
        <v>87</v>
      </c>
      <c r="B40" s="16" t="s">
        <v>48</v>
      </c>
      <c r="C40" s="19">
        <v>2</v>
      </c>
      <c r="D40" s="19">
        <v>2</v>
      </c>
      <c r="E40" s="19">
        <v>2</v>
      </c>
      <c r="F40" s="20">
        <f>CHOOSE(MATCH('Assumptions'!$C$4,{"Base","Upside","Downside"},0),C40,D40,E40)</f>
        <v>0</v>
      </c>
      <c r="G40" s="21" t="s">
        <v>88</v>
      </c>
    </row>
    <row r="41" spans="1:7">
      <c r="A41" s="18" t="s">
        <v>89</v>
      </c>
      <c r="B41" s="16" t="s">
        <v>48</v>
      </c>
      <c r="C41" s="19">
        <v>1</v>
      </c>
      <c r="D41" s="19">
        <v>1.5</v>
      </c>
      <c r="E41" s="19">
        <v>0.5</v>
      </c>
      <c r="F41" s="20">
        <f>CHOOSE(MATCH('Assumptions'!$C$4,{"Base","Upside","Downside"},0),C41,D41,E41)</f>
        <v>0</v>
      </c>
      <c r="G41" s="21"/>
    </row>
    <row r="42" spans="1:7">
      <c r="A42" s="18" t="s">
        <v>90</v>
      </c>
      <c r="B42" s="16" t="s">
        <v>62</v>
      </c>
      <c r="C42" s="19">
        <v>8000</v>
      </c>
      <c r="D42" s="19">
        <v>8000</v>
      </c>
      <c r="E42" s="19">
        <v>8000</v>
      </c>
      <c r="F42" s="20">
        <f>CHOOSE(MATCH('Assumptions'!$C$4,{"Base","Upside","Downside"},0),C42,D42,E42)</f>
        <v>0</v>
      </c>
      <c r="G42" s="21"/>
    </row>
    <row r="43" spans="1:7" ht="5" customHeight="1"/>
    <row r="44" spans="1:7">
      <c r="A44" s="14" t="s">
        <v>91</v>
      </c>
      <c r="B44" s="14"/>
      <c r="C44" s="14"/>
      <c r="D44" s="14"/>
      <c r="E44" s="14"/>
      <c r="F44" s="14"/>
      <c r="G44" s="14"/>
    </row>
    <row r="45" spans="1:7">
      <c r="A45" s="18" t="s">
        <v>92</v>
      </c>
      <c r="B45" s="16" t="s">
        <v>48</v>
      </c>
      <c r="C45" s="19">
        <v>6</v>
      </c>
      <c r="D45" s="19">
        <v>6</v>
      </c>
      <c r="E45" s="19">
        <v>6</v>
      </c>
      <c r="F45" s="20">
        <f>CHOOSE(MATCH('Assumptions'!$C$4,{"Base","Upside","Downside"},0),C45,D45,E45)</f>
        <v>0</v>
      </c>
      <c r="G45" s="21"/>
    </row>
    <row r="46" spans="1:7">
      <c r="A46" s="18" t="s">
        <v>93</v>
      </c>
      <c r="B46" s="16" t="s">
        <v>48</v>
      </c>
      <c r="C46" s="19">
        <v>2</v>
      </c>
      <c r="D46" s="19">
        <v>3</v>
      </c>
      <c r="E46" s="19">
        <v>1</v>
      </c>
      <c r="F46" s="20">
        <f>CHOOSE(MATCH('Assumptions'!$C$4,{"Base","Upside","Downside"},0),C46,D46,E46)</f>
        <v>0</v>
      </c>
      <c r="G46" s="21"/>
    </row>
    <row r="47" spans="1:7">
      <c r="A47" s="18" t="s">
        <v>94</v>
      </c>
      <c r="B47" s="16" t="s">
        <v>62</v>
      </c>
      <c r="C47" s="19">
        <v>15000</v>
      </c>
      <c r="D47" s="19">
        <v>15000</v>
      </c>
      <c r="E47" s="19">
        <v>15000</v>
      </c>
      <c r="F47" s="20">
        <f>CHOOSE(MATCH('Assumptions'!$C$4,{"Base","Upside","Downside"},0),C47,D47,E47)</f>
        <v>0</v>
      </c>
      <c r="G47" s="21"/>
    </row>
    <row r="48" spans="1:7" ht="5" customHeight="1"/>
    <row r="49" spans="1:7">
      <c r="A49" s="14" t="s">
        <v>95</v>
      </c>
      <c r="B49" s="14"/>
      <c r="C49" s="14"/>
      <c r="D49" s="14"/>
      <c r="E49" s="14"/>
      <c r="F49" s="14"/>
      <c r="G49" s="14"/>
    </row>
    <row r="50" spans="1:7">
      <c r="A50" s="18" t="s">
        <v>96</v>
      </c>
      <c r="B50" s="16" t="s">
        <v>48</v>
      </c>
      <c r="C50" s="19">
        <v>2</v>
      </c>
      <c r="D50" s="19">
        <v>2</v>
      </c>
      <c r="E50" s="19">
        <v>2</v>
      </c>
      <c r="F50" s="20">
        <f>CHOOSE(MATCH('Assumptions'!$C$4,{"Base","Upside","Downside"},0),C50,D50,E50)</f>
        <v>0</v>
      </c>
      <c r="G50" s="21" t="s">
        <v>97</v>
      </c>
    </row>
    <row r="51" spans="1:7">
      <c r="A51" s="18" t="s">
        <v>98</v>
      </c>
      <c r="B51" s="16" t="s">
        <v>48</v>
      </c>
      <c r="C51" s="19">
        <v>0.5</v>
      </c>
      <c r="D51" s="19">
        <v>0.5</v>
      </c>
      <c r="E51" s="19">
        <v>0.25</v>
      </c>
      <c r="F51" s="20">
        <f>CHOOSE(MATCH('Assumptions'!$C$4,{"Base","Upside","Downside"},0),C51,D51,E51)</f>
        <v>0</v>
      </c>
      <c r="G51" s="21"/>
    </row>
    <row r="52" spans="1:7">
      <c r="A52" s="18" t="s">
        <v>99</v>
      </c>
      <c r="B52" s="16" t="s">
        <v>62</v>
      </c>
      <c r="C52" s="19">
        <v>11000</v>
      </c>
      <c r="D52" s="19">
        <v>11000</v>
      </c>
      <c r="E52" s="19">
        <v>11000</v>
      </c>
      <c r="F52" s="20">
        <f>CHOOSE(MATCH('Assumptions'!$C$4,{"Base","Upside","Downside"},0),C52,D52,E52)</f>
        <v>0</v>
      </c>
      <c r="G52" s="21"/>
    </row>
    <row r="53" spans="1:7" ht="5" customHeight="1"/>
    <row r="54" spans="1:7">
      <c r="A54" s="14" t="s">
        <v>100</v>
      </c>
      <c r="B54" s="14"/>
      <c r="C54" s="14"/>
      <c r="D54" s="14"/>
      <c r="E54" s="14"/>
      <c r="F54" s="14"/>
      <c r="G54" s="14"/>
    </row>
    <row r="55" spans="1:7">
      <c r="A55" s="18" t="s">
        <v>101</v>
      </c>
      <c r="B55" s="16" t="s">
        <v>44</v>
      </c>
      <c r="C55" s="24">
        <v>0.1</v>
      </c>
      <c r="D55" s="24">
        <v>0.09</v>
      </c>
      <c r="E55" s="24">
        <v>0.12</v>
      </c>
      <c r="F55" s="25">
        <f>CHOOSE(MATCH('Assumptions'!$C$4,{"Base","Upside","Downside"},0),C55,D55,E55)</f>
        <v>0</v>
      </c>
      <c r="G55" s="21" t="s">
        <v>102</v>
      </c>
    </row>
    <row r="56" spans="1:7">
      <c r="A56" s="18" t="s">
        <v>103</v>
      </c>
      <c r="B56" s="16" t="s">
        <v>44</v>
      </c>
      <c r="C56" s="24">
        <v>0.12</v>
      </c>
      <c r="D56" s="24">
        <v>0.15</v>
      </c>
      <c r="E56" s="24">
        <v>0.08</v>
      </c>
      <c r="F56" s="25">
        <f>CHOOSE(MATCH('Assumptions'!$C$4,{"Base","Upside","Downside"},0),C56,D56,E56)</f>
        <v>0</v>
      </c>
      <c r="G56" s="21" t="s">
        <v>104</v>
      </c>
    </row>
    <row r="57" spans="1:7">
      <c r="A57" s="18" t="s">
        <v>105</v>
      </c>
      <c r="B57" s="16" t="s">
        <v>62</v>
      </c>
      <c r="C57" s="19">
        <v>6000</v>
      </c>
      <c r="D57" s="19">
        <v>6000</v>
      </c>
      <c r="E57" s="19">
        <v>6000</v>
      </c>
      <c r="F57" s="20">
        <f>CHOOSE(MATCH('Assumptions'!$C$4,{"Base","Upside","Downside"},0),C57,D57,E57)</f>
        <v>0</v>
      </c>
      <c r="G57" s="21"/>
    </row>
    <row r="58" spans="1:7">
      <c r="A58" s="18" t="s">
        <v>106</v>
      </c>
      <c r="B58" s="16" t="s">
        <v>62</v>
      </c>
      <c r="C58" s="19">
        <v>4000</v>
      </c>
      <c r="D58" s="19">
        <v>4000</v>
      </c>
      <c r="E58" s="19">
        <v>4000</v>
      </c>
      <c r="F58" s="20">
        <f>CHOOSE(MATCH('Assumptions'!$C$4,{"Base","Upside","Downside"},0),C58,D58,E58)</f>
        <v>0</v>
      </c>
      <c r="G58" s="21"/>
    </row>
    <row r="59" spans="1:7" ht="5" customHeight="1"/>
    <row r="60" spans="1:7">
      <c r="A60" s="14" t="s">
        <v>107</v>
      </c>
      <c r="B60" s="14"/>
      <c r="C60" s="14"/>
      <c r="D60" s="14"/>
      <c r="E60" s="14"/>
      <c r="F60" s="14"/>
      <c r="G60" s="14"/>
    </row>
    <row r="61" spans="1:7">
      <c r="A61" s="18" t="s">
        <v>108</v>
      </c>
      <c r="B61" s="16" t="s">
        <v>109</v>
      </c>
      <c r="C61" s="19">
        <v>35</v>
      </c>
      <c r="D61" s="19">
        <v>30</v>
      </c>
      <c r="E61" s="19">
        <v>42</v>
      </c>
      <c r="F61" s="20">
        <f>CHOOSE(MATCH('Assumptions'!$C$4,{"Base","Upside","Downside"},0),C61,D61,E61)</f>
        <v>0</v>
      </c>
      <c r="G61" s="21"/>
    </row>
    <row r="62" spans="1:7">
      <c r="A62" s="18" t="s">
        <v>110</v>
      </c>
      <c r="B62" s="16" t="s">
        <v>109</v>
      </c>
      <c r="C62" s="19">
        <v>30</v>
      </c>
      <c r="D62" s="19">
        <v>30</v>
      </c>
      <c r="E62" s="19">
        <v>30</v>
      </c>
      <c r="F62" s="20">
        <f>CHOOSE(MATCH('Assumptions'!$C$4,{"Base","Upside","Downside"},0),C62,D62,E62)</f>
        <v>0</v>
      </c>
      <c r="G62" s="21"/>
    </row>
    <row r="63" spans="1:7">
      <c r="A63" s="18" t="s">
        <v>111</v>
      </c>
      <c r="B63" s="16" t="s">
        <v>112</v>
      </c>
      <c r="C63" s="19">
        <v>1</v>
      </c>
      <c r="D63" s="19">
        <v>1.2</v>
      </c>
      <c r="E63" s="19">
        <v>0.8</v>
      </c>
      <c r="F63" s="20">
        <f>CHOOSE(MATCH('Assumptions'!$C$4,{"Base","Upside","Downside"},0),C63,D63,E63)</f>
        <v>0</v>
      </c>
      <c r="G63" s="21" t="s">
        <v>113</v>
      </c>
    </row>
    <row r="64" spans="1:7">
      <c r="A64" s="18" t="s">
        <v>114</v>
      </c>
      <c r="B64" s="16" t="s">
        <v>44</v>
      </c>
      <c r="C64" s="24">
        <v>0.02</v>
      </c>
      <c r="D64" s="24">
        <v>0.015</v>
      </c>
      <c r="E64" s="24">
        <v>0.025</v>
      </c>
      <c r="F64" s="25">
        <f>CHOOSE(MATCH('Assumptions'!$C$4,{"Base","Upside","Downside"},0),C64,D64,E64)</f>
        <v>0</v>
      </c>
      <c r="G64" s="21"/>
    </row>
    <row r="65" spans="1:7">
      <c r="A65" s="18" t="s">
        <v>115</v>
      </c>
      <c r="B65" s="16" t="s">
        <v>116</v>
      </c>
      <c r="C65" s="19">
        <v>36</v>
      </c>
      <c r="D65" s="19">
        <v>36</v>
      </c>
      <c r="E65" s="19">
        <v>36</v>
      </c>
      <c r="F65" s="20">
        <f>CHOOSE(MATCH('Assumptions'!$C$4,{"Base","Upside","Downside"},0),C65,D65,E65)</f>
        <v>0</v>
      </c>
      <c r="G65" s="21"/>
    </row>
    <row r="66" spans="1:7">
      <c r="A66" s="18" t="s">
        <v>117</v>
      </c>
      <c r="B66" s="16" t="s">
        <v>44</v>
      </c>
      <c r="C66" s="24">
        <v>0.03</v>
      </c>
      <c r="D66" s="24">
        <v>0.03</v>
      </c>
      <c r="E66" s="24">
        <v>0.03</v>
      </c>
      <c r="F66" s="25">
        <f>CHOOSE(MATCH('Assumptions'!$C$4,{"Base","Upside","Downside"},0),C66,D66,E66)</f>
        <v>0</v>
      </c>
      <c r="G66" s="21" t="s">
        <v>118</v>
      </c>
    </row>
    <row r="67" spans="1:7">
      <c r="A67" s="18" t="s">
        <v>119</v>
      </c>
      <c r="B67" s="16" t="s">
        <v>44</v>
      </c>
      <c r="C67" s="24">
        <v>0.09</v>
      </c>
      <c r="D67" s="24">
        <v>0.08</v>
      </c>
      <c r="E67" s="24">
        <v>0.11</v>
      </c>
      <c r="F67" s="25">
        <f>CHOOSE(MATCH('Assumptions'!$C$4,{"Base","Upside","Downside"},0),C67,D67,E67)</f>
        <v>0</v>
      </c>
      <c r="G67" s="21"/>
    </row>
    <row r="68" spans="1:7">
      <c r="A68" s="18" t="s">
        <v>120</v>
      </c>
      <c r="B68" s="16" t="s">
        <v>39</v>
      </c>
      <c r="C68" s="19">
        <v>750000</v>
      </c>
      <c r="D68" s="19">
        <v>750000</v>
      </c>
      <c r="E68" s="19">
        <v>500000</v>
      </c>
      <c r="F68" s="20">
        <f>CHOOSE(MATCH('Assumptions'!$C$4,{"Base","Upside","Downside"},0),C68,D68,E68)</f>
        <v>0</v>
      </c>
      <c r="G68" s="21"/>
    </row>
    <row r="69" spans="1:7">
      <c r="A69" s="18" t="s">
        <v>121</v>
      </c>
      <c r="B69" s="16" t="s">
        <v>62</v>
      </c>
      <c r="C69" s="19">
        <v>25000</v>
      </c>
      <c r="D69" s="19">
        <v>25000</v>
      </c>
      <c r="E69" s="19">
        <v>20000</v>
      </c>
      <c r="F69" s="20">
        <f>CHOOSE(MATCH('Assumptions'!$C$4,{"Base","Upside","Downside"},0),C69,D69,E69)</f>
        <v>0</v>
      </c>
      <c r="G69" s="21"/>
    </row>
    <row r="70" spans="1:7">
      <c r="A70" s="18" t="s">
        <v>122</v>
      </c>
      <c r="B70" s="16" t="s">
        <v>39</v>
      </c>
      <c r="C70" s="19">
        <v>6000000</v>
      </c>
      <c r="D70" s="19">
        <v>6000000</v>
      </c>
      <c r="E70" s="19">
        <v>5000000</v>
      </c>
      <c r="F70" s="20">
        <f>CHOOSE(MATCH('Assumptions'!$C$4,{"Base","Upside","Downside"},0),C70,D70,E70)</f>
        <v>0</v>
      </c>
      <c r="G70" s="21"/>
    </row>
    <row r="71" spans="1:7">
      <c r="A71" s="18" t="s">
        <v>123</v>
      </c>
      <c r="B71" s="16" t="s">
        <v>39</v>
      </c>
      <c r="C71" s="19">
        <v>12000000</v>
      </c>
      <c r="D71" s="19">
        <v>14000000</v>
      </c>
      <c r="E71" s="19">
        <v>9000000</v>
      </c>
      <c r="F71" s="20">
        <f>CHOOSE(MATCH('Assumptions'!$C$4,{"Base","Upside","Downside"},0),C71,D71,E71)</f>
        <v>0</v>
      </c>
      <c r="G71" s="21"/>
    </row>
    <row r="72" spans="1:7" ht="5" customHeight="1"/>
    <row r="74" spans="1:7" ht="30" customHeight="1">
      <c r="A74" s="21" t="s">
        <v>124</v>
      </c>
      <c r="B74" s="21"/>
      <c r="C74" s="21"/>
      <c r="D74" s="21"/>
      <c r="E74" s="21"/>
      <c r="F74" s="21"/>
      <c r="G74" s="21"/>
    </row>
  </sheetData>
  <mergeCells count="13">
    <mergeCell ref="A1:G1"/>
    <mergeCell ref="A2:G2"/>
    <mergeCell ref="A7:G7"/>
    <mergeCell ref="A12:G12"/>
    <mergeCell ref="A20:G20"/>
    <mergeCell ref="A26:G26"/>
    <mergeCell ref="A31:G31"/>
    <mergeCell ref="A36:G36"/>
    <mergeCell ref="A44:G44"/>
    <mergeCell ref="A49:G49"/>
    <mergeCell ref="A54:G54"/>
    <mergeCell ref="A60:G60"/>
    <mergeCell ref="A74:G74"/>
  </mergeCells>
  <dataValidations count="1">
    <dataValidation type="list" allowBlank="1" showInputMessage="1" showErrorMessage="1" promptTitle="Choose a scenario" prompt="Base, Upside, or Downside." sqref="C4">
      <formula1>"Base,Upside,Downside"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27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130</v>
      </c>
      <c r="B5" s="14" t="s">
        <v>131</v>
      </c>
      <c r="C5" s="14" t="s">
        <v>127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128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129</v>
      </c>
      <c r="BB5" s="14"/>
      <c r="BC5" s="14"/>
    </row>
    <row r="6" spans="1:55">
      <c r="A6" s="17"/>
      <c r="B6" s="17"/>
      <c r="C6" s="26">
        <v>46023</v>
      </c>
      <c r="D6" s="26">
        <v>46054</v>
      </c>
      <c r="E6" s="26">
        <v>46082</v>
      </c>
      <c r="F6" s="26">
        <v>46113</v>
      </c>
      <c r="G6" s="26">
        <v>46143</v>
      </c>
      <c r="H6" s="26">
        <v>46174</v>
      </c>
      <c r="I6" s="26">
        <v>46204</v>
      </c>
      <c r="J6" s="26">
        <v>46235</v>
      </c>
      <c r="K6" s="26">
        <v>46266</v>
      </c>
      <c r="L6" s="26">
        <v>46296</v>
      </c>
      <c r="M6" s="26">
        <v>46327</v>
      </c>
      <c r="N6" s="26">
        <v>46357</v>
      </c>
      <c r="O6" s="26">
        <v>46388</v>
      </c>
      <c r="P6" s="26">
        <v>46419</v>
      </c>
      <c r="Q6" s="26">
        <v>46447</v>
      </c>
      <c r="R6" s="26">
        <v>46478</v>
      </c>
      <c r="S6" s="26">
        <v>46508</v>
      </c>
      <c r="T6" s="26">
        <v>46539</v>
      </c>
      <c r="U6" s="26">
        <v>46569</v>
      </c>
      <c r="V6" s="26">
        <v>46600</v>
      </c>
      <c r="W6" s="26">
        <v>46631</v>
      </c>
      <c r="X6" s="26">
        <v>46661</v>
      </c>
      <c r="Y6" s="26">
        <v>46692</v>
      </c>
      <c r="Z6" s="26">
        <v>46722</v>
      </c>
      <c r="AA6" s="26">
        <v>46753</v>
      </c>
      <c r="AB6" s="26">
        <v>46784</v>
      </c>
      <c r="AC6" s="26">
        <v>46813</v>
      </c>
      <c r="AD6" s="26">
        <v>46844</v>
      </c>
      <c r="AE6" s="26">
        <v>46874</v>
      </c>
      <c r="AF6" s="26">
        <v>46905</v>
      </c>
      <c r="AG6" s="26">
        <v>46935</v>
      </c>
      <c r="AH6" s="26">
        <v>46966</v>
      </c>
      <c r="AI6" s="26">
        <v>46997</v>
      </c>
      <c r="AJ6" s="26">
        <v>47027</v>
      </c>
      <c r="AK6" s="26">
        <v>47058</v>
      </c>
      <c r="AL6" s="26">
        <v>47088</v>
      </c>
      <c r="AN6" s="17" t="s">
        <v>132</v>
      </c>
      <c r="AO6" s="17" t="s">
        <v>133</v>
      </c>
      <c r="AP6" s="17" t="s">
        <v>134</v>
      </c>
      <c r="AQ6" s="17" t="s">
        <v>135</v>
      </c>
      <c r="AR6" s="17" t="s">
        <v>136</v>
      </c>
      <c r="AS6" s="17" t="s">
        <v>137</v>
      </c>
      <c r="AT6" s="17" t="s">
        <v>138</v>
      </c>
      <c r="AU6" s="17" t="s">
        <v>139</v>
      </c>
      <c r="AV6" s="17" t="s">
        <v>140</v>
      </c>
      <c r="AW6" s="17" t="s">
        <v>141</v>
      </c>
      <c r="AX6" s="17" t="s">
        <v>142</v>
      </c>
      <c r="AY6" s="17" t="s">
        <v>143</v>
      </c>
      <c r="BA6" s="17" t="s">
        <v>144</v>
      </c>
      <c r="BB6" s="17" t="s">
        <v>145</v>
      </c>
      <c r="BC6" s="17" t="s">
        <v>146</v>
      </c>
    </row>
    <row r="7" spans="1:55" ht="16" customHeight="1">
      <c r="A7" s="14" t="s">
        <v>147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148</v>
      </c>
      <c r="B8" s="16" t="s">
        <v>149</v>
      </c>
      <c r="C8" s="27">
        <f>ROUND('Assumptions'!$F$32,1)</f>
        <v>0</v>
      </c>
      <c r="D8" s="27">
        <f>ROUND(C8+'Assumptions'!$F$33/3,1)</f>
        <v>0</v>
      </c>
      <c r="E8" s="27">
        <f>ROUND(D8+'Assumptions'!$F$33/3,1)</f>
        <v>0</v>
      </c>
      <c r="F8" s="27">
        <f>ROUND(E8+'Assumptions'!$F$33/3,1)</f>
        <v>0</v>
      </c>
      <c r="G8" s="27">
        <f>ROUND(F8+'Assumptions'!$F$33/3,1)</f>
        <v>0</v>
      </c>
      <c r="H8" s="27">
        <f>ROUND(G8+'Assumptions'!$F$33/3,1)</f>
        <v>0</v>
      </c>
      <c r="I8" s="27">
        <f>ROUND(H8+'Assumptions'!$F$33/3,1)</f>
        <v>0</v>
      </c>
      <c r="J8" s="27">
        <f>ROUND(I8+'Assumptions'!$F$33/3,1)</f>
        <v>0</v>
      </c>
      <c r="K8" s="27">
        <f>ROUND(J8+'Assumptions'!$F$33/3,1)</f>
        <v>0</v>
      </c>
      <c r="L8" s="27">
        <f>ROUND(K8+'Assumptions'!$F$33/3,1)</f>
        <v>0</v>
      </c>
      <c r="M8" s="27">
        <f>ROUND(L8+'Assumptions'!$F$33/3,1)</f>
        <v>0</v>
      </c>
      <c r="N8" s="27">
        <f>ROUND(M8+'Assumptions'!$F$33/3,1)</f>
        <v>0</v>
      </c>
      <c r="O8" s="27">
        <f>ROUND(N8+'Assumptions'!$F$33/3,1)</f>
        <v>0</v>
      </c>
      <c r="P8" s="27">
        <f>ROUND(O8+'Assumptions'!$F$33/3,1)</f>
        <v>0</v>
      </c>
      <c r="Q8" s="27">
        <f>ROUND(P8+'Assumptions'!$F$33/3,1)</f>
        <v>0</v>
      </c>
      <c r="R8" s="27">
        <f>ROUND(Q8+'Assumptions'!$F$33/3,1)</f>
        <v>0</v>
      </c>
      <c r="S8" s="27">
        <f>ROUND(R8+'Assumptions'!$F$33/3,1)</f>
        <v>0</v>
      </c>
      <c r="T8" s="27">
        <f>ROUND(S8+'Assumptions'!$F$33/3,1)</f>
        <v>0</v>
      </c>
      <c r="U8" s="27">
        <f>ROUND(T8+'Assumptions'!$F$33/3,1)</f>
        <v>0</v>
      </c>
      <c r="V8" s="27">
        <f>ROUND(U8+'Assumptions'!$F$33/3,1)</f>
        <v>0</v>
      </c>
      <c r="W8" s="27">
        <f>ROUND(V8+'Assumptions'!$F$33/3,1)</f>
        <v>0</v>
      </c>
      <c r="X8" s="27">
        <f>ROUND(W8+'Assumptions'!$F$33/3,1)</f>
        <v>0</v>
      </c>
      <c r="Y8" s="27">
        <f>ROUND(X8+'Assumptions'!$F$33/3,1)</f>
        <v>0</v>
      </c>
      <c r="Z8" s="27">
        <f>ROUND(Y8+'Assumptions'!$F$33/3,1)</f>
        <v>0</v>
      </c>
      <c r="AA8" s="27">
        <f>ROUND(Z8+'Assumptions'!$F$33/3,1)</f>
        <v>0</v>
      </c>
      <c r="AB8" s="27">
        <f>ROUND(AA8+'Assumptions'!$F$33/3,1)</f>
        <v>0</v>
      </c>
      <c r="AC8" s="27">
        <f>ROUND(AB8+'Assumptions'!$F$33/3,1)</f>
        <v>0</v>
      </c>
      <c r="AD8" s="27">
        <f>ROUND(AC8+'Assumptions'!$F$33/3,1)</f>
        <v>0</v>
      </c>
      <c r="AE8" s="27">
        <f>ROUND(AD8+'Assumptions'!$F$33/3,1)</f>
        <v>0</v>
      </c>
      <c r="AF8" s="27">
        <f>ROUND(AE8+'Assumptions'!$F$33/3,1)</f>
        <v>0</v>
      </c>
      <c r="AG8" s="27">
        <f>ROUND(AF8+'Assumptions'!$F$33/3,1)</f>
        <v>0</v>
      </c>
      <c r="AH8" s="27">
        <f>ROUND(AG8+'Assumptions'!$F$33/3,1)</f>
        <v>0</v>
      </c>
      <c r="AI8" s="27">
        <f>ROUND(AH8+'Assumptions'!$F$33/3,1)</f>
        <v>0</v>
      </c>
      <c r="AJ8" s="27">
        <f>ROUND(AI8+'Assumptions'!$F$33/3,1)</f>
        <v>0</v>
      </c>
      <c r="AK8" s="27">
        <f>ROUND(AJ8+'Assumptions'!$F$33/3,1)</f>
        <v>0</v>
      </c>
      <c r="AL8" s="27">
        <f>ROUND(AK8+'Assumptions'!$F$33/3,1)</f>
        <v>0</v>
      </c>
      <c r="AN8" s="27">
        <f>E8</f>
        <v>0</v>
      </c>
      <c r="AO8" s="27">
        <f>H8</f>
        <v>0</v>
      </c>
      <c r="AP8" s="27">
        <f>K8</f>
        <v>0</v>
      </c>
      <c r="AQ8" s="27">
        <f>N8</f>
        <v>0</v>
      </c>
      <c r="AR8" s="27">
        <f>Q8</f>
        <v>0</v>
      </c>
      <c r="AS8" s="27">
        <f>T8</f>
        <v>0</v>
      </c>
      <c r="AT8" s="27">
        <f>W8</f>
        <v>0</v>
      </c>
      <c r="AU8" s="27">
        <f>Z8</f>
        <v>0</v>
      </c>
      <c r="AV8" s="27">
        <f>AC8</f>
        <v>0</v>
      </c>
      <c r="AW8" s="27">
        <f>AF8</f>
        <v>0</v>
      </c>
      <c r="AX8" s="27">
        <f>AI8</f>
        <v>0</v>
      </c>
      <c r="AY8" s="27">
        <f>AL8</f>
        <v>0</v>
      </c>
      <c r="BA8" s="27">
        <f>N8</f>
        <v>0</v>
      </c>
      <c r="BB8" s="27">
        <f>Z8</f>
        <v>0</v>
      </c>
      <c r="BC8" s="27">
        <f>AL8</f>
        <v>0</v>
      </c>
    </row>
    <row r="9" spans="1:55">
      <c r="A9" s="18" t="s">
        <v>150</v>
      </c>
      <c r="B9" s="16" t="s">
        <v>151</v>
      </c>
      <c r="C9" s="20">
        <f>C8*'Assumptions'!$F$34</f>
        <v>0</v>
      </c>
      <c r="D9" s="20">
        <f>D8*'Assumptions'!$F$34</f>
        <v>0</v>
      </c>
      <c r="E9" s="20">
        <f>E8*'Assumptions'!$F$34</f>
        <v>0</v>
      </c>
      <c r="F9" s="20">
        <f>F8*'Assumptions'!$F$34</f>
        <v>0</v>
      </c>
      <c r="G9" s="20">
        <f>G8*'Assumptions'!$F$34</f>
        <v>0</v>
      </c>
      <c r="H9" s="20">
        <f>H8*'Assumptions'!$F$34</f>
        <v>0</v>
      </c>
      <c r="I9" s="20">
        <f>I8*'Assumptions'!$F$34</f>
        <v>0</v>
      </c>
      <c r="J9" s="20">
        <f>J8*'Assumptions'!$F$34</f>
        <v>0</v>
      </c>
      <c r="K9" s="20">
        <f>K8*'Assumptions'!$F$34</f>
        <v>0</v>
      </c>
      <c r="L9" s="20">
        <f>L8*'Assumptions'!$F$34</f>
        <v>0</v>
      </c>
      <c r="M9" s="20">
        <f>M8*'Assumptions'!$F$34</f>
        <v>0</v>
      </c>
      <c r="N9" s="20">
        <f>N8*'Assumptions'!$F$34</f>
        <v>0</v>
      </c>
      <c r="O9" s="20">
        <f>O8*'Assumptions'!$F$34</f>
        <v>0</v>
      </c>
      <c r="P9" s="20">
        <f>P8*'Assumptions'!$F$34</f>
        <v>0</v>
      </c>
      <c r="Q9" s="20">
        <f>Q8*'Assumptions'!$F$34</f>
        <v>0</v>
      </c>
      <c r="R9" s="20">
        <f>R8*'Assumptions'!$F$34</f>
        <v>0</v>
      </c>
      <c r="S9" s="20">
        <f>S8*'Assumptions'!$F$34</f>
        <v>0</v>
      </c>
      <c r="T9" s="20">
        <f>T8*'Assumptions'!$F$34</f>
        <v>0</v>
      </c>
      <c r="U9" s="20">
        <f>U8*'Assumptions'!$F$34</f>
        <v>0</v>
      </c>
      <c r="V9" s="20">
        <f>V8*'Assumptions'!$F$34</f>
        <v>0</v>
      </c>
      <c r="W9" s="20">
        <f>W8*'Assumptions'!$F$34</f>
        <v>0</v>
      </c>
      <c r="X9" s="20">
        <f>X8*'Assumptions'!$F$34</f>
        <v>0</v>
      </c>
      <c r="Y9" s="20">
        <f>Y8*'Assumptions'!$F$34</f>
        <v>0</v>
      </c>
      <c r="Z9" s="20">
        <f>Z8*'Assumptions'!$F$34</f>
        <v>0</v>
      </c>
      <c r="AA9" s="20">
        <f>AA8*'Assumptions'!$F$34</f>
        <v>0</v>
      </c>
      <c r="AB9" s="20">
        <f>AB8*'Assumptions'!$F$34</f>
        <v>0</v>
      </c>
      <c r="AC9" s="20">
        <f>AC8*'Assumptions'!$F$34</f>
        <v>0</v>
      </c>
      <c r="AD9" s="20">
        <f>AD8*'Assumptions'!$F$34</f>
        <v>0</v>
      </c>
      <c r="AE9" s="20">
        <f>AE8*'Assumptions'!$F$34</f>
        <v>0</v>
      </c>
      <c r="AF9" s="20">
        <f>AF8*'Assumptions'!$F$34</f>
        <v>0</v>
      </c>
      <c r="AG9" s="20">
        <f>AG8*'Assumptions'!$F$34</f>
        <v>0</v>
      </c>
      <c r="AH9" s="20">
        <f>AH8*'Assumptions'!$F$34</f>
        <v>0</v>
      </c>
      <c r="AI9" s="20">
        <f>AI8*'Assumptions'!$F$34</f>
        <v>0</v>
      </c>
      <c r="AJ9" s="20">
        <f>AJ8*'Assumptions'!$F$34</f>
        <v>0</v>
      </c>
      <c r="AK9" s="20">
        <f>AK8*'Assumptions'!$F$34</f>
        <v>0</v>
      </c>
      <c r="AL9" s="20">
        <f>AL8*'Assumptions'!$F$34</f>
        <v>0</v>
      </c>
      <c r="AN9" s="20">
        <f>SUM(C9:E9)</f>
        <v>0</v>
      </c>
      <c r="AO9" s="20">
        <f>SUM(F9:H9)</f>
        <v>0</v>
      </c>
      <c r="AP9" s="20">
        <f>SUM(I9:K9)</f>
        <v>0</v>
      </c>
      <c r="AQ9" s="20">
        <f>SUM(L9:N9)</f>
        <v>0</v>
      </c>
      <c r="AR9" s="20">
        <f>SUM(O9:Q9)</f>
        <v>0</v>
      </c>
      <c r="AS9" s="20">
        <f>SUM(R9:T9)</f>
        <v>0</v>
      </c>
      <c r="AT9" s="20">
        <f>SUM(U9:W9)</f>
        <v>0</v>
      </c>
      <c r="AU9" s="20">
        <f>SUM(X9:Z9)</f>
        <v>0</v>
      </c>
      <c r="AV9" s="20">
        <f>SUM(AA9:AC9)</f>
        <v>0</v>
      </c>
      <c r="AW9" s="20">
        <f>SUM(AD9:AF9)</f>
        <v>0</v>
      </c>
      <c r="AX9" s="20">
        <f>SUM(AG9:AI9)</f>
        <v>0</v>
      </c>
      <c r="AY9" s="20">
        <f>SUM(AJ9:AL9)</f>
        <v>0</v>
      </c>
      <c r="BA9" s="20">
        <f>SUM(C9:N9)</f>
        <v>0</v>
      </c>
      <c r="BB9" s="20">
        <f>SUM(O9:Z9)</f>
        <v>0</v>
      </c>
      <c r="BC9" s="20">
        <f>SUM(AA9:AL9)</f>
        <v>0</v>
      </c>
    </row>
    <row r="10" spans="1:55" ht="5" customHeight="1"/>
    <row r="11" spans="1:55" ht="16" customHeight="1">
      <c r="A11" s="14" t="s">
        <v>152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</row>
    <row r="12" spans="1:55">
      <c r="A12" s="18" t="s">
        <v>153</v>
      </c>
      <c r="B12" s="16" t="s">
        <v>154</v>
      </c>
      <c r="C12" s="27">
        <f>ROUND('Assumptions'!$F$37,1)</f>
        <v>0</v>
      </c>
      <c r="D12" s="27">
        <f>ROUND(C12+'Assumptions'!$F$38/3,1)</f>
        <v>0</v>
      </c>
      <c r="E12" s="27">
        <f>ROUND(D12+'Assumptions'!$F$38/3,1)</f>
        <v>0</v>
      </c>
      <c r="F12" s="27">
        <f>ROUND(E12+'Assumptions'!$F$38/3,1)</f>
        <v>0</v>
      </c>
      <c r="G12" s="27">
        <f>ROUND(F12+'Assumptions'!$F$38/3,1)</f>
        <v>0</v>
      </c>
      <c r="H12" s="27">
        <f>ROUND(G12+'Assumptions'!$F$38/3,1)</f>
        <v>0</v>
      </c>
      <c r="I12" s="27">
        <f>ROUND(H12+'Assumptions'!$F$38/3,1)</f>
        <v>0</v>
      </c>
      <c r="J12" s="27">
        <f>ROUND(I12+'Assumptions'!$F$38/3,1)</f>
        <v>0</v>
      </c>
      <c r="K12" s="27">
        <f>ROUND(J12+'Assumptions'!$F$38/3,1)</f>
        <v>0</v>
      </c>
      <c r="L12" s="27">
        <f>ROUND(K12+'Assumptions'!$F$38/3,1)</f>
        <v>0</v>
      </c>
      <c r="M12" s="27">
        <f>ROUND(L12+'Assumptions'!$F$38/3,1)</f>
        <v>0</v>
      </c>
      <c r="N12" s="27">
        <f>ROUND(M12+'Assumptions'!$F$38/3,1)</f>
        <v>0</v>
      </c>
      <c r="O12" s="27">
        <f>ROUND(N12+'Assumptions'!$F$38/3,1)</f>
        <v>0</v>
      </c>
      <c r="P12" s="27">
        <f>ROUND(O12+'Assumptions'!$F$38/3,1)</f>
        <v>0</v>
      </c>
      <c r="Q12" s="27">
        <f>ROUND(P12+'Assumptions'!$F$38/3,1)</f>
        <v>0</v>
      </c>
      <c r="R12" s="27">
        <f>ROUND(Q12+'Assumptions'!$F$38/3,1)</f>
        <v>0</v>
      </c>
      <c r="S12" s="27">
        <f>ROUND(R12+'Assumptions'!$F$38/3,1)</f>
        <v>0</v>
      </c>
      <c r="T12" s="27">
        <f>ROUND(S12+'Assumptions'!$F$38/3,1)</f>
        <v>0</v>
      </c>
      <c r="U12" s="27">
        <f>ROUND(T12+'Assumptions'!$F$38/3,1)</f>
        <v>0</v>
      </c>
      <c r="V12" s="27">
        <f>ROUND(U12+'Assumptions'!$F$38/3,1)</f>
        <v>0</v>
      </c>
      <c r="W12" s="27">
        <f>ROUND(V12+'Assumptions'!$F$38/3,1)</f>
        <v>0</v>
      </c>
      <c r="X12" s="27">
        <f>ROUND(W12+'Assumptions'!$F$38/3,1)</f>
        <v>0</v>
      </c>
      <c r="Y12" s="27">
        <f>ROUND(X12+'Assumptions'!$F$38/3,1)</f>
        <v>0</v>
      </c>
      <c r="Z12" s="27">
        <f>ROUND(Y12+'Assumptions'!$F$38/3,1)</f>
        <v>0</v>
      </c>
      <c r="AA12" s="27">
        <f>ROUND(Z12+'Assumptions'!$F$38/3,1)</f>
        <v>0</v>
      </c>
      <c r="AB12" s="27">
        <f>ROUND(AA12+'Assumptions'!$F$38/3,1)</f>
        <v>0</v>
      </c>
      <c r="AC12" s="27">
        <f>ROUND(AB12+'Assumptions'!$F$38/3,1)</f>
        <v>0</v>
      </c>
      <c r="AD12" s="27">
        <f>ROUND(AC12+'Assumptions'!$F$38/3,1)</f>
        <v>0</v>
      </c>
      <c r="AE12" s="27">
        <f>ROUND(AD12+'Assumptions'!$F$38/3,1)</f>
        <v>0</v>
      </c>
      <c r="AF12" s="27">
        <f>ROUND(AE12+'Assumptions'!$F$38/3,1)</f>
        <v>0</v>
      </c>
      <c r="AG12" s="27">
        <f>ROUND(AF12+'Assumptions'!$F$38/3,1)</f>
        <v>0</v>
      </c>
      <c r="AH12" s="27">
        <f>ROUND(AG12+'Assumptions'!$F$38/3,1)</f>
        <v>0</v>
      </c>
      <c r="AI12" s="27">
        <f>ROUND(AH12+'Assumptions'!$F$38/3,1)</f>
        <v>0</v>
      </c>
      <c r="AJ12" s="27">
        <f>ROUND(AI12+'Assumptions'!$F$38/3,1)</f>
        <v>0</v>
      </c>
      <c r="AK12" s="27">
        <f>ROUND(AJ12+'Assumptions'!$F$38/3,1)</f>
        <v>0</v>
      </c>
      <c r="AL12" s="27">
        <f>ROUND(AK12+'Assumptions'!$F$38/3,1)</f>
        <v>0</v>
      </c>
      <c r="AN12" s="27">
        <f>E12</f>
        <v>0</v>
      </c>
      <c r="AO12" s="27">
        <f>H12</f>
        <v>0</v>
      </c>
      <c r="AP12" s="27">
        <f>K12</f>
        <v>0</v>
      </c>
      <c r="AQ12" s="27">
        <f>N12</f>
        <v>0</v>
      </c>
      <c r="AR12" s="27">
        <f>Q12</f>
        <v>0</v>
      </c>
      <c r="AS12" s="27">
        <f>T12</f>
        <v>0</v>
      </c>
      <c r="AT12" s="27">
        <f>W12</f>
        <v>0</v>
      </c>
      <c r="AU12" s="27">
        <f>Z12</f>
        <v>0</v>
      </c>
      <c r="AV12" s="27">
        <f>AC12</f>
        <v>0</v>
      </c>
      <c r="AW12" s="27">
        <f>AF12</f>
        <v>0</v>
      </c>
      <c r="AX12" s="27">
        <f>AI12</f>
        <v>0</v>
      </c>
      <c r="AY12" s="27">
        <f>AL12</f>
        <v>0</v>
      </c>
      <c r="BA12" s="27">
        <f>N12</f>
        <v>0</v>
      </c>
      <c r="BB12" s="27">
        <f>Z12</f>
        <v>0</v>
      </c>
      <c r="BC12" s="27">
        <f>AL12</f>
        <v>0</v>
      </c>
    </row>
    <row r="13" spans="1:55">
      <c r="A13" s="18" t="s">
        <v>155</v>
      </c>
      <c r="B13" s="16" t="s">
        <v>151</v>
      </c>
      <c r="C13" s="20">
        <f>C12*'Assumptions'!$F$39</f>
        <v>0</v>
      </c>
      <c r="D13" s="20">
        <f>D12*'Assumptions'!$F$39</f>
        <v>0</v>
      </c>
      <c r="E13" s="20">
        <f>E12*'Assumptions'!$F$39</f>
        <v>0</v>
      </c>
      <c r="F13" s="20">
        <f>F12*'Assumptions'!$F$39</f>
        <v>0</v>
      </c>
      <c r="G13" s="20">
        <f>G12*'Assumptions'!$F$39</f>
        <v>0</v>
      </c>
      <c r="H13" s="20">
        <f>H12*'Assumptions'!$F$39</f>
        <v>0</v>
      </c>
      <c r="I13" s="20">
        <f>I12*'Assumptions'!$F$39</f>
        <v>0</v>
      </c>
      <c r="J13" s="20">
        <f>J12*'Assumptions'!$F$39</f>
        <v>0</v>
      </c>
      <c r="K13" s="20">
        <f>K12*'Assumptions'!$F$39</f>
        <v>0</v>
      </c>
      <c r="L13" s="20">
        <f>L12*'Assumptions'!$F$39</f>
        <v>0</v>
      </c>
      <c r="M13" s="20">
        <f>M12*'Assumptions'!$F$39</f>
        <v>0</v>
      </c>
      <c r="N13" s="20">
        <f>N12*'Assumptions'!$F$39</f>
        <v>0</v>
      </c>
      <c r="O13" s="20">
        <f>O12*'Assumptions'!$F$39</f>
        <v>0</v>
      </c>
      <c r="P13" s="20">
        <f>P12*'Assumptions'!$F$39</f>
        <v>0</v>
      </c>
      <c r="Q13" s="20">
        <f>Q12*'Assumptions'!$F$39</f>
        <v>0</v>
      </c>
      <c r="R13" s="20">
        <f>R12*'Assumptions'!$F$39</f>
        <v>0</v>
      </c>
      <c r="S13" s="20">
        <f>S12*'Assumptions'!$F$39</f>
        <v>0</v>
      </c>
      <c r="T13" s="20">
        <f>T12*'Assumptions'!$F$39</f>
        <v>0</v>
      </c>
      <c r="U13" s="20">
        <f>U12*'Assumptions'!$F$39</f>
        <v>0</v>
      </c>
      <c r="V13" s="20">
        <f>V12*'Assumptions'!$F$39</f>
        <v>0</v>
      </c>
      <c r="W13" s="20">
        <f>W12*'Assumptions'!$F$39</f>
        <v>0</v>
      </c>
      <c r="X13" s="20">
        <f>X12*'Assumptions'!$F$39</f>
        <v>0</v>
      </c>
      <c r="Y13" s="20">
        <f>Y12*'Assumptions'!$F$39</f>
        <v>0</v>
      </c>
      <c r="Z13" s="20">
        <f>Z12*'Assumptions'!$F$39</f>
        <v>0</v>
      </c>
      <c r="AA13" s="20">
        <f>AA12*'Assumptions'!$F$39</f>
        <v>0</v>
      </c>
      <c r="AB13" s="20">
        <f>AB12*'Assumptions'!$F$39</f>
        <v>0</v>
      </c>
      <c r="AC13" s="20">
        <f>AC12*'Assumptions'!$F$39</f>
        <v>0</v>
      </c>
      <c r="AD13" s="20">
        <f>AD12*'Assumptions'!$F$39</f>
        <v>0</v>
      </c>
      <c r="AE13" s="20">
        <f>AE12*'Assumptions'!$F$39</f>
        <v>0</v>
      </c>
      <c r="AF13" s="20">
        <f>AF12*'Assumptions'!$F$39</f>
        <v>0</v>
      </c>
      <c r="AG13" s="20">
        <f>AG12*'Assumptions'!$F$39</f>
        <v>0</v>
      </c>
      <c r="AH13" s="20">
        <f>AH12*'Assumptions'!$F$39</f>
        <v>0</v>
      </c>
      <c r="AI13" s="20">
        <f>AI12*'Assumptions'!$F$39</f>
        <v>0</v>
      </c>
      <c r="AJ13" s="20">
        <f>AJ12*'Assumptions'!$F$39</f>
        <v>0</v>
      </c>
      <c r="AK13" s="20">
        <f>AK12*'Assumptions'!$F$39</f>
        <v>0</v>
      </c>
      <c r="AL13" s="20">
        <f>AL12*'Assumptions'!$F$39</f>
        <v>0</v>
      </c>
      <c r="AN13" s="20">
        <f>SUM(C13:E13)</f>
        <v>0</v>
      </c>
      <c r="AO13" s="20">
        <f>SUM(F13:H13)</f>
        <v>0</v>
      </c>
      <c r="AP13" s="20">
        <f>SUM(I13:K13)</f>
        <v>0</v>
      </c>
      <c r="AQ13" s="20">
        <f>SUM(L13:N13)</f>
        <v>0</v>
      </c>
      <c r="AR13" s="20">
        <f>SUM(O13:Q13)</f>
        <v>0</v>
      </c>
      <c r="AS13" s="20">
        <f>SUM(R13:T13)</f>
        <v>0</v>
      </c>
      <c r="AT13" s="20">
        <f>SUM(U13:W13)</f>
        <v>0</v>
      </c>
      <c r="AU13" s="20">
        <f>SUM(X13:Z13)</f>
        <v>0</v>
      </c>
      <c r="AV13" s="20">
        <f>SUM(AA13:AC13)</f>
        <v>0</v>
      </c>
      <c r="AW13" s="20">
        <f>SUM(AD13:AF13)</f>
        <v>0</v>
      </c>
      <c r="AX13" s="20">
        <f>SUM(AG13:AI13)</f>
        <v>0</v>
      </c>
      <c r="AY13" s="20">
        <f>SUM(AJ13:AL13)</f>
        <v>0</v>
      </c>
      <c r="BA13" s="20">
        <f>SUM(C13:N13)</f>
        <v>0</v>
      </c>
      <c r="BB13" s="20">
        <f>SUM(O13:Z13)</f>
        <v>0</v>
      </c>
      <c r="BC13" s="20">
        <f>SUM(AA13:AL13)</f>
        <v>0</v>
      </c>
    </row>
    <row r="14" spans="1:55">
      <c r="A14" s="18" t="s">
        <v>156</v>
      </c>
      <c r="B14" s="16" t="s">
        <v>154</v>
      </c>
      <c r="C14" s="27">
        <f>ROUND('Assumptions'!$F$40,1)</f>
        <v>0</v>
      </c>
      <c r="D14" s="27">
        <f>ROUND(C14+'Assumptions'!$F$41/3,1)</f>
        <v>0</v>
      </c>
      <c r="E14" s="27">
        <f>ROUND(D14+'Assumptions'!$F$41/3,1)</f>
        <v>0</v>
      </c>
      <c r="F14" s="27">
        <f>ROUND(E14+'Assumptions'!$F$41/3,1)</f>
        <v>0</v>
      </c>
      <c r="G14" s="27">
        <f>ROUND(F14+'Assumptions'!$F$41/3,1)</f>
        <v>0</v>
      </c>
      <c r="H14" s="27">
        <f>ROUND(G14+'Assumptions'!$F$41/3,1)</f>
        <v>0</v>
      </c>
      <c r="I14" s="27">
        <f>ROUND(H14+'Assumptions'!$F$41/3,1)</f>
        <v>0</v>
      </c>
      <c r="J14" s="27">
        <f>ROUND(I14+'Assumptions'!$F$41/3,1)</f>
        <v>0</v>
      </c>
      <c r="K14" s="27">
        <f>ROUND(J14+'Assumptions'!$F$41/3,1)</f>
        <v>0</v>
      </c>
      <c r="L14" s="27">
        <f>ROUND(K14+'Assumptions'!$F$41/3,1)</f>
        <v>0</v>
      </c>
      <c r="M14" s="27">
        <f>ROUND(L14+'Assumptions'!$F$41/3,1)</f>
        <v>0</v>
      </c>
      <c r="N14" s="27">
        <f>ROUND(M14+'Assumptions'!$F$41/3,1)</f>
        <v>0</v>
      </c>
      <c r="O14" s="27">
        <f>ROUND(N14+'Assumptions'!$F$41/3,1)</f>
        <v>0</v>
      </c>
      <c r="P14" s="27">
        <f>ROUND(O14+'Assumptions'!$F$41/3,1)</f>
        <v>0</v>
      </c>
      <c r="Q14" s="27">
        <f>ROUND(P14+'Assumptions'!$F$41/3,1)</f>
        <v>0</v>
      </c>
      <c r="R14" s="27">
        <f>ROUND(Q14+'Assumptions'!$F$41/3,1)</f>
        <v>0</v>
      </c>
      <c r="S14" s="27">
        <f>ROUND(R14+'Assumptions'!$F$41/3,1)</f>
        <v>0</v>
      </c>
      <c r="T14" s="27">
        <f>ROUND(S14+'Assumptions'!$F$41/3,1)</f>
        <v>0</v>
      </c>
      <c r="U14" s="27">
        <f>ROUND(T14+'Assumptions'!$F$41/3,1)</f>
        <v>0</v>
      </c>
      <c r="V14" s="27">
        <f>ROUND(U14+'Assumptions'!$F$41/3,1)</f>
        <v>0</v>
      </c>
      <c r="W14" s="27">
        <f>ROUND(V14+'Assumptions'!$F$41/3,1)</f>
        <v>0</v>
      </c>
      <c r="X14" s="27">
        <f>ROUND(W14+'Assumptions'!$F$41/3,1)</f>
        <v>0</v>
      </c>
      <c r="Y14" s="27">
        <f>ROUND(X14+'Assumptions'!$F$41/3,1)</f>
        <v>0</v>
      </c>
      <c r="Z14" s="27">
        <f>ROUND(Y14+'Assumptions'!$F$41/3,1)</f>
        <v>0</v>
      </c>
      <c r="AA14" s="27">
        <f>ROUND(Z14+'Assumptions'!$F$41/3,1)</f>
        <v>0</v>
      </c>
      <c r="AB14" s="27">
        <f>ROUND(AA14+'Assumptions'!$F$41/3,1)</f>
        <v>0</v>
      </c>
      <c r="AC14" s="27">
        <f>ROUND(AB14+'Assumptions'!$F$41/3,1)</f>
        <v>0</v>
      </c>
      <c r="AD14" s="27">
        <f>ROUND(AC14+'Assumptions'!$F$41/3,1)</f>
        <v>0</v>
      </c>
      <c r="AE14" s="27">
        <f>ROUND(AD14+'Assumptions'!$F$41/3,1)</f>
        <v>0</v>
      </c>
      <c r="AF14" s="27">
        <f>ROUND(AE14+'Assumptions'!$F$41/3,1)</f>
        <v>0</v>
      </c>
      <c r="AG14" s="27">
        <f>ROUND(AF14+'Assumptions'!$F$41/3,1)</f>
        <v>0</v>
      </c>
      <c r="AH14" s="27">
        <f>ROUND(AG14+'Assumptions'!$F$41/3,1)</f>
        <v>0</v>
      </c>
      <c r="AI14" s="27">
        <f>ROUND(AH14+'Assumptions'!$F$41/3,1)</f>
        <v>0</v>
      </c>
      <c r="AJ14" s="27">
        <f>ROUND(AI14+'Assumptions'!$F$41/3,1)</f>
        <v>0</v>
      </c>
      <c r="AK14" s="27">
        <f>ROUND(AJ14+'Assumptions'!$F$41/3,1)</f>
        <v>0</v>
      </c>
      <c r="AL14" s="27">
        <f>ROUND(AK14+'Assumptions'!$F$41/3,1)</f>
        <v>0</v>
      </c>
      <c r="AN14" s="27">
        <f>E14</f>
        <v>0</v>
      </c>
      <c r="AO14" s="27">
        <f>H14</f>
        <v>0</v>
      </c>
      <c r="AP14" s="27">
        <f>K14</f>
        <v>0</v>
      </c>
      <c r="AQ14" s="27">
        <f>N14</f>
        <v>0</v>
      </c>
      <c r="AR14" s="27">
        <f>Q14</f>
        <v>0</v>
      </c>
      <c r="AS14" s="27">
        <f>T14</f>
        <v>0</v>
      </c>
      <c r="AT14" s="27">
        <f>W14</f>
        <v>0</v>
      </c>
      <c r="AU14" s="27">
        <f>Z14</f>
        <v>0</v>
      </c>
      <c r="AV14" s="27">
        <f>AC14</f>
        <v>0</v>
      </c>
      <c r="AW14" s="27">
        <f>AF14</f>
        <v>0</v>
      </c>
      <c r="AX14" s="27">
        <f>AI14</f>
        <v>0</v>
      </c>
      <c r="AY14" s="27">
        <f>AL14</f>
        <v>0</v>
      </c>
      <c r="BA14" s="27">
        <f>N14</f>
        <v>0</v>
      </c>
      <c r="BB14" s="27">
        <f>Z14</f>
        <v>0</v>
      </c>
      <c r="BC14" s="27">
        <f>AL14</f>
        <v>0</v>
      </c>
    </row>
    <row r="15" spans="1:55">
      <c r="A15" s="18" t="s">
        <v>157</v>
      </c>
      <c r="B15" s="16" t="s">
        <v>151</v>
      </c>
      <c r="C15" s="20">
        <f>C14*'Assumptions'!$F$42</f>
        <v>0</v>
      </c>
      <c r="D15" s="20">
        <f>D14*'Assumptions'!$F$42</f>
        <v>0</v>
      </c>
      <c r="E15" s="20">
        <f>E14*'Assumptions'!$F$42</f>
        <v>0</v>
      </c>
      <c r="F15" s="20">
        <f>F14*'Assumptions'!$F$42</f>
        <v>0</v>
      </c>
      <c r="G15" s="20">
        <f>G14*'Assumptions'!$F$42</f>
        <v>0</v>
      </c>
      <c r="H15" s="20">
        <f>H14*'Assumptions'!$F$42</f>
        <v>0</v>
      </c>
      <c r="I15" s="20">
        <f>I14*'Assumptions'!$F$42</f>
        <v>0</v>
      </c>
      <c r="J15" s="20">
        <f>J14*'Assumptions'!$F$42</f>
        <v>0</v>
      </c>
      <c r="K15" s="20">
        <f>K14*'Assumptions'!$F$42</f>
        <v>0</v>
      </c>
      <c r="L15" s="20">
        <f>L14*'Assumptions'!$F$42</f>
        <v>0</v>
      </c>
      <c r="M15" s="20">
        <f>M14*'Assumptions'!$F$42</f>
        <v>0</v>
      </c>
      <c r="N15" s="20">
        <f>N14*'Assumptions'!$F$42</f>
        <v>0</v>
      </c>
      <c r="O15" s="20">
        <f>O14*'Assumptions'!$F$42</f>
        <v>0</v>
      </c>
      <c r="P15" s="20">
        <f>P14*'Assumptions'!$F$42</f>
        <v>0</v>
      </c>
      <c r="Q15" s="20">
        <f>Q14*'Assumptions'!$F$42</f>
        <v>0</v>
      </c>
      <c r="R15" s="20">
        <f>R14*'Assumptions'!$F$42</f>
        <v>0</v>
      </c>
      <c r="S15" s="20">
        <f>S14*'Assumptions'!$F$42</f>
        <v>0</v>
      </c>
      <c r="T15" s="20">
        <f>T14*'Assumptions'!$F$42</f>
        <v>0</v>
      </c>
      <c r="U15" s="20">
        <f>U14*'Assumptions'!$F$42</f>
        <v>0</v>
      </c>
      <c r="V15" s="20">
        <f>V14*'Assumptions'!$F$42</f>
        <v>0</v>
      </c>
      <c r="W15" s="20">
        <f>W14*'Assumptions'!$F$42</f>
        <v>0</v>
      </c>
      <c r="X15" s="20">
        <f>X14*'Assumptions'!$F$42</f>
        <v>0</v>
      </c>
      <c r="Y15" s="20">
        <f>Y14*'Assumptions'!$F$42</f>
        <v>0</v>
      </c>
      <c r="Z15" s="20">
        <f>Z14*'Assumptions'!$F$42</f>
        <v>0</v>
      </c>
      <c r="AA15" s="20">
        <f>AA14*'Assumptions'!$F$42</f>
        <v>0</v>
      </c>
      <c r="AB15" s="20">
        <f>AB14*'Assumptions'!$F$42</f>
        <v>0</v>
      </c>
      <c r="AC15" s="20">
        <f>AC14*'Assumptions'!$F$42</f>
        <v>0</v>
      </c>
      <c r="AD15" s="20">
        <f>AD14*'Assumptions'!$F$42</f>
        <v>0</v>
      </c>
      <c r="AE15" s="20">
        <f>AE14*'Assumptions'!$F$42</f>
        <v>0</v>
      </c>
      <c r="AF15" s="20">
        <f>AF14*'Assumptions'!$F$42</f>
        <v>0</v>
      </c>
      <c r="AG15" s="20">
        <f>AG14*'Assumptions'!$F$42</f>
        <v>0</v>
      </c>
      <c r="AH15" s="20">
        <f>AH14*'Assumptions'!$F$42</f>
        <v>0</v>
      </c>
      <c r="AI15" s="20">
        <f>AI14*'Assumptions'!$F$42</f>
        <v>0</v>
      </c>
      <c r="AJ15" s="20">
        <f>AJ14*'Assumptions'!$F$42</f>
        <v>0</v>
      </c>
      <c r="AK15" s="20">
        <f>AK14*'Assumptions'!$F$42</f>
        <v>0</v>
      </c>
      <c r="AL15" s="20">
        <f>AL14*'Assumptions'!$F$42</f>
        <v>0</v>
      </c>
      <c r="AN15" s="20">
        <f>SUM(C15:E15)</f>
        <v>0</v>
      </c>
      <c r="AO15" s="20">
        <f>SUM(F15:H15)</f>
        <v>0</v>
      </c>
      <c r="AP15" s="20">
        <f>SUM(I15:K15)</f>
        <v>0</v>
      </c>
      <c r="AQ15" s="20">
        <f>SUM(L15:N15)</f>
        <v>0</v>
      </c>
      <c r="AR15" s="20">
        <f>SUM(O15:Q15)</f>
        <v>0</v>
      </c>
      <c r="AS15" s="20">
        <f>SUM(R15:T15)</f>
        <v>0</v>
      </c>
      <c r="AT15" s="20">
        <f>SUM(U15:W15)</f>
        <v>0</v>
      </c>
      <c r="AU15" s="20">
        <f>SUM(X15:Z15)</f>
        <v>0</v>
      </c>
      <c r="AV15" s="20">
        <f>SUM(AA15:AC15)</f>
        <v>0</v>
      </c>
      <c r="AW15" s="20">
        <f>SUM(AD15:AF15)</f>
        <v>0</v>
      </c>
      <c r="AX15" s="20">
        <f>SUM(AG15:AI15)</f>
        <v>0</v>
      </c>
      <c r="AY15" s="20">
        <f>SUM(AJ15:AL15)</f>
        <v>0</v>
      </c>
      <c r="BA15" s="20">
        <f>SUM(C15:N15)</f>
        <v>0</v>
      </c>
      <c r="BB15" s="20">
        <f>SUM(O15:Z15)</f>
        <v>0</v>
      </c>
      <c r="BC15" s="20">
        <f>SUM(AA15:AL15)</f>
        <v>0</v>
      </c>
    </row>
    <row r="16" spans="1:55">
      <c r="A16" s="18" t="s">
        <v>158</v>
      </c>
      <c r="B16" s="16" t="s">
        <v>159</v>
      </c>
      <c r="C16" s="27">
        <f>ROUND('Assumptions'!$F$45,1)</f>
        <v>0</v>
      </c>
      <c r="D16" s="27">
        <f>ROUND(C16+'Assumptions'!$F$46/3,1)</f>
        <v>0</v>
      </c>
      <c r="E16" s="27">
        <f>ROUND(D16+'Assumptions'!$F$46/3,1)</f>
        <v>0</v>
      </c>
      <c r="F16" s="27">
        <f>ROUND(E16+'Assumptions'!$F$46/3,1)</f>
        <v>0</v>
      </c>
      <c r="G16" s="27">
        <f>ROUND(F16+'Assumptions'!$F$46/3,1)</f>
        <v>0</v>
      </c>
      <c r="H16" s="27">
        <f>ROUND(G16+'Assumptions'!$F$46/3,1)</f>
        <v>0</v>
      </c>
      <c r="I16" s="27">
        <f>ROUND(H16+'Assumptions'!$F$46/3,1)</f>
        <v>0</v>
      </c>
      <c r="J16" s="27">
        <f>ROUND(I16+'Assumptions'!$F$46/3,1)</f>
        <v>0</v>
      </c>
      <c r="K16" s="27">
        <f>ROUND(J16+'Assumptions'!$F$46/3,1)</f>
        <v>0</v>
      </c>
      <c r="L16" s="27">
        <f>ROUND(K16+'Assumptions'!$F$46/3,1)</f>
        <v>0</v>
      </c>
      <c r="M16" s="27">
        <f>ROUND(L16+'Assumptions'!$F$46/3,1)</f>
        <v>0</v>
      </c>
      <c r="N16" s="27">
        <f>ROUND(M16+'Assumptions'!$F$46/3,1)</f>
        <v>0</v>
      </c>
      <c r="O16" s="27">
        <f>ROUND(N16+'Assumptions'!$F$46/3,1)</f>
        <v>0</v>
      </c>
      <c r="P16" s="27">
        <f>ROUND(O16+'Assumptions'!$F$46/3,1)</f>
        <v>0</v>
      </c>
      <c r="Q16" s="27">
        <f>ROUND(P16+'Assumptions'!$F$46/3,1)</f>
        <v>0</v>
      </c>
      <c r="R16" s="27">
        <f>ROUND(Q16+'Assumptions'!$F$46/3,1)</f>
        <v>0</v>
      </c>
      <c r="S16" s="27">
        <f>ROUND(R16+'Assumptions'!$F$46/3,1)</f>
        <v>0</v>
      </c>
      <c r="T16" s="27">
        <f>ROUND(S16+'Assumptions'!$F$46/3,1)</f>
        <v>0</v>
      </c>
      <c r="U16" s="27">
        <f>ROUND(T16+'Assumptions'!$F$46/3,1)</f>
        <v>0</v>
      </c>
      <c r="V16" s="27">
        <f>ROUND(U16+'Assumptions'!$F$46/3,1)</f>
        <v>0</v>
      </c>
      <c r="W16" s="27">
        <f>ROUND(V16+'Assumptions'!$F$46/3,1)</f>
        <v>0</v>
      </c>
      <c r="X16" s="27">
        <f>ROUND(W16+'Assumptions'!$F$46/3,1)</f>
        <v>0</v>
      </c>
      <c r="Y16" s="27">
        <f>ROUND(X16+'Assumptions'!$F$46/3,1)</f>
        <v>0</v>
      </c>
      <c r="Z16" s="27">
        <f>ROUND(Y16+'Assumptions'!$F$46/3,1)</f>
        <v>0</v>
      </c>
      <c r="AA16" s="27">
        <f>ROUND(Z16+'Assumptions'!$F$46/3,1)</f>
        <v>0</v>
      </c>
      <c r="AB16" s="27">
        <f>ROUND(AA16+'Assumptions'!$F$46/3,1)</f>
        <v>0</v>
      </c>
      <c r="AC16" s="27">
        <f>ROUND(AB16+'Assumptions'!$F$46/3,1)</f>
        <v>0</v>
      </c>
      <c r="AD16" s="27">
        <f>ROUND(AC16+'Assumptions'!$F$46/3,1)</f>
        <v>0</v>
      </c>
      <c r="AE16" s="27">
        <f>ROUND(AD16+'Assumptions'!$F$46/3,1)</f>
        <v>0</v>
      </c>
      <c r="AF16" s="27">
        <f>ROUND(AE16+'Assumptions'!$F$46/3,1)</f>
        <v>0</v>
      </c>
      <c r="AG16" s="27">
        <f>ROUND(AF16+'Assumptions'!$F$46/3,1)</f>
        <v>0</v>
      </c>
      <c r="AH16" s="27">
        <f>ROUND(AG16+'Assumptions'!$F$46/3,1)</f>
        <v>0</v>
      </c>
      <c r="AI16" s="27">
        <f>ROUND(AH16+'Assumptions'!$F$46/3,1)</f>
        <v>0</v>
      </c>
      <c r="AJ16" s="27">
        <f>ROUND(AI16+'Assumptions'!$F$46/3,1)</f>
        <v>0</v>
      </c>
      <c r="AK16" s="27">
        <f>ROUND(AJ16+'Assumptions'!$F$46/3,1)</f>
        <v>0</v>
      </c>
      <c r="AL16" s="27">
        <f>ROUND(AK16+'Assumptions'!$F$46/3,1)</f>
        <v>0</v>
      </c>
      <c r="AN16" s="27">
        <f>E16</f>
        <v>0</v>
      </c>
      <c r="AO16" s="27">
        <f>H16</f>
        <v>0</v>
      </c>
      <c r="AP16" s="27">
        <f>K16</f>
        <v>0</v>
      </c>
      <c r="AQ16" s="27">
        <f>N16</f>
        <v>0</v>
      </c>
      <c r="AR16" s="27">
        <f>Q16</f>
        <v>0</v>
      </c>
      <c r="AS16" s="27">
        <f>T16</f>
        <v>0</v>
      </c>
      <c r="AT16" s="27">
        <f>W16</f>
        <v>0</v>
      </c>
      <c r="AU16" s="27">
        <f>Z16</f>
        <v>0</v>
      </c>
      <c r="AV16" s="27">
        <f>AC16</f>
        <v>0</v>
      </c>
      <c r="AW16" s="27">
        <f>AF16</f>
        <v>0</v>
      </c>
      <c r="AX16" s="27">
        <f>AI16</f>
        <v>0</v>
      </c>
      <c r="AY16" s="27">
        <f>AL16</f>
        <v>0</v>
      </c>
      <c r="BA16" s="27">
        <f>N16</f>
        <v>0</v>
      </c>
      <c r="BB16" s="27">
        <f>Z16</f>
        <v>0</v>
      </c>
      <c r="BC16" s="27">
        <f>AL16</f>
        <v>0</v>
      </c>
    </row>
    <row r="17" spans="1:55">
      <c r="A17" s="18" t="s">
        <v>160</v>
      </c>
      <c r="B17" s="16" t="s">
        <v>151</v>
      </c>
      <c r="C17" s="20">
        <f>C16*'Assumptions'!$F$47</f>
        <v>0</v>
      </c>
      <c r="D17" s="20">
        <f>D16*'Assumptions'!$F$47</f>
        <v>0</v>
      </c>
      <c r="E17" s="20">
        <f>E16*'Assumptions'!$F$47</f>
        <v>0</v>
      </c>
      <c r="F17" s="20">
        <f>F16*'Assumptions'!$F$47</f>
        <v>0</v>
      </c>
      <c r="G17" s="20">
        <f>G16*'Assumptions'!$F$47</f>
        <v>0</v>
      </c>
      <c r="H17" s="20">
        <f>H16*'Assumptions'!$F$47</f>
        <v>0</v>
      </c>
      <c r="I17" s="20">
        <f>I16*'Assumptions'!$F$47</f>
        <v>0</v>
      </c>
      <c r="J17" s="20">
        <f>J16*'Assumptions'!$F$47</f>
        <v>0</v>
      </c>
      <c r="K17" s="20">
        <f>K16*'Assumptions'!$F$47</f>
        <v>0</v>
      </c>
      <c r="L17" s="20">
        <f>L16*'Assumptions'!$F$47</f>
        <v>0</v>
      </c>
      <c r="M17" s="20">
        <f>M16*'Assumptions'!$F$47</f>
        <v>0</v>
      </c>
      <c r="N17" s="20">
        <f>N16*'Assumptions'!$F$47</f>
        <v>0</v>
      </c>
      <c r="O17" s="20">
        <f>O16*'Assumptions'!$F$47</f>
        <v>0</v>
      </c>
      <c r="P17" s="20">
        <f>P16*'Assumptions'!$F$47</f>
        <v>0</v>
      </c>
      <c r="Q17" s="20">
        <f>Q16*'Assumptions'!$F$47</f>
        <v>0</v>
      </c>
      <c r="R17" s="20">
        <f>R16*'Assumptions'!$F$47</f>
        <v>0</v>
      </c>
      <c r="S17" s="20">
        <f>S16*'Assumptions'!$F$47</f>
        <v>0</v>
      </c>
      <c r="T17" s="20">
        <f>T16*'Assumptions'!$F$47</f>
        <v>0</v>
      </c>
      <c r="U17" s="20">
        <f>U16*'Assumptions'!$F$47</f>
        <v>0</v>
      </c>
      <c r="V17" s="20">
        <f>V16*'Assumptions'!$F$47</f>
        <v>0</v>
      </c>
      <c r="W17" s="20">
        <f>W16*'Assumptions'!$F$47</f>
        <v>0</v>
      </c>
      <c r="X17" s="20">
        <f>X16*'Assumptions'!$F$47</f>
        <v>0</v>
      </c>
      <c r="Y17" s="20">
        <f>Y16*'Assumptions'!$F$47</f>
        <v>0</v>
      </c>
      <c r="Z17" s="20">
        <f>Z16*'Assumptions'!$F$47</f>
        <v>0</v>
      </c>
      <c r="AA17" s="20">
        <f>AA16*'Assumptions'!$F$47</f>
        <v>0</v>
      </c>
      <c r="AB17" s="20">
        <f>AB16*'Assumptions'!$F$47</f>
        <v>0</v>
      </c>
      <c r="AC17" s="20">
        <f>AC16*'Assumptions'!$F$47</f>
        <v>0</v>
      </c>
      <c r="AD17" s="20">
        <f>AD16*'Assumptions'!$F$47</f>
        <v>0</v>
      </c>
      <c r="AE17" s="20">
        <f>AE16*'Assumptions'!$F$47</f>
        <v>0</v>
      </c>
      <c r="AF17" s="20">
        <f>AF16*'Assumptions'!$F$47</f>
        <v>0</v>
      </c>
      <c r="AG17" s="20">
        <f>AG16*'Assumptions'!$F$47</f>
        <v>0</v>
      </c>
      <c r="AH17" s="20">
        <f>AH16*'Assumptions'!$F$47</f>
        <v>0</v>
      </c>
      <c r="AI17" s="20">
        <f>AI16*'Assumptions'!$F$47</f>
        <v>0</v>
      </c>
      <c r="AJ17" s="20">
        <f>AJ16*'Assumptions'!$F$47</f>
        <v>0</v>
      </c>
      <c r="AK17" s="20">
        <f>AK16*'Assumptions'!$F$47</f>
        <v>0</v>
      </c>
      <c r="AL17" s="20">
        <f>AL16*'Assumptions'!$F$47</f>
        <v>0</v>
      </c>
      <c r="AN17" s="20">
        <f>SUM(C17:E17)</f>
        <v>0</v>
      </c>
      <c r="AO17" s="20">
        <f>SUM(F17:H17)</f>
        <v>0</v>
      </c>
      <c r="AP17" s="20">
        <f>SUM(I17:K17)</f>
        <v>0</v>
      </c>
      <c r="AQ17" s="20">
        <f>SUM(L17:N17)</f>
        <v>0</v>
      </c>
      <c r="AR17" s="20">
        <f>SUM(O17:Q17)</f>
        <v>0</v>
      </c>
      <c r="AS17" s="20">
        <f>SUM(R17:T17)</f>
        <v>0</v>
      </c>
      <c r="AT17" s="20">
        <f>SUM(U17:W17)</f>
        <v>0</v>
      </c>
      <c r="AU17" s="20">
        <f>SUM(X17:Z17)</f>
        <v>0</v>
      </c>
      <c r="AV17" s="20">
        <f>SUM(AA17:AC17)</f>
        <v>0</v>
      </c>
      <c r="AW17" s="20">
        <f>SUM(AD17:AF17)</f>
        <v>0</v>
      </c>
      <c r="AX17" s="20">
        <f>SUM(AG17:AI17)</f>
        <v>0</v>
      </c>
      <c r="AY17" s="20">
        <f>SUM(AJ17:AL17)</f>
        <v>0</v>
      </c>
      <c r="BA17" s="20">
        <f>SUM(C17:N17)</f>
        <v>0</v>
      </c>
      <c r="BB17" s="20">
        <f>SUM(O17:Z17)</f>
        <v>0</v>
      </c>
      <c r="BC17" s="20">
        <f>SUM(AA17:AL17)</f>
        <v>0</v>
      </c>
    </row>
    <row r="18" spans="1:55">
      <c r="A18" s="18" t="s">
        <v>161</v>
      </c>
      <c r="B18" s="16" t="s">
        <v>162</v>
      </c>
      <c r="C18" s="27">
        <f>ROUND('Assumptions'!$F$50,1)</f>
        <v>0</v>
      </c>
      <c r="D18" s="27">
        <f>ROUND(C18+'Assumptions'!$F$51/3,1)</f>
        <v>0</v>
      </c>
      <c r="E18" s="27">
        <f>ROUND(D18+'Assumptions'!$F$51/3,1)</f>
        <v>0</v>
      </c>
      <c r="F18" s="27">
        <f>ROUND(E18+'Assumptions'!$F$51/3,1)</f>
        <v>0</v>
      </c>
      <c r="G18" s="27">
        <f>ROUND(F18+'Assumptions'!$F$51/3,1)</f>
        <v>0</v>
      </c>
      <c r="H18" s="27">
        <f>ROUND(G18+'Assumptions'!$F$51/3,1)</f>
        <v>0</v>
      </c>
      <c r="I18" s="27">
        <f>ROUND(H18+'Assumptions'!$F$51/3,1)</f>
        <v>0</v>
      </c>
      <c r="J18" s="27">
        <f>ROUND(I18+'Assumptions'!$F$51/3,1)</f>
        <v>0</v>
      </c>
      <c r="K18" s="27">
        <f>ROUND(J18+'Assumptions'!$F$51/3,1)</f>
        <v>0</v>
      </c>
      <c r="L18" s="27">
        <f>ROUND(K18+'Assumptions'!$F$51/3,1)</f>
        <v>0</v>
      </c>
      <c r="M18" s="27">
        <f>ROUND(L18+'Assumptions'!$F$51/3,1)</f>
        <v>0</v>
      </c>
      <c r="N18" s="27">
        <f>ROUND(M18+'Assumptions'!$F$51/3,1)</f>
        <v>0</v>
      </c>
      <c r="O18" s="27">
        <f>ROUND(N18+'Assumptions'!$F$51/3,1)</f>
        <v>0</v>
      </c>
      <c r="P18" s="27">
        <f>ROUND(O18+'Assumptions'!$F$51/3,1)</f>
        <v>0</v>
      </c>
      <c r="Q18" s="27">
        <f>ROUND(P18+'Assumptions'!$F$51/3,1)</f>
        <v>0</v>
      </c>
      <c r="R18" s="27">
        <f>ROUND(Q18+'Assumptions'!$F$51/3,1)</f>
        <v>0</v>
      </c>
      <c r="S18" s="27">
        <f>ROUND(R18+'Assumptions'!$F$51/3,1)</f>
        <v>0</v>
      </c>
      <c r="T18" s="27">
        <f>ROUND(S18+'Assumptions'!$F$51/3,1)</f>
        <v>0</v>
      </c>
      <c r="U18" s="27">
        <f>ROUND(T18+'Assumptions'!$F$51/3,1)</f>
        <v>0</v>
      </c>
      <c r="V18" s="27">
        <f>ROUND(U18+'Assumptions'!$F$51/3,1)</f>
        <v>0</v>
      </c>
      <c r="W18" s="27">
        <f>ROUND(V18+'Assumptions'!$F$51/3,1)</f>
        <v>0</v>
      </c>
      <c r="X18" s="27">
        <f>ROUND(W18+'Assumptions'!$F$51/3,1)</f>
        <v>0</v>
      </c>
      <c r="Y18" s="27">
        <f>ROUND(X18+'Assumptions'!$F$51/3,1)</f>
        <v>0</v>
      </c>
      <c r="Z18" s="27">
        <f>ROUND(Y18+'Assumptions'!$F$51/3,1)</f>
        <v>0</v>
      </c>
      <c r="AA18" s="27">
        <f>ROUND(Z18+'Assumptions'!$F$51/3,1)</f>
        <v>0</v>
      </c>
      <c r="AB18" s="27">
        <f>ROUND(AA18+'Assumptions'!$F$51/3,1)</f>
        <v>0</v>
      </c>
      <c r="AC18" s="27">
        <f>ROUND(AB18+'Assumptions'!$F$51/3,1)</f>
        <v>0</v>
      </c>
      <c r="AD18" s="27">
        <f>ROUND(AC18+'Assumptions'!$F$51/3,1)</f>
        <v>0</v>
      </c>
      <c r="AE18" s="27">
        <f>ROUND(AD18+'Assumptions'!$F$51/3,1)</f>
        <v>0</v>
      </c>
      <c r="AF18" s="27">
        <f>ROUND(AE18+'Assumptions'!$F$51/3,1)</f>
        <v>0</v>
      </c>
      <c r="AG18" s="27">
        <f>ROUND(AF18+'Assumptions'!$F$51/3,1)</f>
        <v>0</v>
      </c>
      <c r="AH18" s="27">
        <f>ROUND(AG18+'Assumptions'!$F$51/3,1)</f>
        <v>0</v>
      </c>
      <c r="AI18" s="27">
        <f>ROUND(AH18+'Assumptions'!$F$51/3,1)</f>
        <v>0</v>
      </c>
      <c r="AJ18" s="27">
        <f>ROUND(AI18+'Assumptions'!$F$51/3,1)</f>
        <v>0</v>
      </c>
      <c r="AK18" s="27">
        <f>ROUND(AJ18+'Assumptions'!$F$51/3,1)</f>
        <v>0</v>
      </c>
      <c r="AL18" s="27">
        <f>ROUND(AK18+'Assumptions'!$F$51/3,1)</f>
        <v>0</v>
      </c>
      <c r="AN18" s="27">
        <f>E18</f>
        <v>0</v>
      </c>
      <c r="AO18" s="27">
        <f>H18</f>
        <v>0</v>
      </c>
      <c r="AP18" s="27">
        <f>K18</f>
        <v>0</v>
      </c>
      <c r="AQ18" s="27">
        <f>N18</f>
        <v>0</v>
      </c>
      <c r="AR18" s="27">
        <f>Q18</f>
        <v>0</v>
      </c>
      <c r="AS18" s="27">
        <f>T18</f>
        <v>0</v>
      </c>
      <c r="AT18" s="27">
        <f>W18</f>
        <v>0</v>
      </c>
      <c r="AU18" s="27">
        <f>Z18</f>
        <v>0</v>
      </c>
      <c r="AV18" s="27">
        <f>AC18</f>
        <v>0</v>
      </c>
      <c r="AW18" s="27">
        <f>AF18</f>
        <v>0</v>
      </c>
      <c r="AX18" s="27">
        <f>AI18</f>
        <v>0</v>
      </c>
      <c r="AY18" s="27">
        <f>AL18</f>
        <v>0</v>
      </c>
      <c r="BA18" s="27">
        <f>N18</f>
        <v>0</v>
      </c>
      <c r="BB18" s="27">
        <f>Z18</f>
        <v>0</v>
      </c>
      <c r="BC18" s="27">
        <f>AL18</f>
        <v>0</v>
      </c>
    </row>
    <row r="19" spans="1:55">
      <c r="A19" s="18" t="s">
        <v>163</v>
      </c>
      <c r="B19" s="16" t="s">
        <v>151</v>
      </c>
      <c r="C19" s="20">
        <f>C18*'Assumptions'!$F$52</f>
        <v>0</v>
      </c>
      <c r="D19" s="20">
        <f>D18*'Assumptions'!$F$52</f>
        <v>0</v>
      </c>
      <c r="E19" s="20">
        <f>E18*'Assumptions'!$F$52</f>
        <v>0</v>
      </c>
      <c r="F19" s="20">
        <f>F18*'Assumptions'!$F$52</f>
        <v>0</v>
      </c>
      <c r="G19" s="20">
        <f>G18*'Assumptions'!$F$52</f>
        <v>0</v>
      </c>
      <c r="H19" s="20">
        <f>H18*'Assumptions'!$F$52</f>
        <v>0</v>
      </c>
      <c r="I19" s="20">
        <f>I18*'Assumptions'!$F$52</f>
        <v>0</v>
      </c>
      <c r="J19" s="20">
        <f>J18*'Assumptions'!$F$52</f>
        <v>0</v>
      </c>
      <c r="K19" s="20">
        <f>K18*'Assumptions'!$F$52</f>
        <v>0</v>
      </c>
      <c r="L19" s="20">
        <f>L18*'Assumptions'!$F$52</f>
        <v>0</v>
      </c>
      <c r="M19" s="20">
        <f>M18*'Assumptions'!$F$52</f>
        <v>0</v>
      </c>
      <c r="N19" s="20">
        <f>N18*'Assumptions'!$F$52</f>
        <v>0</v>
      </c>
      <c r="O19" s="20">
        <f>O18*'Assumptions'!$F$52</f>
        <v>0</v>
      </c>
      <c r="P19" s="20">
        <f>P18*'Assumptions'!$F$52</f>
        <v>0</v>
      </c>
      <c r="Q19" s="20">
        <f>Q18*'Assumptions'!$F$52</f>
        <v>0</v>
      </c>
      <c r="R19" s="20">
        <f>R18*'Assumptions'!$F$52</f>
        <v>0</v>
      </c>
      <c r="S19" s="20">
        <f>S18*'Assumptions'!$F$52</f>
        <v>0</v>
      </c>
      <c r="T19" s="20">
        <f>T18*'Assumptions'!$F$52</f>
        <v>0</v>
      </c>
      <c r="U19" s="20">
        <f>U18*'Assumptions'!$F$52</f>
        <v>0</v>
      </c>
      <c r="V19" s="20">
        <f>V18*'Assumptions'!$F$52</f>
        <v>0</v>
      </c>
      <c r="W19" s="20">
        <f>W18*'Assumptions'!$F$52</f>
        <v>0</v>
      </c>
      <c r="X19" s="20">
        <f>X18*'Assumptions'!$F$52</f>
        <v>0</v>
      </c>
      <c r="Y19" s="20">
        <f>Y18*'Assumptions'!$F$52</f>
        <v>0</v>
      </c>
      <c r="Z19" s="20">
        <f>Z18*'Assumptions'!$F$52</f>
        <v>0</v>
      </c>
      <c r="AA19" s="20">
        <f>AA18*'Assumptions'!$F$52</f>
        <v>0</v>
      </c>
      <c r="AB19" s="20">
        <f>AB18*'Assumptions'!$F$52</f>
        <v>0</v>
      </c>
      <c r="AC19" s="20">
        <f>AC18*'Assumptions'!$F$52</f>
        <v>0</v>
      </c>
      <c r="AD19" s="20">
        <f>AD18*'Assumptions'!$F$52</f>
        <v>0</v>
      </c>
      <c r="AE19" s="20">
        <f>AE18*'Assumptions'!$F$52</f>
        <v>0</v>
      </c>
      <c r="AF19" s="20">
        <f>AF18*'Assumptions'!$F$52</f>
        <v>0</v>
      </c>
      <c r="AG19" s="20">
        <f>AG18*'Assumptions'!$F$52</f>
        <v>0</v>
      </c>
      <c r="AH19" s="20">
        <f>AH18*'Assumptions'!$F$52</f>
        <v>0</v>
      </c>
      <c r="AI19" s="20">
        <f>AI18*'Assumptions'!$F$52</f>
        <v>0</v>
      </c>
      <c r="AJ19" s="20">
        <f>AJ18*'Assumptions'!$F$52</f>
        <v>0</v>
      </c>
      <c r="AK19" s="20">
        <f>AK18*'Assumptions'!$F$52</f>
        <v>0</v>
      </c>
      <c r="AL19" s="20">
        <f>AL18*'Assumptions'!$F$52</f>
        <v>0</v>
      </c>
      <c r="AN19" s="20">
        <f>SUM(C19:E19)</f>
        <v>0</v>
      </c>
      <c r="AO19" s="20">
        <f>SUM(F19:H19)</f>
        <v>0</v>
      </c>
      <c r="AP19" s="20">
        <f>SUM(I19:K19)</f>
        <v>0</v>
      </c>
      <c r="AQ19" s="20">
        <f>SUM(L19:N19)</f>
        <v>0</v>
      </c>
      <c r="AR19" s="20">
        <f>SUM(O19:Q19)</f>
        <v>0</v>
      </c>
      <c r="AS19" s="20">
        <f>SUM(R19:T19)</f>
        <v>0</v>
      </c>
      <c r="AT19" s="20">
        <f>SUM(U19:W19)</f>
        <v>0</v>
      </c>
      <c r="AU19" s="20">
        <f>SUM(X19:Z19)</f>
        <v>0</v>
      </c>
      <c r="AV19" s="20">
        <f>SUM(AA19:AC19)</f>
        <v>0</v>
      </c>
      <c r="AW19" s="20">
        <f>SUM(AD19:AF19)</f>
        <v>0</v>
      </c>
      <c r="AX19" s="20">
        <f>SUM(AG19:AI19)</f>
        <v>0</v>
      </c>
      <c r="AY19" s="20">
        <f>SUM(AJ19:AL19)</f>
        <v>0</v>
      </c>
      <c r="BA19" s="20">
        <f>SUM(C19:N19)</f>
        <v>0</v>
      </c>
      <c r="BB19" s="20">
        <f>SUM(O19:Z19)</f>
        <v>0</v>
      </c>
      <c r="BC19" s="20">
        <f>SUM(AA19:AL19)</f>
        <v>0</v>
      </c>
    </row>
    <row r="20" spans="1:55" ht="5" customHeight="1"/>
    <row r="21" spans="1:55" ht="16" customHeight="1">
      <c r="A21" s="14" t="s">
        <v>164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</row>
    <row r="22" spans="1:55">
      <c r="A22" s="28" t="s">
        <v>165</v>
      </c>
      <c r="B22" s="16" t="s">
        <v>166</v>
      </c>
      <c r="C22" s="27">
        <f>C8+C12+C14+C16+C18</f>
        <v>0</v>
      </c>
      <c r="D22" s="27">
        <f>D8+D12+D14+D16+D18</f>
        <v>0</v>
      </c>
      <c r="E22" s="27">
        <f>E8+E12+E14+E16+E18</f>
        <v>0</v>
      </c>
      <c r="F22" s="27">
        <f>F8+F12+F14+F16+F18</f>
        <v>0</v>
      </c>
      <c r="G22" s="27">
        <f>G8+G12+G14+G16+G18</f>
        <v>0</v>
      </c>
      <c r="H22" s="27">
        <f>H8+H12+H14+H16+H18</f>
        <v>0</v>
      </c>
      <c r="I22" s="27">
        <f>I8+I12+I14+I16+I18</f>
        <v>0</v>
      </c>
      <c r="J22" s="27">
        <f>J8+J12+J14+J16+J18</f>
        <v>0</v>
      </c>
      <c r="K22" s="27">
        <f>K8+K12+K14+K16+K18</f>
        <v>0</v>
      </c>
      <c r="L22" s="27">
        <f>L8+L12+L14+L16+L18</f>
        <v>0</v>
      </c>
      <c r="M22" s="27">
        <f>M8+M12+M14+M16+M18</f>
        <v>0</v>
      </c>
      <c r="N22" s="27">
        <f>N8+N12+N14+N16+N18</f>
        <v>0</v>
      </c>
      <c r="O22" s="27">
        <f>O8+O12+O14+O16+O18</f>
        <v>0</v>
      </c>
      <c r="P22" s="27">
        <f>P8+P12+P14+P16+P18</f>
        <v>0</v>
      </c>
      <c r="Q22" s="27">
        <f>Q8+Q12+Q14+Q16+Q18</f>
        <v>0</v>
      </c>
      <c r="R22" s="27">
        <f>R8+R12+R14+R16+R18</f>
        <v>0</v>
      </c>
      <c r="S22" s="27">
        <f>S8+S12+S14+S16+S18</f>
        <v>0</v>
      </c>
      <c r="T22" s="27">
        <f>T8+T12+T14+T16+T18</f>
        <v>0</v>
      </c>
      <c r="U22" s="27">
        <f>U8+U12+U14+U16+U18</f>
        <v>0</v>
      </c>
      <c r="V22" s="27">
        <f>V8+V12+V14+V16+V18</f>
        <v>0</v>
      </c>
      <c r="W22" s="27">
        <f>W8+W12+W14+W16+W18</f>
        <v>0</v>
      </c>
      <c r="X22" s="27">
        <f>X8+X12+X14+X16+X18</f>
        <v>0</v>
      </c>
      <c r="Y22" s="27">
        <f>Y8+Y12+Y14+Y16+Y18</f>
        <v>0</v>
      </c>
      <c r="Z22" s="27">
        <f>Z8+Z12+Z14+Z16+Z18</f>
        <v>0</v>
      </c>
      <c r="AA22" s="27">
        <f>AA8+AA12+AA14+AA16+AA18</f>
        <v>0</v>
      </c>
      <c r="AB22" s="27">
        <f>AB8+AB12+AB14+AB16+AB18</f>
        <v>0</v>
      </c>
      <c r="AC22" s="27">
        <f>AC8+AC12+AC14+AC16+AC18</f>
        <v>0</v>
      </c>
      <c r="AD22" s="27">
        <f>AD8+AD12+AD14+AD16+AD18</f>
        <v>0</v>
      </c>
      <c r="AE22" s="27">
        <f>AE8+AE12+AE14+AE16+AE18</f>
        <v>0</v>
      </c>
      <c r="AF22" s="27">
        <f>AF8+AF12+AF14+AF16+AF18</f>
        <v>0</v>
      </c>
      <c r="AG22" s="27">
        <f>AG8+AG12+AG14+AG16+AG18</f>
        <v>0</v>
      </c>
      <c r="AH22" s="27">
        <f>AH8+AH12+AH14+AH16+AH18</f>
        <v>0</v>
      </c>
      <c r="AI22" s="27">
        <f>AI8+AI12+AI14+AI16+AI18</f>
        <v>0</v>
      </c>
      <c r="AJ22" s="27">
        <f>AJ8+AJ12+AJ14+AJ16+AJ18</f>
        <v>0</v>
      </c>
      <c r="AK22" s="27">
        <f>AK8+AK12+AK14+AK16+AK18</f>
        <v>0</v>
      </c>
      <c r="AL22" s="27">
        <f>AL8+AL12+AL14+AL16+AL18</f>
        <v>0</v>
      </c>
      <c r="AN22" s="27">
        <f>E22</f>
        <v>0</v>
      </c>
      <c r="AO22" s="27">
        <f>H22</f>
        <v>0</v>
      </c>
      <c r="AP22" s="27">
        <f>K22</f>
        <v>0</v>
      </c>
      <c r="AQ22" s="27">
        <f>N22</f>
        <v>0</v>
      </c>
      <c r="AR22" s="27">
        <f>Q22</f>
        <v>0</v>
      </c>
      <c r="AS22" s="27">
        <f>T22</f>
        <v>0</v>
      </c>
      <c r="AT22" s="27">
        <f>W22</f>
        <v>0</v>
      </c>
      <c r="AU22" s="27">
        <f>Z22</f>
        <v>0</v>
      </c>
      <c r="AV22" s="27">
        <f>AC22</f>
        <v>0</v>
      </c>
      <c r="AW22" s="27">
        <f>AF22</f>
        <v>0</v>
      </c>
      <c r="AX22" s="27">
        <f>AI22</f>
        <v>0</v>
      </c>
      <c r="AY22" s="27">
        <f>AL22</f>
        <v>0</v>
      </c>
      <c r="BA22" s="27">
        <f>N22</f>
        <v>0</v>
      </c>
      <c r="BB22" s="27">
        <f>Z22</f>
        <v>0</v>
      </c>
      <c r="BC22" s="27">
        <f>AL22</f>
        <v>0</v>
      </c>
    </row>
    <row r="23" spans="1:55">
      <c r="A23" s="28" t="s">
        <v>167</v>
      </c>
      <c r="B23" s="16" t="s">
        <v>168</v>
      </c>
      <c r="C23" s="29">
        <f>C9</f>
        <v>0</v>
      </c>
      <c r="D23" s="29">
        <f>D9</f>
        <v>0</v>
      </c>
      <c r="E23" s="29">
        <f>E9</f>
        <v>0</v>
      </c>
      <c r="F23" s="29">
        <f>F9</f>
        <v>0</v>
      </c>
      <c r="G23" s="29">
        <f>G9</f>
        <v>0</v>
      </c>
      <c r="H23" s="29">
        <f>H9</f>
        <v>0</v>
      </c>
      <c r="I23" s="29">
        <f>I9</f>
        <v>0</v>
      </c>
      <c r="J23" s="29">
        <f>J9</f>
        <v>0</v>
      </c>
      <c r="K23" s="29">
        <f>K9</f>
        <v>0</v>
      </c>
      <c r="L23" s="29">
        <f>L9</f>
        <v>0</v>
      </c>
      <c r="M23" s="29">
        <f>M9</f>
        <v>0</v>
      </c>
      <c r="N23" s="29">
        <f>N9</f>
        <v>0</v>
      </c>
      <c r="O23" s="29">
        <f>O9</f>
        <v>0</v>
      </c>
      <c r="P23" s="29">
        <f>P9</f>
        <v>0</v>
      </c>
      <c r="Q23" s="29">
        <f>Q9</f>
        <v>0</v>
      </c>
      <c r="R23" s="29">
        <f>R9</f>
        <v>0</v>
      </c>
      <c r="S23" s="29">
        <f>S9</f>
        <v>0</v>
      </c>
      <c r="T23" s="29">
        <f>T9</f>
        <v>0</v>
      </c>
      <c r="U23" s="29">
        <f>U9</f>
        <v>0</v>
      </c>
      <c r="V23" s="29">
        <f>V9</f>
        <v>0</v>
      </c>
      <c r="W23" s="29">
        <f>W9</f>
        <v>0</v>
      </c>
      <c r="X23" s="29">
        <f>X9</f>
        <v>0</v>
      </c>
      <c r="Y23" s="29">
        <f>Y9</f>
        <v>0</v>
      </c>
      <c r="Z23" s="29">
        <f>Z9</f>
        <v>0</v>
      </c>
      <c r="AA23" s="29">
        <f>AA9</f>
        <v>0</v>
      </c>
      <c r="AB23" s="29">
        <f>AB9</f>
        <v>0</v>
      </c>
      <c r="AC23" s="29">
        <f>AC9</f>
        <v>0</v>
      </c>
      <c r="AD23" s="29">
        <f>AD9</f>
        <v>0</v>
      </c>
      <c r="AE23" s="29">
        <f>AE9</f>
        <v>0</v>
      </c>
      <c r="AF23" s="29">
        <f>AF9</f>
        <v>0</v>
      </c>
      <c r="AG23" s="29">
        <f>AG9</f>
        <v>0</v>
      </c>
      <c r="AH23" s="29">
        <f>AH9</f>
        <v>0</v>
      </c>
      <c r="AI23" s="29">
        <f>AI9</f>
        <v>0</v>
      </c>
      <c r="AJ23" s="29">
        <f>AJ9</f>
        <v>0</v>
      </c>
      <c r="AK23" s="29">
        <f>AK9</f>
        <v>0</v>
      </c>
      <c r="AL23" s="29">
        <f>AL9</f>
        <v>0</v>
      </c>
      <c r="AN23" s="29">
        <f>SUM(C23:E23)</f>
        <v>0</v>
      </c>
      <c r="AO23" s="29">
        <f>SUM(F23:H23)</f>
        <v>0</v>
      </c>
      <c r="AP23" s="29">
        <f>SUM(I23:K23)</f>
        <v>0</v>
      </c>
      <c r="AQ23" s="29">
        <f>SUM(L23:N23)</f>
        <v>0</v>
      </c>
      <c r="AR23" s="29">
        <f>SUM(O23:Q23)</f>
        <v>0</v>
      </c>
      <c r="AS23" s="29">
        <f>SUM(R23:T23)</f>
        <v>0</v>
      </c>
      <c r="AT23" s="29">
        <f>SUM(U23:W23)</f>
        <v>0</v>
      </c>
      <c r="AU23" s="29">
        <f>SUM(X23:Z23)</f>
        <v>0</v>
      </c>
      <c r="AV23" s="29">
        <f>SUM(AA23:AC23)</f>
        <v>0</v>
      </c>
      <c r="AW23" s="29">
        <f>SUM(AD23:AF23)</f>
        <v>0</v>
      </c>
      <c r="AX23" s="29">
        <f>SUM(AG23:AI23)</f>
        <v>0</v>
      </c>
      <c r="AY23" s="29">
        <f>SUM(AJ23:AL23)</f>
        <v>0</v>
      </c>
      <c r="BA23" s="29">
        <f>SUM(C23:N23)</f>
        <v>0</v>
      </c>
      <c r="BB23" s="29">
        <f>SUM(O23:Z23)</f>
        <v>0</v>
      </c>
      <c r="BC23" s="29">
        <f>SUM(AA23:AL23)</f>
        <v>0</v>
      </c>
    </row>
    <row r="24" spans="1:55">
      <c r="A24" s="28" t="s">
        <v>169</v>
      </c>
      <c r="B24" s="16" t="s">
        <v>170</v>
      </c>
      <c r="C24" s="29">
        <f>C13+C15+C17+C19</f>
        <v>0</v>
      </c>
      <c r="D24" s="29">
        <f>D13+D15+D17+D19</f>
        <v>0</v>
      </c>
      <c r="E24" s="29">
        <f>E13+E15+E17+E19</f>
        <v>0</v>
      </c>
      <c r="F24" s="29">
        <f>F13+F15+F17+F19</f>
        <v>0</v>
      </c>
      <c r="G24" s="29">
        <f>G13+G15+G17+G19</f>
        <v>0</v>
      </c>
      <c r="H24" s="29">
        <f>H13+H15+H17+H19</f>
        <v>0</v>
      </c>
      <c r="I24" s="29">
        <f>I13+I15+I17+I19</f>
        <v>0</v>
      </c>
      <c r="J24" s="29">
        <f>J13+J15+J17+J19</f>
        <v>0</v>
      </c>
      <c r="K24" s="29">
        <f>K13+K15+K17+K19</f>
        <v>0</v>
      </c>
      <c r="L24" s="29">
        <f>L13+L15+L17+L19</f>
        <v>0</v>
      </c>
      <c r="M24" s="29">
        <f>M13+M15+M17+M19</f>
        <v>0</v>
      </c>
      <c r="N24" s="29">
        <f>N13+N15+N17+N19</f>
        <v>0</v>
      </c>
      <c r="O24" s="29">
        <f>O13+O15+O17+O19</f>
        <v>0</v>
      </c>
      <c r="P24" s="29">
        <f>P13+P15+P17+P19</f>
        <v>0</v>
      </c>
      <c r="Q24" s="29">
        <f>Q13+Q15+Q17+Q19</f>
        <v>0</v>
      </c>
      <c r="R24" s="29">
        <f>R13+R15+R17+R19</f>
        <v>0</v>
      </c>
      <c r="S24" s="29">
        <f>S13+S15+S17+S19</f>
        <v>0</v>
      </c>
      <c r="T24" s="29">
        <f>T13+T15+T17+T19</f>
        <v>0</v>
      </c>
      <c r="U24" s="29">
        <f>U13+U15+U17+U19</f>
        <v>0</v>
      </c>
      <c r="V24" s="29">
        <f>V13+V15+V17+V19</f>
        <v>0</v>
      </c>
      <c r="W24" s="29">
        <f>W13+W15+W17+W19</f>
        <v>0</v>
      </c>
      <c r="X24" s="29">
        <f>X13+X15+X17+X19</f>
        <v>0</v>
      </c>
      <c r="Y24" s="29">
        <f>Y13+Y15+Y17+Y19</f>
        <v>0</v>
      </c>
      <c r="Z24" s="29">
        <f>Z13+Z15+Z17+Z19</f>
        <v>0</v>
      </c>
      <c r="AA24" s="29">
        <f>AA13+AA15+AA17+AA19</f>
        <v>0</v>
      </c>
      <c r="AB24" s="29">
        <f>AB13+AB15+AB17+AB19</f>
        <v>0</v>
      </c>
      <c r="AC24" s="29">
        <f>AC13+AC15+AC17+AC19</f>
        <v>0</v>
      </c>
      <c r="AD24" s="29">
        <f>AD13+AD15+AD17+AD19</f>
        <v>0</v>
      </c>
      <c r="AE24" s="29">
        <f>AE13+AE15+AE17+AE19</f>
        <v>0</v>
      </c>
      <c r="AF24" s="29">
        <f>AF13+AF15+AF17+AF19</f>
        <v>0</v>
      </c>
      <c r="AG24" s="29">
        <f>AG13+AG15+AG17+AG19</f>
        <v>0</v>
      </c>
      <c r="AH24" s="29">
        <f>AH13+AH15+AH17+AH19</f>
        <v>0</v>
      </c>
      <c r="AI24" s="29">
        <f>AI13+AI15+AI17+AI19</f>
        <v>0</v>
      </c>
      <c r="AJ24" s="29">
        <f>AJ13+AJ15+AJ17+AJ19</f>
        <v>0</v>
      </c>
      <c r="AK24" s="29">
        <f>AK13+AK15+AK17+AK19</f>
        <v>0</v>
      </c>
      <c r="AL24" s="29">
        <f>AL13+AL15+AL17+AL19</f>
        <v>0</v>
      </c>
      <c r="AN24" s="29">
        <f>SUM(C24:E24)</f>
        <v>0</v>
      </c>
      <c r="AO24" s="29">
        <f>SUM(F24:H24)</f>
        <v>0</v>
      </c>
      <c r="AP24" s="29">
        <f>SUM(I24:K24)</f>
        <v>0</v>
      </c>
      <c r="AQ24" s="29">
        <f>SUM(L24:N24)</f>
        <v>0</v>
      </c>
      <c r="AR24" s="29">
        <f>SUM(O24:Q24)</f>
        <v>0</v>
      </c>
      <c r="AS24" s="29">
        <f>SUM(R24:T24)</f>
        <v>0</v>
      </c>
      <c r="AT24" s="29">
        <f>SUM(U24:W24)</f>
        <v>0</v>
      </c>
      <c r="AU24" s="29">
        <f>SUM(X24:Z24)</f>
        <v>0</v>
      </c>
      <c r="AV24" s="29">
        <f>SUM(AA24:AC24)</f>
        <v>0</v>
      </c>
      <c r="AW24" s="29">
        <f>SUM(AD24:AF24)</f>
        <v>0</v>
      </c>
      <c r="AX24" s="29">
        <f>SUM(AG24:AI24)</f>
        <v>0</v>
      </c>
      <c r="AY24" s="29">
        <f>SUM(AJ24:AL24)</f>
        <v>0</v>
      </c>
      <c r="BA24" s="29">
        <f>SUM(C24:N24)</f>
        <v>0</v>
      </c>
      <c r="BB24" s="29">
        <f>SUM(O24:Z24)</f>
        <v>0</v>
      </c>
      <c r="BC24" s="29">
        <f>SUM(AA24:AL24)</f>
        <v>0</v>
      </c>
    </row>
    <row r="25" spans="1:55">
      <c r="A25" s="18" t="s">
        <v>171</v>
      </c>
      <c r="B25" s="16"/>
      <c r="C25" s="20">
        <f>C19</f>
        <v>0</v>
      </c>
      <c r="D25" s="20">
        <f>D19</f>
        <v>0</v>
      </c>
      <c r="E25" s="20">
        <f>E19</f>
        <v>0</v>
      </c>
      <c r="F25" s="20">
        <f>F19</f>
        <v>0</v>
      </c>
      <c r="G25" s="20">
        <f>G19</f>
        <v>0</v>
      </c>
      <c r="H25" s="20">
        <f>H19</f>
        <v>0</v>
      </c>
      <c r="I25" s="20">
        <f>I19</f>
        <v>0</v>
      </c>
      <c r="J25" s="20">
        <f>J19</f>
        <v>0</v>
      </c>
      <c r="K25" s="20">
        <f>K19</f>
        <v>0</v>
      </c>
      <c r="L25" s="20">
        <f>L19</f>
        <v>0</v>
      </c>
      <c r="M25" s="20">
        <f>M19</f>
        <v>0</v>
      </c>
      <c r="N25" s="20">
        <f>N19</f>
        <v>0</v>
      </c>
      <c r="O25" s="20">
        <f>O19</f>
        <v>0</v>
      </c>
      <c r="P25" s="20">
        <f>P19</f>
        <v>0</v>
      </c>
      <c r="Q25" s="20">
        <f>Q19</f>
        <v>0</v>
      </c>
      <c r="R25" s="20">
        <f>R19</f>
        <v>0</v>
      </c>
      <c r="S25" s="20">
        <f>S19</f>
        <v>0</v>
      </c>
      <c r="T25" s="20">
        <f>T19</f>
        <v>0</v>
      </c>
      <c r="U25" s="20">
        <f>U19</f>
        <v>0</v>
      </c>
      <c r="V25" s="20">
        <f>V19</f>
        <v>0</v>
      </c>
      <c r="W25" s="20">
        <f>W19</f>
        <v>0</v>
      </c>
      <c r="X25" s="20">
        <f>X19</f>
        <v>0</v>
      </c>
      <c r="Y25" s="20">
        <f>Y19</f>
        <v>0</v>
      </c>
      <c r="Z25" s="20">
        <f>Z19</f>
        <v>0</v>
      </c>
      <c r="AA25" s="20">
        <f>AA19</f>
        <v>0</v>
      </c>
      <c r="AB25" s="20">
        <f>AB19</f>
        <v>0</v>
      </c>
      <c r="AC25" s="20">
        <f>AC19</f>
        <v>0</v>
      </c>
      <c r="AD25" s="20">
        <f>AD19</f>
        <v>0</v>
      </c>
      <c r="AE25" s="20">
        <f>AE19</f>
        <v>0</v>
      </c>
      <c r="AF25" s="20">
        <f>AF19</f>
        <v>0</v>
      </c>
      <c r="AG25" s="20">
        <f>AG19</f>
        <v>0</v>
      </c>
      <c r="AH25" s="20">
        <f>AH19</f>
        <v>0</v>
      </c>
      <c r="AI25" s="20">
        <f>AI19</f>
        <v>0</v>
      </c>
      <c r="AJ25" s="20">
        <f>AJ19</f>
        <v>0</v>
      </c>
      <c r="AK25" s="20">
        <f>AK19</f>
        <v>0</v>
      </c>
      <c r="AL25" s="20">
        <f>AL19</f>
        <v>0</v>
      </c>
      <c r="AN25" s="20">
        <f>SUM(C25:E25)</f>
        <v>0</v>
      </c>
      <c r="AO25" s="20">
        <f>SUM(F25:H25)</f>
        <v>0</v>
      </c>
      <c r="AP25" s="20">
        <f>SUM(I25:K25)</f>
        <v>0</v>
      </c>
      <c r="AQ25" s="20">
        <f>SUM(L25:N25)</f>
        <v>0</v>
      </c>
      <c r="AR25" s="20">
        <f>SUM(O25:Q25)</f>
        <v>0</v>
      </c>
      <c r="AS25" s="20">
        <f>SUM(R25:T25)</f>
        <v>0</v>
      </c>
      <c r="AT25" s="20">
        <f>SUM(U25:W25)</f>
        <v>0</v>
      </c>
      <c r="AU25" s="20">
        <f>SUM(X25:Z25)</f>
        <v>0</v>
      </c>
      <c r="AV25" s="20">
        <f>SUM(AA25:AC25)</f>
        <v>0</v>
      </c>
      <c r="AW25" s="20">
        <f>SUM(AD25:AF25)</f>
        <v>0</v>
      </c>
      <c r="AX25" s="20">
        <f>SUM(AG25:AI25)</f>
        <v>0</v>
      </c>
      <c r="AY25" s="20">
        <f>SUM(AJ25:AL25)</f>
        <v>0</v>
      </c>
      <c r="BA25" s="20">
        <f>SUM(C25:N25)</f>
        <v>0</v>
      </c>
      <c r="BB25" s="20">
        <f>SUM(O25:Z25)</f>
        <v>0</v>
      </c>
      <c r="BC25" s="20">
        <f>SUM(AA25:AL25)</f>
        <v>0</v>
      </c>
    </row>
    <row r="26" spans="1:55">
      <c r="A26" s="18" t="s">
        <v>172</v>
      </c>
      <c r="B26" s="16"/>
      <c r="C26" s="20">
        <f>C17</f>
        <v>0</v>
      </c>
      <c r="D26" s="20">
        <f>D17</f>
        <v>0</v>
      </c>
      <c r="E26" s="20">
        <f>E17</f>
        <v>0</v>
      </c>
      <c r="F26" s="20">
        <f>F17</f>
        <v>0</v>
      </c>
      <c r="G26" s="20">
        <f>G17</f>
        <v>0</v>
      </c>
      <c r="H26" s="20">
        <f>H17</f>
        <v>0</v>
      </c>
      <c r="I26" s="20">
        <f>I17</f>
        <v>0</v>
      </c>
      <c r="J26" s="20">
        <f>J17</f>
        <v>0</v>
      </c>
      <c r="K26" s="20">
        <f>K17</f>
        <v>0</v>
      </c>
      <c r="L26" s="20">
        <f>L17</f>
        <v>0</v>
      </c>
      <c r="M26" s="20">
        <f>M17</f>
        <v>0</v>
      </c>
      <c r="N26" s="20">
        <f>N17</f>
        <v>0</v>
      </c>
      <c r="O26" s="20">
        <f>O17</f>
        <v>0</v>
      </c>
      <c r="P26" s="20">
        <f>P17</f>
        <v>0</v>
      </c>
      <c r="Q26" s="20">
        <f>Q17</f>
        <v>0</v>
      </c>
      <c r="R26" s="20">
        <f>R17</f>
        <v>0</v>
      </c>
      <c r="S26" s="20">
        <f>S17</f>
        <v>0</v>
      </c>
      <c r="T26" s="20">
        <f>T17</f>
        <v>0</v>
      </c>
      <c r="U26" s="20">
        <f>U17</f>
        <v>0</v>
      </c>
      <c r="V26" s="20">
        <f>V17</f>
        <v>0</v>
      </c>
      <c r="W26" s="20">
        <f>W17</f>
        <v>0</v>
      </c>
      <c r="X26" s="20">
        <f>X17</f>
        <v>0</v>
      </c>
      <c r="Y26" s="20">
        <f>Y17</f>
        <v>0</v>
      </c>
      <c r="Z26" s="20">
        <f>Z17</f>
        <v>0</v>
      </c>
      <c r="AA26" s="20">
        <f>AA17</f>
        <v>0</v>
      </c>
      <c r="AB26" s="20">
        <f>AB17</f>
        <v>0</v>
      </c>
      <c r="AC26" s="20">
        <f>AC17</f>
        <v>0</v>
      </c>
      <c r="AD26" s="20">
        <f>AD17</f>
        <v>0</v>
      </c>
      <c r="AE26" s="20">
        <f>AE17</f>
        <v>0</v>
      </c>
      <c r="AF26" s="20">
        <f>AF17</f>
        <v>0</v>
      </c>
      <c r="AG26" s="20">
        <f>AG17</f>
        <v>0</v>
      </c>
      <c r="AH26" s="20">
        <f>AH17</f>
        <v>0</v>
      </c>
      <c r="AI26" s="20">
        <f>AI17</f>
        <v>0</v>
      </c>
      <c r="AJ26" s="20">
        <f>AJ17</f>
        <v>0</v>
      </c>
      <c r="AK26" s="20">
        <f>AK17</f>
        <v>0</v>
      </c>
      <c r="AL26" s="20">
        <f>AL17</f>
        <v>0</v>
      </c>
      <c r="AN26" s="20">
        <f>SUM(C26:E26)</f>
        <v>0</v>
      </c>
      <c r="AO26" s="20">
        <f>SUM(F26:H26)</f>
        <v>0</v>
      </c>
      <c r="AP26" s="20">
        <f>SUM(I26:K26)</f>
        <v>0</v>
      </c>
      <c r="AQ26" s="20">
        <f>SUM(L26:N26)</f>
        <v>0</v>
      </c>
      <c r="AR26" s="20">
        <f>SUM(O26:Q26)</f>
        <v>0</v>
      </c>
      <c r="AS26" s="20">
        <f>SUM(R26:T26)</f>
        <v>0</v>
      </c>
      <c r="AT26" s="20">
        <f>SUM(U26:W26)</f>
        <v>0</v>
      </c>
      <c r="AU26" s="20">
        <f>SUM(X26:Z26)</f>
        <v>0</v>
      </c>
      <c r="AV26" s="20">
        <f>SUM(AA26:AC26)</f>
        <v>0</v>
      </c>
      <c r="AW26" s="20">
        <f>SUM(AD26:AF26)</f>
        <v>0</v>
      </c>
      <c r="AX26" s="20">
        <f>SUM(AG26:AI26)</f>
        <v>0</v>
      </c>
      <c r="AY26" s="20">
        <f>SUM(AJ26:AL26)</f>
        <v>0</v>
      </c>
      <c r="BA26" s="20">
        <f>SUM(C26:N26)</f>
        <v>0</v>
      </c>
      <c r="BB26" s="20">
        <f>SUM(O26:Z26)</f>
        <v>0</v>
      </c>
      <c r="BC26" s="20">
        <f>SUM(AA26:AL26)</f>
        <v>0</v>
      </c>
    </row>
    <row r="27" spans="1:55">
      <c r="A27" s="18" t="s">
        <v>173</v>
      </c>
      <c r="B27" s="16"/>
      <c r="C27" s="20">
        <f>C13+C15</f>
        <v>0</v>
      </c>
      <c r="D27" s="20">
        <f>D13+D15</f>
        <v>0</v>
      </c>
      <c r="E27" s="20">
        <f>E13+E15</f>
        <v>0</v>
      </c>
      <c r="F27" s="20">
        <f>F13+F15</f>
        <v>0</v>
      </c>
      <c r="G27" s="20">
        <f>G13+G15</f>
        <v>0</v>
      </c>
      <c r="H27" s="20">
        <f>H13+H15</f>
        <v>0</v>
      </c>
      <c r="I27" s="20">
        <f>I13+I15</f>
        <v>0</v>
      </c>
      <c r="J27" s="20">
        <f>J13+J15</f>
        <v>0</v>
      </c>
      <c r="K27" s="20">
        <f>K13+K15</f>
        <v>0</v>
      </c>
      <c r="L27" s="20">
        <f>L13+L15</f>
        <v>0</v>
      </c>
      <c r="M27" s="20">
        <f>M13+M15</f>
        <v>0</v>
      </c>
      <c r="N27" s="20">
        <f>N13+N15</f>
        <v>0</v>
      </c>
      <c r="O27" s="20">
        <f>O13+O15</f>
        <v>0</v>
      </c>
      <c r="P27" s="20">
        <f>P13+P15</f>
        <v>0</v>
      </c>
      <c r="Q27" s="20">
        <f>Q13+Q15</f>
        <v>0</v>
      </c>
      <c r="R27" s="20">
        <f>R13+R15</f>
        <v>0</v>
      </c>
      <c r="S27" s="20">
        <f>S13+S15</f>
        <v>0</v>
      </c>
      <c r="T27" s="20">
        <f>T13+T15</f>
        <v>0</v>
      </c>
      <c r="U27" s="20">
        <f>U13+U15</f>
        <v>0</v>
      </c>
      <c r="V27" s="20">
        <f>V13+V15</f>
        <v>0</v>
      </c>
      <c r="W27" s="20">
        <f>W13+W15</f>
        <v>0</v>
      </c>
      <c r="X27" s="20">
        <f>X13+X15</f>
        <v>0</v>
      </c>
      <c r="Y27" s="20">
        <f>Y13+Y15</f>
        <v>0</v>
      </c>
      <c r="Z27" s="20">
        <f>Z13+Z15</f>
        <v>0</v>
      </c>
      <c r="AA27" s="20">
        <f>AA13+AA15</f>
        <v>0</v>
      </c>
      <c r="AB27" s="20">
        <f>AB13+AB15</f>
        <v>0</v>
      </c>
      <c r="AC27" s="20">
        <f>AC13+AC15</f>
        <v>0</v>
      </c>
      <c r="AD27" s="20">
        <f>AD13+AD15</f>
        <v>0</v>
      </c>
      <c r="AE27" s="20">
        <f>AE13+AE15</f>
        <v>0</v>
      </c>
      <c r="AF27" s="20">
        <f>AF13+AF15</f>
        <v>0</v>
      </c>
      <c r="AG27" s="20">
        <f>AG13+AG15</f>
        <v>0</v>
      </c>
      <c r="AH27" s="20">
        <f>AH13+AH15</f>
        <v>0</v>
      </c>
      <c r="AI27" s="20">
        <f>AI13+AI15</f>
        <v>0</v>
      </c>
      <c r="AJ27" s="20">
        <f>AJ13+AJ15</f>
        <v>0</v>
      </c>
      <c r="AK27" s="20">
        <f>AK13+AK15</f>
        <v>0</v>
      </c>
      <c r="AL27" s="20">
        <f>AL13+AL15</f>
        <v>0</v>
      </c>
      <c r="AN27" s="20">
        <f>SUM(C27:E27)</f>
        <v>0</v>
      </c>
      <c r="AO27" s="20">
        <f>SUM(F27:H27)</f>
        <v>0</v>
      </c>
      <c r="AP27" s="20">
        <f>SUM(I27:K27)</f>
        <v>0</v>
      </c>
      <c r="AQ27" s="20">
        <f>SUM(L27:N27)</f>
        <v>0</v>
      </c>
      <c r="AR27" s="20">
        <f>SUM(O27:Q27)</f>
        <v>0</v>
      </c>
      <c r="AS27" s="20">
        <f>SUM(R27:T27)</f>
        <v>0</v>
      </c>
      <c r="AT27" s="20">
        <f>SUM(U27:W27)</f>
        <v>0</v>
      </c>
      <c r="AU27" s="20">
        <f>SUM(X27:Z27)</f>
        <v>0</v>
      </c>
      <c r="AV27" s="20">
        <f>SUM(AA27:AC27)</f>
        <v>0</v>
      </c>
      <c r="AW27" s="20">
        <f>SUM(AD27:AF27)</f>
        <v>0</v>
      </c>
      <c r="AX27" s="20">
        <f>SUM(AG27:AI27)</f>
        <v>0</v>
      </c>
      <c r="AY27" s="20">
        <f>SUM(AJ27:AL27)</f>
        <v>0</v>
      </c>
      <c r="BA27" s="20">
        <f>SUM(C27:N27)</f>
        <v>0</v>
      </c>
      <c r="BB27" s="20">
        <f>SUM(O27:Z27)</f>
        <v>0</v>
      </c>
      <c r="BC27" s="20">
        <f>SUM(AA27:AL27)</f>
        <v>0</v>
      </c>
    </row>
  </sheetData>
  <mergeCells count="8">
    <mergeCell ref="A1:BC1"/>
    <mergeCell ref="A2:BC2"/>
    <mergeCell ref="C5:AL5"/>
    <mergeCell ref="AN5:AY5"/>
    <mergeCell ref="BA5:BC5"/>
    <mergeCell ref="A7:BC7"/>
    <mergeCell ref="A11:BC11"/>
    <mergeCell ref="A21:BC21"/>
  </mergeCells>
  <pageMargins left="0.7" right="0.7" top="0.75" bottom="0.75" header="0.3" footer="0.3"/>
  <pageSetup paperSize="9" scale="5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32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130</v>
      </c>
      <c r="B5" s="14" t="s">
        <v>131</v>
      </c>
      <c r="C5" s="14" t="s">
        <v>127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128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129</v>
      </c>
      <c r="BB5" s="14"/>
      <c r="BC5" s="14"/>
    </row>
    <row r="6" spans="1:55">
      <c r="A6" s="17"/>
      <c r="B6" s="17"/>
      <c r="C6" s="26">
        <v>46023</v>
      </c>
      <c r="D6" s="26">
        <v>46054</v>
      </c>
      <c r="E6" s="26">
        <v>46082</v>
      </c>
      <c r="F6" s="26">
        <v>46113</v>
      </c>
      <c r="G6" s="26">
        <v>46143</v>
      </c>
      <c r="H6" s="26">
        <v>46174</v>
      </c>
      <c r="I6" s="26">
        <v>46204</v>
      </c>
      <c r="J6" s="26">
        <v>46235</v>
      </c>
      <c r="K6" s="26">
        <v>46266</v>
      </c>
      <c r="L6" s="26">
        <v>46296</v>
      </c>
      <c r="M6" s="26">
        <v>46327</v>
      </c>
      <c r="N6" s="26">
        <v>46357</v>
      </c>
      <c r="O6" s="26">
        <v>46388</v>
      </c>
      <c r="P6" s="26">
        <v>46419</v>
      </c>
      <c r="Q6" s="26">
        <v>46447</v>
      </c>
      <c r="R6" s="26">
        <v>46478</v>
      </c>
      <c r="S6" s="26">
        <v>46508</v>
      </c>
      <c r="T6" s="26">
        <v>46539</v>
      </c>
      <c r="U6" s="26">
        <v>46569</v>
      </c>
      <c r="V6" s="26">
        <v>46600</v>
      </c>
      <c r="W6" s="26">
        <v>46631</v>
      </c>
      <c r="X6" s="26">
        <v>46661</v>
      </c>
      <c r="Y6" s="26">
        <v>46692</v>
      </c>
      <c r="Z6" s="26">
        <v>46722</v>
      </c>
      <c r="AA6" s="26">
        <v>46753</v>
      </c>
      <c r="AB6" s="26">
        <v>46784</v>
      </c>
      <c r="AC6" s="26">
        <v>46813</v>
      </c>
      <c r="AD6" s="26">
        <v>46844</v>
      </c>
      <c r="AE6" s="26">
        <v>46874</v>
      </c>
      <c r="AF6" s="26">
        <v>46905</v>
      </c>
      <c r="AG6" s="26">
        <v>46935</v>
      </c>
      <c r="AH6" s="26">
        <v>46966</v>
      </c>
      <c r="AI6" s="26">
        <v>46997</v>
      </c>
      <c r="AJ6" s="26">
        <v>47027</v>
      </c>
      <c r="AK6" s="26">
        <v>47058</v>
      </c>
      <c r="AL6" s="26">
        <v>47088</v>
      </c>
      <c r="AN6" s="17" t="s">
        <v>132</v>
      </c>
      <c r="AO6" s="17" t="s">
        <v>133</v>
      </c>
      <c r="AP6" s="17" t="s">
        <v>134</v>
      </c>
      <c r="AQ6" s="17" t="s">
        <v>135</v>
      </c>
      <c r="AR6" s="17" t="s">
        <v>136</v>
      </c>
      <c r="AS6" s="17" t="s">
        <v>137</v>
      </c>
      <c r="AT6" s="17" t="s">
        <v>138</v>
      </c>
      <c r="AU6" s="17" t="s">
        <v>139</v>
      </c>
      <c r="AV6" s="17" t="s">
        <v>140</v>
      </c>
      <c r="AW6" s="17" t="s">
        <v>141</v>
      </c>
      <c r="AX6" s="17" t="s">
        <v>142</v>
      </c>
      <c r="AY6" s="17" t="s">
        <v>143</v>
      </c>
      <c r="BA6" s="17" t="s">
        <v>144</v>
      </c>
      <c r="BB6" s="17" t="s">
        <v>145</v>
      </c>
      <c r="BC6" s="17" t="s">
        <v>146</v>
      </c>
    </row>
    <row r="7" spans="1:55" ht="16" customHeight="1">
      <c r="A7" s="14" t="s">
        <v>176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177</v>
      </c>
      <c r="B8" s="16"/>
      <c r="C8" s="27">
        <f>'Assumptions'!$F$13</f>
        <v>0</v>
      </c>
      <c r="D8" s="27">
        <f>C8</f>
        <v>0</v>
      </c>
      <c r="E8" s="27">
        <f>D8</f>
        <v>0</v>
      </c>
      <c r="F8" s="27">
        <f>E8</f>
        <v>0</v>
      </c>
      <c r="G8" s="27">
        <f>F8</f>
        <v>0</v>
      </c>
      <c r="H8" s="27">
        <f>G8</f>
        <v>0</v>
      </c>
      <c r="I8" s="27">
        <f>H8</f>
        <v>0</v>
      </c>
      <c r="J8" s="27">
        <f>I8</f>
        <v>0</v>
      </c>
      <c r="K8" s="27">
        <f>J8</f>
        <v>0</v>
      </c>
      <c r="L8" s="27">
        <f>K8</f>
        <v>0</v>
      </c>
      <c r="M8" s="27">
        <f>L8</f>
        <v>0</v>
      </c>
      <c r="N8" s="27">
        <f>M8</f>
        <v>0</v>
      </c>
      <c r="O8" s="27">
        <f>N8</f>
        <v>0</v>
      </c>
      <c r="P8" s="27">
        <f>O8</f>
        <v>0</v>
      </c>
      <c r="Q8" s="27">
        <f>P8</f>
        <v>0</v>
      </c>
      <c r="R8" s="27">
        <f>Q8</f>
        <v>0</v>
      </c>
      <c r="S8" s="27">
        <f>R8</f>
        <v>0</v>
      </c>
      <c r="T8" s="27">
        <f>S8</f>
        <v>0</v>
      </c>
      <c r="U8" s="27">
        <f>T8</f>
        <v>0</v>
      </c>
      <c r="V8" s="27">
        <f>U8</f>
        <v>0</v>
      </c>
      <c r="W8" s="27">
        <f>V8</f>
        <v>0</v>
      </c>
      <c r="X8" s="27">
        <f>W8</f>
        <v>0</v>
      </c>
      <c r="Y8" s="27">
        <f>X8</f>
        <v>0</v>
      </c>
      <c r="Z8" s="27">
        <f>Y8</f>
        <v>0</v>
      </c>
      <c r="AA8" s="27">
        <f>Z8</f>
        <v>0</v>
      </c>
      <c r="AB8" s="27">
        <f>AA8</f>
        <v>0</v>
      </c>
      <c r="AC8" s="27">
        <f>AB8</f>
        <v>0</v>
      </c>
      <c r="AD8" s="27">
        <f>AC8</f>
        <v>0</v>
      </c>
      <c r="AE8" s="27">
        <f>AD8</f>
        <v>0</v>
      </c>
      <c r="AF8" s="27">
        <f>AE8</f>
        <v>0</v>
      </c>
      <c r="AG8" s="27">
        <f>AF8</f>
        <v>0</v>
      </c>
      <c r="AH8" s="27">
        <f>AG8</f>
        <v>0</v>
      </c>
      <c r="AI8" s="27">
        <f>AH8</f>
        <v>0</v>
      </c>
      <c r="AJ8" s="27">
        <f>AI8</f>
        <v>0</v>
      </c>
      <c r="AK8" s="27">
        <f>AJ8</f>
        <v>0</v>
      </c>
      <c r="AL8" s="27">
        <f>AK8</f>
        <v>0</v>
      </c>
      <c r="AN8" s="27">
        <f>E8</f>
        <v>0</v>
      </c>
      <c r="AO8" s="27">
        <f>H8</f>
        <v>0</v>
      </c>
      <c r="AP8" s="27">
        <f>K8</f>
        <v>0</v>
      </c>
      <c r="AQ8" s="27">
        <f>N8</f>
        <v>0</v>
      </c>
      <c r="AR8" s="27">
        <f>Q8</f>
        <v>0</v>
      </c>
      <c r="AS8" s="27">
        <f>T8</f>
        <v>0</v>
      </c>
      <c r="AT8" s="27">
        <f>W8</f>
        <v>0</v>
      </c>
      <c r="AU8" s="27">
        <f>Z8</f>
        <v>0</v>
      </c>
      <c r="AV8" s="27">
        <f>AC8</f>
        <v>0</v>
      </c>
      <c r="AW8" s="27">
        <f>AF8</f>
        <v>0</v>
      </c>
      <c r="AX8" s="27">
        <f>AI8</f>
        <v>0</v>
      </c>
      <c r="AY8" s="27">
        <f>AL8</f>
        <v>0</v>
      </c>
      <c r="BA8" s="27">
        <f>N8</f>
        <v>0</v>
      </c>
      <c r="BB8" s="27">
        <f>Z8</f>
        <v>0</v>
      </c>
      <c r="BC8" s="27">
        <f>AL8</f>
        <v>0</v>
      </c>
    </row>
    <row r="9" spans="1:55">
      <c r="A9" s="18" t="s">
        <v>178</v>
      </c>
      <c r="B9" s="16"/>
      <c r="C9" s="27">
        <f>'Assumptions'!$F$14</f>
        <v>0</v>
      </c>
      <c r="D9" s="27">
        <f>C9*(1+'Assumptions'!$F$15)</f>
        <v>0</v>
      </c>
      <c r="E9" s="27">
        <f>D9*(1+'Assumptions'!$F$15)</f>
        <v>0</v>
      </c>
      <c r="F9" s="27">
        <f>E9*(1+'Assumptions'!$F$15)</f>
        <v>0</v>
      </c>
      <c r="G9" s="27">
        <f>F9*(1+'Assumptions'!$F$15)</f>
        <v>0</v>
      </c>
      <c r="H9" s="27">
        <f>G9*(1+'Assumptions'!$F$15)</f>
        <v>0</v>
      </c>
      <c r="I9" s="27">
        <f>H9*(1+'Assumptions'!$F$15)</f>
        <v>0</v>
      </c>
      <c r="J9" s="27">
        <f>I9*(1+'Assumptions'!$F$15)</f>
        <v>0</v>
      </c>
      <c r="K9" s="27">
        <f>J9*(1+'Assumptions'!$F$15)</f>
        <v>0</v>
      </c>
      <c r="L9" s="27">
        <f>K9*(1+'Assumptions'!$F$15)</f>
        <v>0</v>
      </c>
      <c r="M9" s="27">
        <f>L9*(1+'Assumptions'!$F$15)</f>
        <v>0</v>
      </c>
      <c r="N9" s="27">
        <f>M9*(1+'Assumptions'!$F$15)</f>
        <v>0</v>
      </c>
      <c r="O9" s="27">
        <f>N9*(1+'Assumptions'!$F$15)</f>
        <v>0</v>
      </c>
      <c r="P9" s="27">
        <f>O9*(1+'Assumptions'!$F$15)</f>
        <v>0</v>
      </c>
      <c r="Q9" s="27">
        <f>P9*(1+'Assumptions'!$F$15)</f>
        <v>0</v>
      </c>
      <c r="R9" s="27">
        <f>Q9*(1+'Assumptions'!$F$15)</f>
        <v>0</v>
      </c>
      <c r="S9" s="27">
        <f>R9*(1+'Assumptions'!$F$15)</f>
        <v>0</v>
      </c>
      <c r="T9" s="27">
        <f>S9*(1+'Assumptions'!$F$15)</f>
        <v>0</v>
      </c>
      <c r="U9" s="27">
        <f>T9*(1+'Assumptions'!$F$15)</f>
        <v>0</v>
      </c>
      <c r="V9" s="27">
        <f>U9*(1+'Assumptions'!$F$15)</f>
        <v>0</v>
      </c>
      <c r="W9" s="27">
        <f>V9*(1+'Assumptions'!$F$15)</f>
        <v>0</v>
      </c>
      <c r="X9" s="27">
        <f>W9*(1+'Assumptions'!$F$15)</f>
        <v>0</v>
      </c>
      <c r="Y9" s="27">
        <f>X9*(1+'Assumptions'!$F$15)</f>
        <v>0</v>
      </c>
      <c r="Z9" s="27">
        <f>Y9*(1+'Assumptions'!$F$15)</f>
        <v>0</v>
      </c>
      <c r="AA9" s="27">
        <f>Z9*(1+'Assumptions'!$F$15)</f>
        <v>0</v>
      </c>
      <c r="AB9" s="27">
        <f>AA9*(1+'Assumptions'!$F$15)</f>
        <v>0</v>
      </c>
      <c r="AC9" s="27">
        <f>AB9*(1+'Assumptions'!$F$15)</f>
        <v>0</v>
      </c>
      <c r="AD9" s="27">
        <f>AC9*(1+'Assumptions'!$F$15)</f>
        <v>0</v>
      </c>
      <c r="AE9" s="27">
        <f>AD9*(1+'Assumptions'!$F$15)</f>
        <v>0</v>
      </c>
      <c r="AF9" s="27">
        <f>AE9*(1+'Assumptions'!$F$15)</f>
        <v>0</v>
      </c>
      <c r="AG9" s="27">
        <f>AF9*(1+'Assumptions'!$F$15)</f>
        <v>0</v>
      </c>
      <c r="AH9" s="27">
        <f>AG9*(1+'Assumptions'!$F$15)</f>
        <v>0</v>
      </c>
      <c r="AI9" s="27">
        <f>AH9*(1+'Assumptions'!$F$15)</f>
        <v>0</v>
      </c>
      <c r="AJ9" s="27">
        <f>AI9*(1+'Assumptions'!$F$15)</f>
        <v>0</v>
      </c>
      <c r="AK9" s="27">
        <f>AJ9*(1+'Assumptions'!$F$15)</f>
        <v>0</v>
      </c>
      <c r="AL9" s="27">
        <f>AK9*(1+'Assumptions'!$F$15)</f>
        <v>0</v>
      </c>
      <c r="AN9" s="27">
        <f>SUM(C9:E9)</f>
        <v>0</v>
      </c>
      <c r="AO9" s="27">
        <f>SUM(F9:H9)</f>
        <v>0</v>
      </c>
      <c r="AP9" s="27">
        <f>SUM(I9:K9)</f>
        <v>0</v>
      </c>
      <c r="AQ9" s="27">
        <f>SUM(L9:N9)</f>
        <v>0</v>
      </c>
      <c r="AR9" s="27">
        <f>SUM(O9:Q9)</f>
        <v>0</v>
      </c>
      <c r="AS9" s="27">
        <f>SUM(R9:T9)</f>
        <v>0</v>
      </c>
      <c r="AT9" s="27">
        <f>SUM(U9:W9)</f>
        <v>0</v>
      </c>
      <c r="AU9" s="27">
        <f>SUM(X9:Z9)</f>
        <v>0</v>
      </c>
      <c r="AV9" s="27">
        <f>SUM(AA9:AC9)</f>
        <v>0</v>
      </c>
      <c r="AW9" s="27">
        <f>SUM(AD9:AF9)</f>
        <v>0</v>
      </c>
      <c r="AX9" s="27">
        <f>SUM(AG9:AI9)</f>
        <v>0</v>
      </c>
      <c r="AY9" s="27">
        <f>SUM(AJ9:AL9)</f>
        <v>0</v>
      </c>
      <c r="BA9" s="27">
        <f>SUM(C9:N9)</f>
        <v>0</v>
      </c>
      <c r="BB9" s="27">
        <f>SUM(O9:Z9)</f>
        <v>0</v>
      </c>
      <c r="BC9" s="27">
        <f>SUM(AA9:AL9)</f>
        <v>0</v>
      </c>
    </row>
    <row r="10" spans="1:55">
      <c r="A10" s="18" t="s">
        <v>179</v>
      </c>
      <c r="B10" s="16"/>
      <c r="C10" s="27">
        <f>-C8*'Assumptions'!$F$16</f>
        <v>0</v>
      </c>
      <c r="D10" s="27">
        <f>-D8*'Assumptions'!$F$16</f>
        <v>0</v>
      </c>
      <c r="E10" s="27">
        <f>-E8*'Assumptions'!$F$16</f>
        <v>0</v>
      </c>
      <c r="F10" s="27">
        <f>-F8*'Assumptions'!$F$16</f>
        <v>0</v>
      </c>
      <c r="G10" s="27">
        <f>-G8*'Assumptions'!$F$16</f>
        <v>0</v>
      </c>
      <c r="H10" s="27">
        <f>-H8*'Assumptions'!$F$16</f>
        <v>0</v>
      </c>
      <c r="I10" s="27">
        <f>-I8*'Assumptions'!$F$16</f>
        <v>0</v>
      </c>
      <c r="J10" s="27">
        <f>-J8*'Assumptions'!$F$16</f>
        <v>0</v>
      </c>
      <c r="K10" s="27">
        <f>-K8*'Assumptions'!$F$16</f>
        <v>0</v>
      </c>
      <c r="L10" s="27">
        <f>-L8*'Assumptions'!$F$16</f>
        <v>0</v>
      </c>
      <c r="M10" s="27">
        <f>-M8*'Assumptions'!$F$16</f>
        <v>0</v>
      </c>
      <c r="N10" s="27">
        <f>-N8*'Assumptions'!$F$16</f>
        <v>0</v>
      </c>
      <c r="O10" s="27">
        <f>-O8*'Assumptions'!$F$16</f>
        <v>0</v>
      </c>
      <c r="P10" s="27">
        <f>-P8*'Assumptions'!$F$16</f>
        <v>0</v>
      </c>
      <c r="Q10" s="27">
        <f>-Q8*'Assumptions'!$F$16</f>
        <v>0</v>
      </c>
      <c r="R10" s="27">
        <f>-R8*'Assumptions'!$F$16</f>
        <v>0</v>
      </c>
      <c r="S10" s="27">
        <f>-S8*'Assumptions'!$F$16</f>
        <v>0</v>
      </c>
      <c r="T10" s="27">
        <f>-T8*'Assumptions'!$F$16</f>
        <v>0</v>
      </c>
      <c r="U10" s="27">
        <f>-U8*'Assumptions'!$F$16</f>
        <v>0</v>
      </c>
      <c r="V10" s="27">
        <f>-V8*'Assumptions'!$F$16</f>
        <v>0</v>
      </c>
      <c r="W10" s="27">
        <f>-W8*'Assumptions'!$F$16</f>
        <v>0</v>
      </c>
      <c r="X10" s="27">
        <f>-X8*'Assumptions'!$F$16</f>
        <v>0</v>
      </c>
      <c r="Y10" s="27">
        <f>-Y8*'Assumptions'!$F$16</f>
        <v>0</v>
      </c>
      <c r="Z10" s="27">
        <f>-Z8*'Assumptions'!$F$16</f>
        <v>0</v>
      </c>
      <c r="AA10" s="27">
        <f>-AA8*'Assumptions'!$F$16</f>
        <v>0</v>
      </c>
      <c r="AB10" s="27">
        <f>-AB8*'Assumptions'!$F$16</f>
        <v>0</v>
      </c>
      <c r="AC10" s="27">
        <f>-AC8*'Assumptions'!$F$16</f>
        <v>0</v>
      </c>
      <c r="AD10" s="27">
        <f>-AD8*'Assumptions'!$F$16</f>
        <v>0</v>
      </c>
      <c r="AE10" s="27">
        <f>-AE8*'Assumptions'!$F$16</f>
        <v>0</v>
      </c>
      <c r="AF10" s="27">
        <f>-AF8*'Assumptions'!$F$16</f>
        <v>0</v>
      </c>
      <c r="AG10" s="27">
        <f>-AG8*'Assumptions'!$F$16</f>
        <v>0</v>
      </c>
      <c r="AH10" s="27">
        <f>-AH8*'Assumptions'!$F$16</f>
        <v>0</v>
      </c>
      <c r="AI10" s="27">
        <f>-AI8*'Assumptions'!$F$16</f>
        <v>0</v>
      </c>
      <c r="AJ10" s="27">
        <f>-AJ8*'Assumptions'!$F$16</f>
        <v>0</v>
      </c>
      <c r="AK10" s="27">
        <f>-AK8*'Assumptions'!$F$16</f>
        <v>0</v>
      </c>
      <c r="AL10" s="27">
        <f>-AL8*'Assumptions'!$F$16</f>
        <v>0</v>
      </c>
      <c r="AN10" s="27">
        <f>SUM(C10:E10)</f>
        <v>0</v>
      </c>
      <c r="AO10" s="27">
        <f>SUM(F10:H10)</f>
        <v>0</v>
      </c>
      <c r="AP10" s="27">
        <f>SUM(I10:K10)</f>
        <v>0</v>
      </c>
      <c r="AQ10" s="27">
        <f>SUM(L10:N10)</f>
        <v>0</v>
      </c>
      <c r="AR10" s="27">
        <f>SUM(O10:Q10)</f>
        <v>0</v>
      </c>
      <c r="AS10" s="27">
        <f>SUM(R10:T10)</f>
        <v>0</v>
      </c>
      <c r="AT10" s="27">
        <f>SUM(U10:W10)</f>
        <v>0</v>
      </c>
      <c r="AU10" s="27">
        <f>SUM(X10:Z10)</f>
        <v>0</v>
      </c>
      <c r="AV10" s="27">
        <f>SUM(AA10:AC10)</f>
        <v>0</v>
      </c>
      <c r="AW10" s="27">
        <f>SUM(AD10:AF10)</f>
        <v>0</v>
      </c>
      <c r="AX10" s="27">
        <f>SUM(AG10:AI10)</f>
        <v>0</v>
      </c>
      <c r="AY10" s="27">
        <f>SUM(AJ10:AL10)</f>
        <v>0</v>
      </c>
      <c r="BA10" s="27">
        <f>SUM(C10:N10)</f>
        <v>0</v>
      </c>
      <c r="BB10" s="27">
        <f>SUM(O10:Z10)</f>
        <v>0</v>
      </c>
      <c r="BC10" s="27">
        <f>SUM(AA10:AL10)</f>
        <v>0</v>
      </c>
    </row>
    <row r="11" spans="1:55">
      <c r="A11" s="28" t="s">
        <v>180</v>
      </c>
      <c r="B11" s="16"/>
      <c r="C11" s="27">
        <f>C8+C9+C10</f>
        <v>0</v>
      </c>
      <c r="D11" s="27">
        <f>D8+D9+D10</f>
        <v>0</v>
      </c>
      <c r="E11" s="27">
        <f>E8+E9+E10</f>
        <v>0</v>
      </c>
      <c r="F11" s="27">
        <f>F8+F9+F10</f>
        <v>0</v>
      </c>
      <c r="G11" s="27">
        <f>G8+G9+G10</f>
        <v>0</v>
      </c>
      <c r="H11" s="27">
        <f>H8+H9+H10</f>
        <v>0</v>
      </c>
      <c r="I11" s="27">
        <f>I8+I9+I10</f>
        <v>0</v>
      </c>
      <c r="J11" s="27">
        <f>J8+J9+J10</f>
        <v>0</v>
      </c>
      <c r="K11" s="27">
        <f>K8+K9+K10</f>
        <v>0</v>
      </c>
      <c r="L11" s="27">
        <f>L8+L9+L10</f>
        <v>0</v>
      </c>
      <c r="M11" s="27">
        <f>M8+M9+M10</f>
        <v>0</v>
      </c>
      <c r="N11" s="27">
        <f>N8+N9+N10</f>
        <v>0</v>
      </c>
      <c r="O11" s="27">
        <f>O8+O9+O10</f>
        <v>0</v>
      </c>
      <c r="P11" s="27">
        <f>P8+P9+P10</f>
        <v>0</v>
      </c>
      <c r="Q11" s="27">
        <f>Q8+Q9+Q10</f>
        <v>0</v>
      </c>
      <c r="R11" s="27">
        <f>R8+R9+R10</f>
        <v>0</v>
      </c>
      <c r="S11" s="27">
        <f>S8+S9+S10</f>
        <v>0</v>
      </c>
      <c r="T11" s="27">
        <f>T8+T9+T10</f>
        <v>0</v>
      </c>
      <c r="U11" s="27">
        <f>U8+U9+U10</f>
        <v>0</v>
      </c>
      <c r="V11" s="27">
        <f>V8+V9+V10</f>
        <v>0</v>
      </c>
      <c r="W11" s="27">
        <f>W8+W9+W10</f>
        <v>0</v>
      </c>
      <c r="X11" s="27">
        <f>X8+X9+X10</f>
        <v>0</v>
      </c>
      <c r="Y11" s="27">
        <f>Y8+Y9+Y10</f>
        <v>0</v>
      </c>
      <c r="Z11" s="27">
        <f>Z8+Z9+Z10</f>
        <v>0</v>
      </c>
      <c r="AA11" s="27">
        <f>AA8+AA9+AA10</f>
        <v>0</v>
      </c>
      <c r="AB11" s="27">
        <f>AB8+AB9+AB10</f>
        <v>0</v>
      </c>
      <c r="AC11" s="27">
        <f>AC8+AC9+AC10</f>
        <v>0</v>
      </c>
      <c r="AD11" s="27">
        <f>AD8+AD9+AD10</f>
        <v>0</v>
      </c>
      <c r="AE11" s="27">
        <f>AE8+AE9+AE10</f>
        <v>0</v>
      </c>
      <c r="AF11" s="27">
        <f>AF8+AF9+AF10</f>
        <v>0</v>
      </c>
      <c r="AG11" s="27">
        <f>AG8+AG9+AG10</f>
        <v>0</v>
      </c>
      <c r="AH11" s="27">
        <f>AH8+AH9+AH10</f>
        <v>0</v>
      </c>
      <c r="AI11" s="27">
        <f>AI8+AI9+AI10</f>
        <v>0</v>
      </c>
      <c r="AJ11" s="27">
        <f>AJ8+AJ9+AJ10</f>
        <v>0</v>
      </c>
      <c r="AK11" s="27">
        <f>AK8+AK9+AK10</f>
        <v>0</v>
      </c>
      <c r="AL11" s="27">
        <f>AL8+AL9+AL10</f>
        <v>0</v>
      </c>
      <c r="AN11" s="27">
        <f>E11</f>
        <v>0</v>
      </c>
      <c r="AO11" s="27">
        <f>H11</f>
        <v>0</v>
      </c>
      <c r="AP11" s="27">
        <f>K11</f>
        <v>0</v>
      </c>
      <c r="AQ11" s="27">
        <f>N11</f>
        <v>0</v>
      </c>
      <c r="AR11" s="27">
        <f>Q11</f>
        <v>0</v>
      </c>
      <c r="AS11" s="27">
        <f>T11</f>
        <v>0</v>
      </c>
      <c r="AT11" s="27">
        <f>W11</f>
        <v>0</v>
      </c>
      <c r="AU11" s="27">
        <f>Z11</f>
        <v>0</v>
      </c>
      <c r="AV11" s="27">
        <f>AC11</f>
        <v>0</v>
      </c>
      <c r="AW11" s="27">
        <f>AF11</f>
        <v>0</v>
      </c>
      <c r="AX11" s="27">
        <f>AI11</f>
        <v>0</v>
      </c>
      <c r="AY11" s="27">
        <f>AL11</f>
        <v>0</v>
      </c>
      <c r="BA11" s="27">
        <f>N11</f>
        <v>0</v>
      </c>
      <c r="BB11" s="27">
        <f>Z11</f>
        <v>0</v>
      </c>
      <c r="BC11" s="27">
        <f>AL11</f>
        <v>0</v>
      </c>
    </row>
    <row r="12" spans="1:55" ht="5" customHeight="1"/>
    <row r="13" spans="1:55" ht="16" customHeight="1">
      <c r="A13" s="14" t="s">
        <v>181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</row>
    <row r="14" spans="1:55">
      <c r="A14" s="18" t="s">
        <v>182</v>
      </c>
      <c r="B14" s="16"/>
      <c r="C14" s="30">
        <f>'Assumptions'!$F$21</f>
        <v>0</v>
      </c>
      <c r="D14" s="30">
        <f>C14*(1+'Assumptions'!$F$22)</f>
        <v>0</v>
      </c>
      <c r="E14" s="30">
        <f>D14*(1+'Assumptions'!$F$22)</f>
        <v>0</v>
      </c>
      <c r="F14" s="30">
        <f>E14*(1+'Assumptions'!$F$22)</f>
        <v>0</v>
      </c>
      <c r="G14" s="30">
        <f>F14*(1+'Assumptions'!$F$22)</f>
        <v>0</v>
      </c>
      <c r="H14" s="30">
        <f>G14*(1+'Assumptions'!$F$22)</f>
        <v>0</v>
      </c>
      <c r="I14" s="30">
        <f>H14*(1+'Assumptions'!$F$22)</f>
        <v>0</v>
      </c>
      <c r="J14" s="30">
        <f>I14*(1+'Assumptions'!$F$22)</f>
        <v>0</v>
      </c>
      <c r="K14" s="30">
        <f>J14*(1+'Assumptions'!$F$22)</f>
        <v>0</v>
      </c>
      <c r="L14" s="30">
        <f>K14*(1+'Assumptions'!$F$22)</f>
        <v>0</v>
      </c>
      <c r="M14" s="30">
        <f>L14*(1+'Assumptions'!$F$22)</f>
        <v>0</v>
      </c>
      <c r="N14" s="30">
        <f>M14*(1+'Assumptions'!$F$22)</f>
        <v>0</v>
      </c>
      <c r="O14" s="30">
        <f>N14*(1+'Assumptions'!$F$22)</f>
        <v>0</v>
      </c>
      <c r="P14" s="30">
        <f>O14*(1+'Assumptions'!$F$22)</f>
        <v>0</v>
      </c>
      <c r="Q14" s="30">
        <f>P14*(1+'Assumptions'!$F$22)</f>
        <v>0</v>
      </c>
      <c r="R14" s="30">
        <f>Q14*(1+'Assumptions'!$F$22)</f>
        <v>0</v>
      </c>
      <c r="S14" s="30">
        <f>R14*(1+'Assumptions'!$F$22)</f>
        <v>0</v>
      </c>
      <c r="T14" s="30">
        <f>S14*(1+'Assumptions'!$F$22)</f>
        <v>0</v>
      </c>
      <c r="U14" s="30">
        <f>T14*(1+'Assumptions'!$F$22)</f>
        <v>0</v>
      </c>
      <c r="V14" s="30">
        <f>U14*(1+'Assumptions'!$F$22)</f>
        <v>0</v>
      </c>
      <c r="W14" s="30">
        <f>V14*(1+'Assumptions'!$F$22)</f>
        <v>0</v>
      </c>
      <c r="X14" s="30">
        <f>W14*(1+'Assumptions'!$F$22)</f>
        <v>0</v>
      </c>
      <c r="Y14" s="30">
        <f>X14*(1+'Assumptions'!$F$22)</f>
        <v>0</v>
      </c>
      <c r="Z14" s="30">
        <f>Y14*(1+'Assumptions'!$F$22)</f>
        <v>0</v>
      </c>
      <c r="AA14" s="30">
        <f>Z14*(1+'Assumptions'!$F$22)</f>
        <v>0</v>
      </c>
      <c r="AB14" s="30">
        <f>AA14*(1+'Assumptions'!$F$22)</f>
        <v>0</v>
      </c>
      <c r="AC14" s="30">
        <f>AB14*(1+'Assumptions'!$F$22)</f>
        <v>0</v>
      </c>
      <c r="AD14" s="30">
        <f>AC14*(1+'Assumptions'!$F$22)</f>
        <v>0</v>
      </c>
      <c r="AE14" s="30">
        <f>AD14*(1+'Assumptions'!$F$22)</f>
        <v>0</v>
      </c>
      <c r="AF14" s="30">
        <f>AE14*(1+'Assumptions'!$F$22)</f>
        <v>0</v>
      </c>
      <c r="AG14" s="30">
        <f>AF14*(1+'Assumptions'!$F$22)</f>
        <v>0</v>
      </c>
      <c r="AH14" s="30">
        <f>AG14*(1+'Assumptions'!$F$22)</f>
        <v>0</v>
      </c>
      <c r="AI14" s="30">
        <f>AH14*(1+'Assumptions'!$F$22)</f>
        <v>0</v>
      </c>
      <c r="AJ14" s="30">
        <f>AI14*(1+'Assumptions'!$F$22)</f>
        <v>0</v>
      </c>
      <c r="AK14" s="30">
        <f>AJ14*(1+'Assumptions'!$F$22)</f>
        <v>0</v>
      </c>
      <c r="AL14" s="30">
        <f>AK14*(1+'Assumptions'!$F$22)</f>
        <v>0</v>
      </c>
      <c r="AN14" s="30">
        <f>AVERAGE(C14:E14)</f>
        <v>0</v>
      </c>
      <c r="AO14" s="30">
        <f>AVERAGE(F14:H14)</f>
        <v>0</v>
      </c>
      <c r="AP14" s="30">
        <f>AVERAGE(I14:K14)</f>
        <v>0</v>
      </c>
      <c r="AQ14" s="30">
        <f>AVERAGE(L14:N14)</f>
        <v>0</v>
      </c>
      <c r="AR14" s="30">
        <f>AVERAGE(O14:Q14)</f>
        <v>0</v>
      </c>
      <c r="AS14" s="30">
        <f>AVERAGE(R14:T14)</f>
        <v>0</v>
      </c>
      <c r="AT14" s="30">
        <f>AVERAGE(U14:W14)</f>
        <v>0</v>
      </c>
      <c r="AU14" s="30">
        <f>AVERAGE(X14:Z14)</f>
        <v>0</v>
      </c>
      <c r="AV14" s="30">
        <f>AVERAGE(AA14:AC14)</f>
        <v>0</v>
      </c>
      <c r="AW14" s="30">
        <f>AVERAGE(AD14:AF14)</f>
        <v>0</v>
      </c>
      <c r="AX14" s="30">
        <f>AVERAGE(AG14:AI14)</f>
        <v>0</v>
      </c>
      <c r="AY14" s="30">
        <f>AVERAGE(AJ14:AL14)</f>
        <v>0</v>
      </c>
      <c r="BA14" s="30">
        <f>AVERAGE(C14:N14)</f>
        <v>0</v>
      </c>
      <c r="BB14" s="30">
        <f>AVERAGE(O14:Z14)</f>
        <v>0</v>
      </c>
      <c r="BC14" s="30">
        <f>AVERAGE(AA14:AL14)</f>
        <v>0</v>
      </c>
    </row>
    <row r="15" spans="1:55">
      <c r="A15" s="18" t="s">
        <v>183</v>
      </c>
      <c r="B15" s="16"/>
      <c r="C15" s="20">
        <f>'Assumptions'!$F$13*'Assumptions'!$F$21</f>
        <v>0</v>
      </c>
      <c r="D15" s="20">
        <f>C15</f>
        <v>0</v>
      </c>
      <c r="E15" s="20">
        <f>D15</f>
        <v>0</v>
      </c>
      <c r="F15" s="20">
        <f>E15</f>
        <v>0</v>
      </c>
      <c r="G15" s="20">
        <f>F15</f>
        <v>0</v>
      </c>
      <c r="H15" s="20">
        <f>G15</f>
        <v>0</v>
      </c>
      <c r="I15" s="20">
        <f>H15</f>
        <v>0</v>
      </c>
      <c r="J15" s="20">
        <f>I15</f>
        <v>0</v>
      </c>
      <c r="K15" s="20">
        <f>J15</f>
        <v>0</v>
      </c>
      <c r="L15" s="20">
        <f>K15</f>
        <v>0</v>
      </c>
      <c r="M15" s="20">
        <f>L15</f>
        <v>0</v>
      </c>
      <c r="N15" s="20">
        <f>M15</f>
        <v>0</v>
      </c>
      <c r="O15" s="20">
        <f>N15</f>
        <v>0</v>
      </c>
      <c r="P15" s="20">
        <f>O15</f>
        <v>0</v>
      </c>
      <c r="Q15" s="20">
        <f>P15</f>
        <v>0</v>
      </c>
      <c r="R15" s="20">
        <f>Q15</f>
        <v>0</v>
      </c>
      <c r="S15" s="20">
        <f>R15</f>
        <v>0</v>
      </c>
      <c r="T15" s="20">
        <f>S15</f>
        <v>0</v>
      </c>
      <c r="U15" s="20">
        <f>T15</f>
        <v>0</v>
      </c>
      <c r="V15" s="20">
        <f>U15</f>
        <v>0</v>
      </c>
      <c r="W15" s="20">
        <f>V15</f>
        <v>0</v>
      </c>
      <c r="X15" s="20">
        <f>W15</f>
        <v>0</v>
      </c>
      <c r="Y15" s="20">
        <f>X15</f>
        <v>0</v>
      </c>
      <c r="Z15" s="20">
        <f>Y15</f>
        <v>0</v>
      </c>
      <c r="AA15" s="20">
        <f>Z15</f>
        <v>0</v>
      </c>
      <c r="AB15" s="20">
        <f>AA15</f>
        <v>0</v>
      </c>
      <c r="AC15" s="20">
        <f>AB15</f>
        <v>0</v>
      </c>
      <c r="AD15" s="20">
        <f>AC15</f>
        <v>0</v>
      </c>
      <c r="AE15" s="20">
        <f>AD15</f>
        <v>0</v>
      </c>
      <c r="AF15" s="20">
        <f>AE15</f>
        <v>0</v>
      </c>
      <c r="AG15" s="20">
        <f>AF15</f>
        <v>0</v>
      </c>
      <c r="AH15" s="20">
        <f>AG15</f>
        <v>0</v>
      </c>
      <c r="AI15" s="20">
        <f>AH15</f>
        <v>0</v>
      </c>
      <c r="AJ15" s="20">
        <f>AI15</f>
        <v>0</v>
      </c>
      <c r="AK15" s="20">
        <f>AJ15</f>
        <v>0</v>
      </c>
      <c r="AL15" s="20">
        <f>AK15</f>
        <v>0</v>
      </c>
      <c r="AN15" s="20">
        <f>E15</f>
        <v>0</v>
      </c>
      <c r="AO15" s="20">
        <f>H15</f>
        <v>0</v>
      </c>
      <c r="AP15" s="20">
        <f>K15</f>
        <v>0</v>
      </c>
      <c r="AQ15" s="20">
        <f>N15</f>
        <v>0</v>
      </c>
      <c r="AR15" s="20">
        <f>Q15</f>
        <v>0</v>
      </c>
      <c r="AS15" s="20">
        <f>T15</f>
        <v>0</v>
      </c>
      <c r="AT15" s="20">
        <f>W15</f>
        <v>0</v>
      </c>
      <c r="AU15" s="20">
        <f>Z15</f>
        <v>0</v>
      </c>
      <c r="AV15" s="20">
        <f>AC15</f>
        <v>0</v>
      </c>
      <c r="AW15" s="20">
        <f>AF15</f>
        <v>0</v>
      </c>
      <c r="AX15" s="20">
        <f>AI15</f>
        <v>0</v>
      </c>
      <c r="AY15" s="20">
        <f>AL15</f>
        <v>0</v>
      </c>
      <c r="BA15" s="20">
        <f>N15</f>
        <v>0</v>
      </c>
      <c r="BB15" s="20">
        <f>Z15</f>
        <v>0</v>
      </c>
      <c r="BC15" s="20">
        <f>AL15</f>
        <v>0</v>
      </c>
    </row>
    <row r="16" spans="1:55">
      <c r="A16" s="18" t="s">
        <v>184</v>
      </c>
      <c r="B16" s="16"/>
      <c r="C16" s="20">
        <f>C9*C14</f>
        <v>0</v>
      </c>
      <c r="D16" s="20">
        <f>D9*D14</f>
        <v>0</v>
      </c>
      <c r="E16" s="20">
        <f>E9*E14</f>
        <v>0</v>
      </c>
      <c r="F16" s="20">
        <f>F9*F14</f>
        <v>0</v>
      </c>
      <c r="G16" s="20">
        <f>G9*G14</f>
        <v>0</v>
      </c>
      <c r="H16" s="20">
        <f>H9*H14</f>
        <v>0</v>
      </c>
      <c r="I16" s="20">
        <f>I9*I14</f>
        <v>0</v>
      </c>
      <c r="J16" s="20">
        <f>J9*J14</f>
        <v>0</v>
      </c>
      <c r="K16" s="20">
        <f>K9*K14</f>
        <v>0</v>
      </c>
      <c r="L16" s="20">
        <f>L9*L14</f>
        <v>0</v>
      </c>
      <c r="M16" s="20">
        <f>M9*M14</f>
        <v>0</v>
      </c>
      <c r="N16" s="20">
        <f>N9*N14</f>
        <v>0</v>
      </c>
      <c r="O16" s="20">
        <f>O9*O14</f>
        <v>0</v>
      </c>
      <c r="P16" s="20">
        <f>P9*P14</f>
        <v>0</v>
      </c>
      <c r="Q16" s="20">
        <f>Q9*Q14</f>
        <v>0</v>
      </c>
      <c r="R16" s="20">
        <f>R9*R14</f>
        <v>0</v>
      </c>
      <c r="S16" s="20">
        <f>S9*S14</f>
        <v>0</v>
      </c>
      <c r="T16" s="20">
        <f>T9*T14</f>
        <v>0</v>
      </c>
      <c r="U16" s="20">
        <f>U9*U14</f>
        <v>0</v>
      </c>
      <c r="V16" s="20">
        <f>V9*V14</f>
        <v>0</v>
      </c>
      <c r="W16" s="20">
        <f>W9*W14</f>
        <v>0</v>
      </c>
      <c r="X16" s="20">
        <f>X9*X14</f>
        <v>0</v>
      </c>
      <c r="Y16" s="20">
        <f>Y9*Y14</f>
        <v>0</v>
      </c>
      <c r="Z16" s="20">
        <f>Z9*Z14</f>
        <v>0</v>
      </c>
      <c r="AA16" s="20">
        <f>AA9*AA14</f>
        <v>0</v>
      </c>
      <c r="AB16" s="20">
        <f>AB9*AB14</f>
        <v>0</v>
      </c>
      <c r="AC16" s="20">
        <f>AC9*AC14</f>
        <v>0</v>
      </c>
      <c r="AD16" s="20">
        <f>AD9*AD14</f>
        <v>0</v>
      </c>
      <c r="AE16" s="20">
        <f>AE9*AE14</f>
        <v>0</v>
      </c>
      <c r="AF16" s="20">
        <f>AF9*AF14</f>
        <v>0</v>
      </c>
      <c r="AG16" s="20">
        <f>AG9*AG14</f>
        <v>0</v>
      </c>
      <c r="AH16" s="20">
        <f>AH9*AH14</f>
        <v>0</v>
      </c>
      <c r="AI16" s="20">
        <f>AI9*AI14</f>
        <v>0</v>
      </c>
      <c r="AJ16" s="20">
        <f>AJ9*AJ14</f>
        <v>0</v>
      </c>
      <c r="AK16" s="20">
        <f>AK9*AK14</f>
        <v>0</v>
      </c>
      <c r="AL16" s="20">
        <f>AL9*AL14</f>
        <v>0</v>
      </c>
      <c r="AN16" s="20">
        <f>SUM(C16:E16)</f>
        <v>0</v>
      </c>
      <c r="AO16" s="20">
        <f>SUM(F16:H16)</f>
        <v>0</v>
      </c>
      <c r="AP16" s="20">
        <f>SUM(I16:K16)</f>
        <v>0</v>
      </c>
      <c r="AQ16" s="20">
        <f>SUM(L16:N16)</f>
        <v>0</v>
      </c>
      <c r="AR16" s="20">
        <f>SUM(O16:Q16)</f>
        <v>0</v>
      </c>
      <c r="AS16" s="20">
        <f>SUM(R16:T16)</f>
        <v>0</v>
      </c>
      <c r="AT16" s="20">
        <f>SUM(U16:W16)</f>
        <v>0</v>
      </c>
      <c r="AU16" s="20">
        <f>SUM(X16:Z16)</f>
        <v>0</v>
      </c>
      <c r="AV16" s="20">
        <f>SUM(AA16:AC16)</f>
        <v>0</v>
      </c>
      <c r="AW16" s="20">
        <f>SUM(AD16:AF16)</f>
        <v>0</v>
      </c>
      <c r="AX16" s="20">
        <f>SUM(AG16:AI16)</f>
        <v>0</v>
      </c>
      <c r="AY16" s="20">
        <f>SUM(AJ16:AL16)</f>
        <v>0</v>
      </c>
      <c r="BA16" s="20">
        <f>SUM(C16:N16)</f>
        <v>0</v>
      </c>
      <c r="BB16" s="20">
        <f>SUM(O16:Z16)</f>
        <v>0</v>
      </c>
      <c r="BC16" s="20">
        <f>SUM(AA16:AL16)</f>
        <v>0</v>
      </c>
    </row>
    <row r="17" spans="1:55">
      <c r="A17" s="18" t="s">
        <v>185</v>
      </c>
      <c r="B17" s="16"/>
      <c r="C17" s="20">
        <f>C15*'Assumptions'!$F$17</f>
        <v>0</v>
      </c>
      <c r="D17" s="20">
        <f>D15*'Assumptions'!$F$17</f>
        <v>0</v>
      </c>
      <c r="E17" s="20">
        <f>E15*'Assumptions'!$F$17</f>
        <v>0</v>
      </c>
      <c r="F17" s="20">
        <f>F15*'Assumptions'!$F$17</f>
        <v>0</v>
      </c>
      <c r="G17" s="20">
        <f>G15*'Assumptions'!$F$17</f>
        <v>0</v>
      </c>
      <c r="H17" s="20">
        <f>H15*'Assumptions'!$F$17</f>
        <v>0</v>
      </c>
      <c r="I17" s="20">
        <f>I15*'Assumptions'!$F$17</f>
        <v>0</v>
      </c>
      <c r="J17" s="20">
        <f>J15*'Assumptions'!$F$17</f>
        <v>0</v>
      </c>
      <c r="K17" s="20">
        <f>K15*'Assumptions'!$F$17</f>
        <v>0</v>
      </c>
      <c r="L17" s="20">
        <f>L15*'Assumptions'!$F$17</f>
        <v>0</v>
      </c>
      <c r="M17" s="20">
        <f>M15*'Assumptions'!$F$17</f>
        <v>0</v>
      </c>
      <c r="N17" s="20">
        <f>N15*'Assumptions'!$F$17</f>
        <v>0</v>
      </c>
      <c r="O17" s="20">
        <f>O15*'Assumptions'!$F$17</f>
        <v>0</v>
      </c>
      <c r="P17" s="20">
        <f>P15*'Assumptions'!$F$17</f>
        <v>0</v>
      </c>
      <c r="Q17" s="20">
        <f>Q15*'Assumptions'!$F$17</f>
        <v>0</v>
      </c>
      <c r="R17" s="20">
        <f>R15*'Assumptions'!$F$17</f>
        <v>0</v>
      </c>
      <c r="S17" s="20">
        <f>S15*'Assumptions'!$F$17</f>
        <v>0</v>
      </c>
      <c r="T17" s="20">
        <f>T15*'Assumptions'!$F$17</f>
        <v>0</v>
      </c>
      <c r="U17" s="20">
        <f>U15*'Assumptions'!$F$17</f>
        <v>0</v>
      </c>
      <c r="V17" s="20">
        <f>V15*'Assumptions'!$F$17</f>
        <v>0</v>
      </c>
      <c r="W17" s="20">
        <f>W15*'Assumptions'!$F$17</f>
        <v>0</v>
      </c>
      <c r="X17" s="20">
        <f>X15*'Assumptions'!$F$17</f>
        <v>0</v>
      </c>
      <c r="Y17" s="20">
        <f>Y15*'Assumptions'!$F$17</f>
        <v>0</v>
      </c>
      <c r="Z17" s="20">
        <f>Z15*'Assumptions'!$F$17</f>
        <v>0</v>
      </c>
      <c r="AA17" s="20">
        <f>AA15*'Assumptions'!$F$17</f>
        <v>0</v>
      </c>
      <c r="AB17" s="20">
        <f>AB15*'Assumptions'!$F$17</f>
        <v>0</v>
      </c>
      <c r="AC17" s="20">
        <f>AC15*'Assumptions'!$F$17</f>
        <v>0</v>
      </c>
      <c r="AD17" s="20">
        <f>AD15*'Assumptions'!$F$17</f>
        <v>0</v>
      </c>
      <c r="AE17" s="20">
        <f>AE15*'Assumptions'!$F$17</f>
        <v>0</v>
      </c>
      <c r="AF17" s="20">
        <f>AF15*'Assumptions'!$F$17</f>
        <v>0</v>
      </c>
      <c r="AG17" s="20">
        <f>AG15*'Assumptions'!$F$17</f>
        <v>0</v>
      </c>
      <c r="AH17" s="20">
        <f>AH15*'Assumptions'!$F$17</f>
        <v>0</v>
      </c>
      <c r="AI17" s="20">
        <f>AI15*'Assumptions'!$F$17</f>
        <v>0</v>
      </c>
      <c r="AJ17" s="20">
        <f>AJ15*'Assumptions'!$F$17</f>
        <v>0</v>
      </c>
      <c r="AK17" s="20">
        <f>AK15*'Assumptions'!$F$17</f>
        <v>0</v>
      </c>
      <c r="AL17" s="20">
        <f>AL15*'Assumptions'!$F$17</f>
        <v>0</v>
      </c>
      <c r="AN17" s="20">
        <f>SUM(C17:E17)</f>
        <v>0</v>
      </c>
      <c r="AO17" s="20">
        <f>SUM(F17:H17)</f>
        <v>0</v>
      </c>
      <c r="AP17" s="20">
        <f>SUM(I17:K17)</f>
        <v>0</v>
      </c>
      <c r="AQ17" s="20">
        <f>SUM(L17:N17)</f>
        <v>0</v>
      </c>
      <c r="AR17" s="20">
        <f>SUM(O17:Q17)</f>
        <v>0</v>
      </c>
      <c r="AS17" s="20">
        <f>SUM(R17:T17)</f>
        <v>0</v>
      </c>
      <c r="AT17" s="20">
        <f>SUM(U17:W17)</f>
        <v>0</v>
      </c>
      <c r="AU17" s="20">
        <f>SUM(X17:Z17)</f>
        <v>0</v>
      </c>
      <c r="AV17" s="20">
        <f>SUM(AA17:AC17)</f>
        <v>0</v>
      </c>
      <c r="AW17" s="20">
        <f>SUM(AD17:AF17)</f>
        <v>0</v>
      </c>
      <c r="AX17" s="20">
        <f>SUM(AG17:AI17)</f>
        <v>0</v>
      </c>
      <c r="AY17" s="20">
        <f>SUM(AJ17:AL17)</f>
        <v>0</v>
      </c>
      <c r="BA17" s="20">
        <f>SUM(C17:N17)</f>
        <v>0</v>
      </c>
      <c r="BB17" s="20">
        <f>SUM(O17:Z17)</f>
        <v>0</v>
      </c>
      <c r="BC17" s="20">
        <f>SUM(AA17:AL17)</f>
        <v>0</v>
      </c>
    </row>
    <row r="18" spans="1:55">
      <c r="A18" s="18" t="s">
        <v>186</v>
      </c>
      <c r="B18" s="16"/>
      <c r="C18" s="20">
        <f>-C15*'Assumptions'!$F$18</f>
        <v>0</v>
      </c>
      <c r="D18" s="20">
        <f>-D15*'Assumptions'!$F$18</f>
        <v>0</v>
      </c>
      <c r="E18" s="20">
        <f>-E15*'Assumptions'!$F$18</f>
        <v>0</v>
      </c>
      <c r="F18" s="20">
        <f>-F15*'Assumptions'!$F$18</f>
        <v>0</v>
      </c>
      <c r="G18" s="20">
        <f>-G15*'Assumptions'!$F$18</f>
        <v>0</v>
      </c>
      <c r="H18" s="20">
        <f>-H15*'Assumptions'!$F$18</f>
        <v>0</v>
      </c>
      <c r="I18" s="20">
        <f>-I15*'Assumptions'!$F$18</f>
        <v>0</v>
      </c>
      <c r="J18" s="20">
        <f>-J15*'Assumptions'!$F$18</f>
        <v>0</v>
      </c>
      <c r="K18" s="20">
        <f>-K15*'Assumptions'!$F$18</f>
        <v>0</v>
      </c>
      <c r="L18" s="20">
        <f>-L15*'Assumptions'!$F$18</f>
        <v>0</v>
      </c>
      <c r="M18" s="20">
        <f>-M15*'Assumptions'!$F$18</f>
        <v>0</v>
      </c>
      <c r="N18" s="20">
        <f>-N15*'Assumptions'!$F$18</f>
        <v>0</v>
      </c>
      <c r="O18" s="20">
        <f>-O15*'Assumptions'!$F$18</f>
        <v>0</v>
      </c>
      <c r="P18" s="20">
        <f>-P15*'Assumptions'!$F$18</f>
        <v>0</v>
      </c>
      <c r="Q18" s="20">
        <f>-Q15*'Assumptions'!$F$18</f>
        <v>0</v>
      </c>
      <c r="R18" s="20">
        <f>-R15*'Assumptions'!$F$18</f>
        <v>0</v>
      </c>
      <c r="S18" s="20">
        <f>-S15*'Assumptions'!$F$18</f>
        <v>0</v>
      </c>
      <c r="T18" s="20">
        <f>-T15*'Assumptions'!$F$18</f>
        <v>0</v>
      </c>
      <c r="U18" s="20">
        <f>-U15*'Assumptions'!$F$18</f>
        <v>0</v>
      </c>
      <c r="V18" s="20">
        <f>-V15*'Assumptions'!$F$18</f>
        <v>0</v>
      </c>
      <c r="W18" s="20">
        <f>-W15*'Assumptions'!$F$18</f>
        <v>0</v>
      </c>
      <c r="X18" s="20">
        <f>-X15*'Assumptions'!$F$18</f>
        <v>0</v>
      </c>
      <c r="Y18" s="20">
        <f>-Y15*'Assumptions'!$F$18</f>
        <v>0</v>
      </c>
      <c r="Z18" s="20">
        <f>-Z15*'Assumptions'!$F$18</f>
        <v>0</v>
      </c>
      <c r="AA18" s="20">
        <f>-AA15*'Assumptions'!$F$18</f>
        <v>0</v>
      </c>
      <c r="AB18" s="20">
        <f>-AB15*'Assumptions'!$F$18</f>
        <v>0</v>
      </c>
      <c r="AC18" s="20">
        <f>-AC15*'Assumptions'!$F$18</f>
        <v>0</v>
      </c>
      <c r="AD18" s="20">
        <f>-AD15*'Assumptions'!$F$18</f>
        <v>0</v>
      </c>
      <c r="AE18" s="20">
        <f>-AE15*'Assumptions'!$F$18</f>
        <v>0</v>
      </c>
      <c r="AF18" s="20">
        <f>-AF15*'Assumptions'!$F$18</f>
        <v>0</v>
      </c>
      <c r="AG18" s="20">
        <f>-AG15*'Assumptions'!$F$18</f>
        <v>0</v>
      </c>
      <c r="AH18" s="20">
        <f>-AH15*'Assumptions'!$F$18</f>
        <v>0</v>
      </c>
      <c r="AI18" s="20">
        <f>-AI15*'Assumptions'!$F$18</f>
        <v>0</v>
      </c>
      <c r="AJ18" s="20">
        <f>-AJ15*'Assumptions'!$F$18</f>
        <v>0</v>
      </c>
      <c r="AK18" s="20">
        <f>-AK15*'Assumptions'!$F$18</f>
        <v>0</v>
      </c>
      <c r="AL18" s="20">
        <f>-AL15*'Assumptions'!$F$18</f>
        <v>0</v>
      </c>
      <c r="AN18" s="20">
        <f>SUM(C18:E18)</f>
        <v>0</v>
      </c>
      <c r="AO18" s="20">
        <f>SUM(F18:H18)</f>
        <v>0</v>
      </c>
      <c r="AP18" s="20">
        <f>SUM(I18:K18)</f>
        <v>0</v>
      </c>
      <c r="AQ18" s="20">
        <f>SUM(L18:N18)</f>
        <v>0</v>
      </c>
      <c r="AR18" s="20">
        <f>SUM(O18:Q18)</f>
        <v>0</v>
      </c>
      <c r="AS18" s="20">
        <f>SUM(R18:T18)</f>
        <v>0</v>
      </c>
      <c r="AT18" s="20">
        <f>SUM(U18:W18)</f>
        <v>0</v>
      </c>
      <c r="AU18" s="20">
        <f>SUM(X18:Z18)</f>
        <v>0</v>
      </c>
      <c r="AV18" s="20">
        <f>SUM(AA18:AC18)</f>
        <v>0</v>
      </c>
      <c r="AW18" s="20">
        <f>SUM(AD18:AF18)</f>
        <v>0</v>
      </c>
      <c r="AX18" s="20">
        <f>SUM(AG18:AI18)</f>
        <v>0</v>
      </c>
      <c r="AY18" s="20">
        <f>SUM(AJ18:AL18)</f>
        <v>0</v>
      </c>
      <c r="BA18" s="20">
        <f>SUM(C18:N18)</f>
        <v>0</v>
      </c>
      <c r="BB18" s="20">
        <f>SUM(O18:Z18)</f>
        <v>0</v>
      </c>
      <c r="BC18" s="20">
        <f>SUM(AA18:AL18)</f>
        <v>0</v>
      </c>
    </row>
    <row r="19" spans="1:55">
      <c r="A19" s="18" t="s">
        <v>187</v>
      </c>
      <c r="B19" s="16"/>
      <c r="C19" s="20">
        <f>-C15*'Assumptions'!$F$16</f>
        <v>0</v>
      </c>
      <c r="D19" s="20">
        <f>-D15*'Assumptions'!$F$16</f>
        <v>0</v>
      </c>
      <c r="E19" s="20">
        <f>-E15*'Assumptions'!$F$16</f>
        <v>0</v>
      </c>
      <c r="F19" s="20">
        <f>-F15*'Assumptions'!$F$16</f>
        <v>0</v>
      </c>
      <c r="G19" s="20">
        <f>-G15*'Assumptions'!$F$16</f>
        <v>0</v>
      </c>
      <c r="H19" s="20">
        <f>-H15*'Assumptions'!$F$16</f>
        <v>0</v>
      </c>
      <c r="I19" s="20">
        <f>-I15*'Assumptions'!$F$16</f>
        <v>0</v>
      </c>
      <c r="J19" s="20">
        <f>-J15*'Assumptions'!$F$16</f>
        <v>0</v>
      </c>
      <c r="K19" s="20">
        <f>-K15*'Assumptions'!$F$16</f>
        <v>0</v>
      </c>
      <c r="L19" s="20">
        <f>-L15*'Assumptions'!$F$16</f>
        <v>0</v>
      </c>
      <c r="M19" s="20">
        <f>-M15*'Assumptions'!$F$16</f>
        <v>0</v>
      </c>
      <c r="N19" s="20">
        <f>-N15*'Assumptions'!$F$16</f>
        <v>0</v>
      </c>
      <c r="O19" s="20">
        <f>-O15*'Assumptions'!$F$16</f>
        <v>0</v>
      </c>
      <c r="P19" s="20">
        <f>-P15*'Assumptions'!$F$16</f>
        <v>0</v>
      </c>
      <c r="Q19" s="20">
        <f>-Q15*'Assumptions'!$F$16</f>
        <v>0</v>
      </c>
      <c r="R19" s="20">
        <f>-R15*'Assumptions'!$F$16</f>
        <v>0</v>
      </c>
      <c r="S19" s="20">
        <f>-S15*'Assumptions'!$F$16</f>
        <v>0</v>
      </c>
      <c r="T19" s="20">
        <f>-T15*'Assumptions'!$F$16</f>
        <v>0</v>
      </c>
      <c r="U19" s="20">
        <f>-U15*'Assumptions'!$F$16</f>
        <v>0</v>
      </c>
      <c r="V19" s="20">
        <f>-V15*'Assumptions'!$F$16</f>
        <v>0</v>
      </c>
      <c r="W19" s="20">
        <f>-W15*'Assumptions'!$F$16</f>
        <v>0</v>
      </c>
      <c r="X19" s="20">
        <f>-X15*'Assumptions'!$F$16</f>
        <v>0</v>
      </c>
      <c r="Y19" s="20">
        <f>-Y15*'Assumptions'!$F$16</f>
        <v>0</v>
      </c>
      <c r="Z19" s="20">
        <f>-Z15*'Assumptions'!$F$16</f>
        <v>0</v>
      </c>
      <c r="AA19" s="20">
        <f>-AA15*'Assumptions'!$F$16</f>
        <v>0</v>
      </c>
      <c r="AB19" s="20">
        <f>-AB15*'Assumptions'!$F$16</f>
        <v>0</v>
      </c>
      <c r="AC19" s="20">
        <f>-AC15*'Assumptions'!$F$16</f>
        <v>0</v>
      </c>
      <c r="AD19" s="20">
        <f>-AD15*'Assumptions'!$F$16</f>
        <v>0</v>
      </c>
      <c r="AE19" s="20">
        <f>-AE15*'Assumptions'!$F$16</f>
        <v>0</v>
      </c>
      <c r="AF19" s="20">
        <f>-AF15*'Assumptions'!$F$16</f>
        <v>0</v>
      </c>
      <c r="AG19" s="20">
        <f>-AG15*'Assumptions'!$F$16</f>
        <v>0</v>
      </c>
      <c r="AH19" s="20">
        <f>-AH15*'Assumptions'!$F$16</f>
        <v>0</v>
      </c>
      <c r="AI19" s="20">
        <f>-AI15*'Assumptions'!$F$16</f>
        <v>0</v>
      </c>
      <c r="AJ19" s="20">
        <f>-AJ15*'Assumptions'!$F$16</f>
        <v>0</v>
      </c>
      <c r="AK19" s="20">
        <f>-AK15*'Assumptions'!$F$16</f>
        <v>0</v>
      </c>
      <c r="AL19" s="20">
        <f>-AL15*'Assumptions'!$F$16</f>
        <v>0</v>
      </c>
      <c r="AN19" s="20">
        <f>SUM(C19:E19)</f>
        <v>0</v>
      </c>
      <c r="AO19" s="20">
        <f>SUM(F19:H19)</f>
        <v>0</v>
      </c>
      <c r="AP19" s="20">
        <f>SUM(I19:K19)</f>
        <v>0</v>
      </c>
      <c r="AQ19" s="20">
        <f>SUM(L19:N19)</f>
        <v>0</v>
      </c>
      <c r="AR19" s="20">
        <f>SUM(O19:Q19)</f>
        <v>0</v>
      </c>
      <c r="AS19" s="20">
        <f>SUM(R19:T19)</f>
        <v>0</v>
      </c>
      <c r="AT19" s="20">
        <f>SUM(U19:W19)</f>
        <v>0</v>
      </c>
      <c r="AU19" s="20">
        <f>SUM(X19:Z19)</f>
        <v>0</v>
      </c>
      <c r="AV19" s="20">
        <f>SUM(AA19:AC19)</f>
        <v>0</v>
      </c>
      <c r="AW19" s="20">
        <f>SUM(AD19:AF19)</f>
        <v>0</v>
      </c>
      <c r="AX19" s="20">
        <f>SUM(AG19:AI19)</f>
        <v>0</v>
      </c>
      <c r="AY19" s="20">
        <f>SUM(AJ19:AL19)</f>
        <v>0</v>
      </c>
      <c r="BA19" s="20">
        <f>SUM(C19:N19)</f>
        <v>0</v>
      </c>
      <c r="BB19" s="20">
        <f>SUM(O19:Z19)</f>
        <v>0</v>
      </c>
      <c r="BC19" s="20">
        <f>SUM(AA19:AL19)</f>
        <v>0</v>
      </c>
    </row>
    <row r="20" spans="1:55">
      <c r="A20" s="28" t="s">
        <v>188</v>
      </c>
      <c r="B20" s="16"/>
      <c r="C20" s="29">
        <f>C15+C16+C17+C18+C19</f>
        <v>0</v>
      </c>
      <c r="D20" s="29">
        <f>D15+D16+D17+D18+D19</f>
        <v>0</v>
      </c>
      <c r="E20" s="29">
        <f>E15+E16+E17+E18+E19</f>
        <v>0</v>
      </c>
      <c r="F20" s="29">
        <f>F15+F16+F17+F18+F19</f>
        <v>0</v>
      </c>
      <c r="G20" s="29">
        <f>G15+G16+G17+G18+G19</f>
        <v>0</v>
      </c>
      <c r="H20" s="29">
        <f>H15+H16+H17+H18+H19</f>
        <v>0</v>
      </c>
      <c r="I20" s="29">
        <f>I15+I16+I17+I18+I19</f>
        <v>0</v>
      </c>
      <c r="J20" s="29">
        <f>J15+J16+J17+J18+J19</f>
        <v>0</v>
      </c>
      <c r="K20" s="29">
        <f>K15+K16+K17+K18+K19</f>
        <v>0</v>
      </c>
      <c r="L20" s="29">
        <f>L15+L16+L17+L18+L19</f>
        <v>0</v>
      </c>
      <c r="M20" s="29">
        <f>M15+M16+M17+M18+M19</f>
        <v>0</v>
      </c>
      <c r="N20" s="29">
        <f>N15+N16+N17+N18+N19</f>
        <v>0</v>
      </c>
      <c r="O20" s="29">
        <f>O15+O16+O17+O18+O19</f>
        <v>0</v>
      </c>
      <c r="P20" s="29">
        <f>P15+P16+P17+P18+P19</f>
        <v>0</v>
      </c>
      <c r="Q20" s="29">
        <f>Q15+Q16+Q17+Q18+Q19</f>
        <v>0</v>
      </c>
      <c r="R20" s="29">
        <f>R15+R16+R17+R18+R19</f>
        <v>0</v>
      </c>
      <c r="S20" s="29">
        <f>S15+S16+S17+S18+S19</f>
        <v>0</v>
      </c>
      <c r="T20" s="29">
        <f>T15+T16+T17+T18+T19</f>
        <v>0</v>
      </c>
      <c r="U20" s="29">
        <f>U15+U16+U17+U18+U19</f>
        <v>0</v>
      </c>
      <c r="V20" s="29">
        <f>V15+V16+V17+V18+V19</f>
        <v>0</v>
      </c>
      <c r="W20" s="29">
        <f>W15+W16+W17+W18+W19</f>
        <v>0</v>
      </c>
      <c r="X20" s="29">
        <f>X15+X16+X17+X18+X19</f>
        <v>0</v>
      </c>
      <c r="Y20" s="29">
        <f>Y15+Y16+Y17+Y18+Y19</f>
        <v>0</v>
      </c>
      <c r="Z20" s="29">
        <f>Z15+Z16+Z17+Z18+Z19</f>
        <v>0</v>
      </c>
      <c r="AA20" s="29">
        <f>AA15+AA16+AA17+AA18+AA19</f>
        <v>0</v>
      </c>
      <c r="AB20" s="29">
        <f>AB15+AB16+AB17+AB18+AB19</f>
        <v>0</v>
      </c>
      <c r="AC20" s="29">
        <f>AC15+AC16+AC17+AC18+AC19</f>
        <v>0</v>
      </c>
      <c r="AD20" s="29">
        <f>AD15+AD16+AD17+AD18+AD19</f>
        <v>0</v>
      </c>
      <c r="AE20" s="29">
        <f>AE15+AE16+AE17+AE18+AE19</f>
        <v>0</v>
      </c>
      <c r="AF20" s="29">
        <f>AF15+AF16+AF17+AF18+AF19</f>
        <v>0</v>
      </c>
      <c r="AG20" s="29">
        <f>AG15+AG16+AG17+AG18+AG19</f>
        <v>0</v>
      </c>
      <c r="AH20" s="29">
        <f>AH15+AH16+AH17+AH18+AH19</f>
        <v>0</v>
      </c>
      <c r="AI20" s="29">
        <f>AI15+AI16+AI17+AI18+AI19</f>
        <v>0</v>
      </c>
      <c r="AJ20" s="29">
        <f>AJ15+AJ16+AJ17+AJ18+AJ19</f>
        <v>0</v>
      </c>
      <c r="AK20" s="29">
        <f>AK15+AK16+AK17+AK18+AK19</f>
        <v>0</v>
      </c>
      <c r="AL20" s="29">
        <f>AL15+AL16+AL17+AL18+AL19</f>
        <v>0</v>
      </c>
      <c r="AN20" s="29">
        <f>E20</f>
        <v>0</v>
      </c>
      <c r="AO20" s="29">
        <f>H20</f>
        <v>0</v>
      </c>
      <c r="AP20" s="29">
        <f>K20</f>
        <v>0</v>
      </c>
      <c r="AQ20" s="29">
        <f>N20</f>
        <v>0</v>
      </c>
      <c r="AR20" s="29">
        <f>Q20</f>
        <v>0</v>
      </c>
      <c r="AS20" s="29">
        <f>T20</f>
        <v>0</v>
      </c>
      <c r="AT20" s="29">
        <f>W20</f>
        <v>0</v>
      </c>
      <c r="AU20" s="29">
        <f>Z20</f>
        <v>0</v>
      </c>
      <c r="AV20" s="29">
        <f>AC20</f>
        <v>0</v>
      </c>
      <c r="AW20" s="29">
        <f>AF20</f>
        <v>0</v>
      </c>
      <c r="AX20" s="29">
        <f>AI20</f>
        <v>0</v>
      </c>
      <c r="AY20" s="29">
        <f>AL20</f>
        <v>0</v>
      </c>
      <c r="BA20" s="29">
        <f>N20</f>
        <v>0</v>
      </c>
      <c r="BB20" s="29">
        <f>Z20</f>
        <v>0</v>
      </c>
      <c r="BC20" s="29">
        <f>AL20</f>
        <v>0</v>
      </c>
    </row>
    <row r="21" spans="1:55">
      <c r="A21" s="18" t="s">
        <v>189</v>
      </c>
      <c r="B21" s="16"/>
      <c r="C21" s="20">
        <f>C20*12</f>
        <v>0</v>
      </c>
      <c r="D21" s="20">
        <f>D20*12</f>
        <v>0</v>
      </c>
      <c r="E21" s="20">
        <f>E20*12</f>
        <v>0</v>
      </c>
      <c r="F21" s="20">
        <f>F20*12</f>
        <v>0</v>
      </c>
      <c r="G21" s="20">
        <f>G20*12</f>
        <v>0</v>
      </c>
      <c r="H21" s="20">
        <f>H20*12</f>
        <v>0</v>
      </c>
      <c r="I21" s="20">
        <f>I20*12</f>
        <v>0</v>
      </c>
      <c r="J21" s="20">
        <f>J20*12</f>
        <v>0</v>
      </c>
      <c r="K21" s="20">
        <f>K20*12</f>
        <v>0</v>
      </c>
      <c r="L21" s="20">
        <f>L20*12</f>
        <v>0</v>
      </c>
      <c r="M21" s="20">
        <f>M20*12</f>
        <v>0</v>
      </c>
      <c r="N21" s="20">
        <f>N20*12</f>
        <v>0</v>
      </c>
      <c r="O21" s="20">
        <f>O20*12</f>
        <v>0</v>
      </c>
      <c r="P21" s="20">
        <f>P20*12</f>
        <v>0</v>
      </c>
      <c r="Q21" s="20">
        <f>Q20*12</f>
        <v>0</v>
      </c>
      <c r="R21" s="20">
        <f>R20*12</f>
        <v>0</v>
      </c>
      <c r="S21" s="20">
        <f>S20*12</f>
        <v>0</v>
      </c>
      <c r="T21" s="20">
        <f>T20*12</f>
        <v>0</v>
      </c>
      <c r="U21" s="20">
        <f>U20*12</f>
        <v>0</v>
      </c>
      <c r="V21" s="20">
        <f>V20*12</f>
        <v>0</v>
      </c>
      <c r="W21" s="20">
        <f>W20*12</f>
        <v>0</v>
      </c>
      <c r="X21" s="20">
        <f>X20*12</f>
        <v>0</v>
      </c>
      <c r="Y21" s="20">
        <f>Y20*12</f>
        <v>0</v>
      </c>
      <c r="Z21" s="20">
        <f>Z20*12</f>
        <v>0</v>
      </c>
      <c r="AA21" s="20">
        <f>AA20*12</f>
        <v>0</v>
      </c>
      <c r="AB21" s="20">
        <f>AB20*12</f>
        <v>0</v>
      </c>
      <c r="AC21" s="20">
        <f>AC20*12</f>
        <v>0</v>
      </c>
      <c r="AD21" s="20">
        <f>AD20*12</f>
        <v>0</v>
      </c>
      <c r="AE21" s="20">
        <f>AE20*12</f>
        <v>0</v>
      </c>
      <c r="AF21" s="20">
        <f>AF20*12</f>
        <v>0</v>
      </c>
      <c r="AG21" s="20">
        <f>AG20*12</f>
        <v>0</v>
      </c>
      <c r="AH21" s="20">
        <f>AH20*12</f>
        <v>0</v>
      </c>
      <c r="AI21" s="20">
        <f>AI20*12</f>
        <v>0</v>
      </c>
      <c r="AJ21" s="20">
        <f>AJ20*12</f>
        <v>0</v>
      </c>
      <c r="AK21" s="20">
        <f>AK20*12</f>
        <v>0</v>
      </c>
      <c r="AL21" s="20">
        <f>AL20*12</f>
        <v>0</v>
      </c>
      <c r="AN21" s="20">
        <f>E21</f>
        <v>0</v>
      </c>
      <c r="AO21" s="20">
        <f>H21</f>
        <v>0</v>
      </c>
      <c r="AP21" s="20">
        <f>K21</f>
        <v>0</v>
      </c>
      <c r="AQ21" s="20">
        <f>N21</f>
        <v>0</v>
      </c>
      <c r="AR21" s="20">
        <f>Q21</f>
        <v>0</v>
      </c>
      <c r="AS21" s="20">
        <f>T21</f>
        <v>0</v>
      </c>
      <c r="AT21" s="20">
        <f>W21</f>
        <v>0</v>
      </c>
      <c r="AU21" s="20">
        <f>Z21</f>
        <v>0</v>
      </c>
      <c r="AV21" s="20">
        <f>AC21</f>
        <v>0</v>
      </c>
      <c r="AW21" s="20">
        <f>AF21</f>
        <v>0</v>
      </c>
      <c r="AX21" s="20">
        <f>AI21</f>
        <v>0</v>
      </c>
      <c r="AY21" s="20">
        <f>AL21</f>
        <v>0</v>
      </c>
      <c r="BA21" s="20">
        <f>N21</f>
        <v>0</v>
      </c>
      <c r="BB21" s="20">
        <f>Z21</f>
        <v>0</v>
      </c>
      <c r="BC21" s="20">
        <f>AL21</f>
        <v>0</v>
      </c>
    </row>
    <row r="22" spans="1:55" ht="5" customHeight="1"/>
    <row r="23" spans="1:55" ht="16" customHeight="1">
      <c r="A23" s="14" t="s">
        <v>190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</row>
    <row r="24" spans="1:55">
      <c r="A24" s="18" t="s">
        <v>191</v>
      </c>
      <c r="B24" s="16"/>
      <c r="C24" s="30">
        <f>'Assumptions'!$F$23</f>
        <v>0</v>
      </c>
      <c r="D24" s="30">
        <f>C24*(1+'Assumptions'!$F$24)</f>
        <v>0</v>
      </c>
      <c r="E24" s="30">
        <f>D24*(1+'Assumptions'!$F$24)</f>
        <v>0</v>
      </c>
      <c r="F24" s="30">
        <f>E24*(1+'Assumptions'!$F$24)</f>
        <v>0</v>
      </c>
      <c r="G24" s="30">
        <f>F24*(1+'Assumptions'!$F$24)</f>
        <v>0</v>
      </c>
      <c r="H24" s="30">
        <f>G24*(1+'Assumptions'!$F$24)</f>
        <v>0</v>
      </c>
      <c r="I24" s="30">
        <f>H24*(1+'Assumptions'!$F$24)</f>
        <v>0</v>
      </c>
      <c r="J24" s="30">
        <f>I24*(1+'Assumptions'!$F$24)</f>
        <v>0</v>
      </c>
      <c r="K24" s="30">
        <f>J24*(1+'Assumptions'!$F$24)</f>
        <v>0</v>
      </c>
      <c r="L24" s="30">
        <f>K24*(1+'Assumptions'!$F$24)</f>
        <v>0</v>
      </c>
      <c r="M24" s="30">
        <f>L24*(1+'Assumptions'!$F$24)</f>
        <v>0</v>
      </c>
      <c r="N24" s="30">
        <f>M24*(1+'Assumptions'!$F$24)</f>
        <v>0</v>
      </c>
      <c r="O24" s="30">
        <f>N24*(1+'Assumptions'!$F$24)</f>
        <v>0</v>
      </c>
      <c r="P24" s="30">
        <f>O24*(1+'Assumptions'!$F$24)</f>
        <v>0</v>
      </c>
      <c r="Q24" s="30">
        <f>P24*(1+'Assumptions'!$F$24)</f>
        <v>0</v>
      </c>
      <c r="R24" s="30">
        <f>Q24*(1+'Assumptions'!$F$24)</f>
        <v>0</v>
      </c>
      <c r="S24" s="30">
        <f>R24*(1+'Assumptions'!$F$24)</f>
        <v>0</v>
      </c>
      <c r="T24" s="30">
        <f>S24*(1+'Assumptions'!$F$24)</f>
        <v>0</v>
      </c>
      <c r="U24" s="30">
        <f>T24*(1+'Assumptions'!$F$24)</f>
        <v>0</v>
      </c>
      <c r="V24" s="30">
        <f>U24*(1+'Assumptions'!$F$24)</f>
        <v>0</v>
      </c>
      <c r="W24" s="30">
        <f>V24*(1+'Assumptions'!$F$24)</f>
        <v>0</v>
      </c>
      <c r="X24" s="30">
        <f>W24*(1+'Assumptions'!$F$24)</f>
        <v>0</v>
      </c>
      <c r="Y24" s="30">
        <f>X24*(1+'Assumptions'!$F$24)</f>
        <v>0</v>
      </c>
      <c r="Z24" s="30">
        <f>Y24*(1+'Assumptions'!$F$24)</f>
        <v>0</v>
      </c>
      <c r="AA24" s="30">
        <f>Z24*(1+'Assumptions'!$F$24)</f>
        <v>0</v>
      </c>
      <c r="AB24" s="30">
        <f>AA24*(1+'Assumptions'!$F$24)</f>
        <v>0</v>
      </c>
      <c r="AC24" s="30">
        <f>AB24*(1+'Assumptions'!$F$24)</f>
        <v>0</v>
      </c>
      <c r="AD24" s="30">
        <f>AC24*(1+'Assumptions'!$F$24)</f>
        <v>0</v>
      </c>
      <c r="AE24" s="30">
        <f>AD24*(1+'Assumptions'!$F$24)</f>
        <v>0</v>
      </c>
      <c r="AF24" s="30">
        <f>AE24*(1+'Assumptions'!$F$24)</f>
        <v>0</v>
      </c>
      <c r="AG24" s="30">
        <f>AF24*(1+'Assumptions'!$F$24)</f>
        <v>0</v>
      </c>
      <c r="AH24" s="30">
        <f>AG24*(1+'Assumptions'!$F$24)</f>
        <v>0</v>
      </c>
      <c r="AI24" s="30">
        <f>AH24*(1+'Assumptions'!$F$24)</f>
        <v>0</v>
      </c>
      <c r="AJ24" s="30">
        <f>AI24*(1+'Assumptions'!$F$24)</f>
        <v>0</v>
      </c>
      <c r="AK24" s="30">
        <f>AJ24*(1+'Assumptions'!$F$24)</f>
        <v>0</v>
      </c>
      <c r="AL24" s="30">
        <f>AK24*(1+'Assumptions'!$F$24)</f>
        <v>0</v>
      </c>
      <c r="AN24" s="30">
        <f>AVERAGE(C24:E24)</f>
        <v>0</v>
      </c>
      <c r="AO24" s="30">
        <f>AVERAGE(F24:H24)</f>
        <v>0</v>
      </c>
      <c r="AP24" s="30">
        <f>AVERAGE(I24:K24)</f>
        <v>0</v>
      </c>
      <c r="AQ24" s="30">
        <f>AVERAGE(L24:N24)</f>
        <v>0</v>
      </c>
      <c r="AR24" s="30">
        <f>AVERAGE(O24:Q24)</f>
        <v>0</v>
      </c>
      <c r="AS24" s="30">
        <f>AVERAGE(R24:T24)</f>
        <v>0</v>
      </c>
      <c r="AT24" s="30">
        <f>AVERAGE(U24:W24)</f>
        <v>0</v>
      </c>
      <c r="AU24" s="30">
        <f>AVERAGE(X24:Z24)</f>
        <v>0</v>
      </c>
      <c r="AV24" s="30">
        <f>AVERAGE(AA24:AC24)</f>
        <v>0</v>
      </c>
      <c r="AW24" s="30">
        <f>AVERAGE(AD24:AF24)</f>
        <v>0</v>
      </c>
      <c r="AX24" s="30">
        <f>AVERAGE(AG24:AI24)</f>
        <v>0</v>
      </c>
      <c r="AY24" s="30">
        <f>AVERAGE(AJ24:AL24)</f>
        <v>0</v>
      </c>
      <c r="BA24" s="30">
        <f>AVERAGE(C24:N24)</f>
        <v>0</v>
      </c>
      <c r="BB24" s="30">
        <f>AVERAGE(O24:Z24)</f>
        <v>0</v>
      </c>
      <c r="BC24" s="30">
        <f>AVERAGE(AA24:AL24)</f>
        <v>0</v>
      </c>
    </row>
    <row r="25" spans="1:55">
      <c r="A25" s="18" t="s">
        <v>192</v>
      </c>
      <c r="B25" s="16"/>
      <c r="C25" s="20">
        <f>C11*C24</f>
        <v>0</v>
      </c>
      <c r="D25" s="20">
        <f>D11*D24</f>
        <v>0</v>
      </c>
      <c r="E25" s="20">
        <f>E11*E24</f>
        <v>0</v>
      </c>
      <c r="F25" s="20">
        <f>F11*F24</f>
        <v>0</v>
      </c>
      <c r="G25" s="20">
        <f>G11*G24</f>
        <v>0</v>
      </c>
      <c r="H25" s="20">
        <f>H11*H24</f>
        <v>0</v>
      </c>
      <c r="I25" s="20">
        <f>I11*I24</f>
        <v>0</v>
      </c>
      <c r="J25" s="20">
        <f>J11*J24</f>
        <v>0</v>
      </c>
      <c r="K25" s="20">
        <f>K11*K24</f>
        <v>0</v>
      </c>
      <c r="L25" s="20">
        <f>L11*L24</f>
        <v>0</v>
      </c>
      <c r="M25" s="20">
        <f>M11*M24</f>
        <v>0</v>
      </c>
      <c r="N25" s="20">
        <f>N11*N24</f>
        <v>0</v>
      </c>
      <c r="O25" s="20">
        <f>O11*O24</f>
        <v>0</v>
      </c>
      <c r="P25" s="20">
        <f>P11*P24</f>
        <v>0</v>
      </c>
      <c r="Q25" s="20">
        <f>Q11*Q24</f>
        <v>0</v>
      </c>
      <c r="R25" s="20">
        <f>R11*R24</f>
        <v>0</v>
      </c>
      <c r="S25" s="20">
        <f>S11*S24</f>
        <v>0</v>
      </c>
      <c r="T25" s="20">
        <f>T11*T24</f>
        <v>0</v>
      </c>
      <c r="U25" s="20">
        <f>U11*U24</f>
        <v>0</v>
      </c>
      <c r="V25" s="20">
        <f>V11*V24</f>
        <v>0</v>
      </c>
      <c r="W25" s="20">
        <f>W11*W24</f>
        <v>0</v>
      </c>
      <c r="X25" s="20">
        <f>X11*X24</f>
        <v>0</v>
      </c>
      <c r="Y25" s="20">
        <f>Y11*Y24</f>
        <v>0</v>
      </c>
      <c r="Z25" s="20">
        <f>Z11*Z24</f>
        <v>0</v>
      </c>
      <c r="AA25" s="20">
        <f>AA11*AA24</f>
        <v>0</v>
      </c>
      <c r="AB25" s="20">
        <f>AB11*AB24</f>
        <v>0</v>
      </c>
      <c r="AC25" s="20">
        <f>AC11*AC24</f>
        <v>0</v>
      </c>
      <c r="AD25" s="20">
        <f>AD11*AD24</f>
        <v>0</v>
      </c>
      <c r="AE25" s="20">
        <f>AE11*AE24</f>
        <v>0</v>
      </c>
      <c r="AF25" s="20">
        <f>AF11*AF24</f>
        <v>0</v>
      </c>
      <c r="AG25" s="20">
        <f>AG11*AG24</f>
        <v>0</v>
      </c>
      <c r="AH25" s="20">
        <f>AH11*AH24</f>
        <v>0</v>
      </c>
      <c r="AI25" s="20">
        <f>AI11*AI24</f>
        <v>0</v>
      </c>
      <c r="AJ25" s="20">
        <f>AJ11*AJ24</f>
        <v>0</v>
      </c>
      <c r="AK25" s="20">
        <f>AK11*AK24</f>
        <v>0</v>
      </c>
      <c r="AL25" s="20">
        <f>AL11*AL24</f>
        <v>0</v>
      </c>
      <c r="AN25" s="20">
        <f>SUM(C25:E25)</f>
        <v>0</v>
      </c>
      <c r="AO25" s="20">
        <f>SUM(F25:H25)</f>
        <v>0</v>
      </c>
      <c r="AP25" s="20">
        <f>SUM(I25:K25)</f>
        <v>0</v>
      </c>
      <c r="AQ25" s="20">
        <f>SUM(L25:N25)</f>
        <v>0</v>
      </c>
      <c r="AR25" s="20">
        <f>SUM(O25:Q25)</f>
        <v>0</v>
      </c>
      <c r="AS25" s="20">
        <f>SUM(R25:T25)</f>
        <v>0</v>
      </c>
      <c r="AT25" s="20">
        <f>SUM(U25:W25)</f>
        <v>0</v>
      </c>
      <c r="AU25" s="20">
        <f>SUM(X25:Z25)</f>
        <v>0</v>
      </c>
      <c r="AV25" s="20">
        <f>SUM(AA25:AC25)</f>
        <v>0</v>
      </c>
      <c r="AW25" s="20">
        <f>SUM(AD25:AF25)</f>
        <v>0</v>
      </c>
      <c r="AX25" s="20">
        <f>SUM(AG25:AI25)</f>
        <v>0</v>
      </c>
      <c r="AY25" s="20">
        <f>SUM(AJ25:AL25)</f>
        <v>0</v>
      </c>
      <c r="BA25" s="20">
        <f>SUM(C25:N25)</f>
        <v>0</v>
      </c>
      <c r="BB25" s="20">
        <f>SUM(O25:Z25)</f>
        <v>0</v>
      </c>
      <c r="BC25" s="20">
        <f>SUM(AA25:AL25)</f>
        <v>0</v>
      </c>
    </row>
    <row r="26" spans="1:55" ht="5" customHeight="1"/>
    <row r="27" spans="1:55">
      <c r="A27" s="31" t="s">
        <v>193</v>
      </c>
      <c r="B27" s="16"/>
      <c r="C27" s="32">
        <f>C20+C25</f>
        <v>0</v>
      </c>
      <c r="D27" s="32">
        <f>D20+D25</f>
        <v>0</v>
      </c>
      <c r="E27" s="32">
        <f>E20+E25</f>
        <v>0</v>
      </c>
      <c r="F27" s="32">
        <f>F20+F25</f>
        <v>0</v>
      </c>
      <c r="G27" s="32">
        <f>G20+G25</f>
        <v>0</v>
      </c>
      <c r="H27" s="32">
        <f>H20+H25</f>
        <v>0</v>
      </c>
      <c r="I27" s="32">
        <f>I20+I25</f>
        <v>0</v>
      </c>
      <c r="J27" s="32">
        <f>J20+J25</f>
        <v>0</v>
      </c>
      <c r="K27" s="32">
        <f>K20+K25</f>
        <v>0</v>
      </c>
      <c r="L27" s="32">
        <f>L20+L25</f>
        <v>0</v>
      </c>
      <c r="M27" s="32">
        <f>M20+M25</f>
        <v>0</v>
      </c>
      <c r="N27" s="32">
        <f>N20+N25</f>
        <v>0</v>
      </c>
      <c r="O27" s="32">
        <f>O20+O25</f>
        <v>0</v>
      </c>
      <c r="P27" s="32">
        <f>P20+P25</f>
        <v>0</v>
      </c>
      <c r="Q27" s="32">
        <f>Q20+Q25</f>
        <v>0</v>
      </c>
      <c r="R27" s="32">
        <f>R20+R25</f>
        <v>0</v>
      </c>
      <c r="S27" s="32">
        <f>S20+S25</f>
        <v>0</v>
      </c>
      <c r="T27" s="32">
        <f>T20+T25</f>
        <v>0</v>
      </c>
      <c r="U27" s="32">
        <f>U20+U25</f>
        <v>0</v>
      </c>
      <c r="V27" s="32">
        <f>V20+V25</f>
        <v>0</v>
      </c>
      <c r="W27" s="32">
        <f>W20+W25</f>
        <v>0</v>
      </c>
      <c r="X27" s="32">
        <f>X20+X25</f>
        <v>0</v>
      </c>
      <c r="Y27" s="32">
        <f>Y20+Y25</f>
        <v>0</v>
      </c>
      <c r="Z27" s="32">
        <f>Z20+Z25</f>
        <v>0</v>
      </c>
      <c r="AA27" s="32">
        <f>AA20+AA25</f>
        <v>0</v>
      </c>
      <c r="AB27" s="32">
        <f>AB20+AB25</f>
        <v>0</v>
      </c>
      <c r="AC27" s="32">
        <f>AC20+AC25</f>
        <v>0</v>
      </c>
      <c r="AD27" s="32">
        <f>AD20+AD25</f>
        <v>0</v>
      </c>
      <c r="AE27" s="32">
        <f>AE20+AE25</f>
        <v>0</v>
      </c>
      <c r="AF27" s="32">
        <f>AF20+AF25</f>
        <v>0</v>
      </c>
      <c r="AG27" s="32">
        <f>AG20+AG25</f>
        <v>0</v>
      </c>
      <c r="AH27" s="32">
        <f>AH20+AH25</f>
        <v>0</v>
      </c>
      <c r="AI27" s="32">
        <f>AI20+AI25</f>
        <v>0</v>
      </c>
      <c r="AJ27" s="32">
        <f>AJ20+AJ25</f>
        <v>0</v>
      </c>
      <c r="AK27" s="32">
        <f>AK20+AK25</f>
        <v>0</v>
      </c>
      <c r="AL27" s="32">
        <f>AL20+AL25</f>
        <v>0</v>
      </c>
      <c r="AN27" s="32">
        <f>SUM(C27:E27)</f>
        <v>0</v>
      </c>
      <c r="AO27" s="32">
        <f>SUM(F27:H27)</f>
        <v>0</v>
      </c>
      <c r="AP27" s="32">
        <f>SUM(I27:K27)</f>
        <v>0</v>
      </c>
      <c r="AQ27" s="32">
        <f>SUM(L27:N27)</f>
        <v>0</v>
      </c>
      <c r="AR27" s="32">
        <f>SUM(O27:Q27)</f>
        <v>0</v>
      </c>
      <c r="AS27" s="32">
        <f>SUM(R27:T27)</f>
        <v>0</v>
      </c>
      <c r="AT27" s="32">
        <f>SUM(U27:W27)</f>
        <v>0</v>
      </c>
      <c r="AU27" s="32">
        <f>SUM(X27:Z27)</f>
        <v>0</v>
      </c>
      <c r="AV27" s="32">
        <f>SUM(AA27:AC27)</f>
        <v>0</v>
      </c>
      <c r="AW27" s="32">
        <f>SUM(AD27:AF27)</f>
        <v>0</v>
      </c>
      <c r="AX27" s="32">
        <f>SUM(AG27:AI27)</f>
        <v>0</v>
      </c>
      <c r="AY27" s="32">
        <f>SUM(AJ27:AL27)</f>
        <v>0</v>
      </c>
      <c r="BA27" s="32">
        <f>SUM(C27:N27)</f>
        <v>0</v>
      </c>
      <c r="BB27" s="32">
        <f>SUM(O27:Z27)</f>
        <v>0</v>
      </c>
      <c r="BC27" s="32">
        <f>SUM(AA27:AL27)</f>
        <v>0</v>
      </c>
    </row>
    <row r="28" spans="1:55" ht="5" customHeight="1"/>
    <row r="29" spans="1:55" ht="16" customHeight="1">
      <c r="A29" s="14" t="s">
        <v>194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</row>
    <row r="30" spans="1:55">
      <c r="A30" s="18" t="s">
        <v>195</v>
      </c>
      <c r="B30" s="16"/>
      <c r="C30" s="25">
        <f>IFERROR((C15+C18+C19)/C15,1)</f>
        <v>0</v>
      </c>
      <c r="D30" s="25">
        <f>IFERROR((D15+D18+D19)/D15,1)</f>
        <v>0</v>
      </c>
      <c r="E30" s="25">
        <f>IFERROR((E15+E18+E19)/E15,1)</f>
        <v>0</v>
      </c>
      <c r="F30" s="25">
        <f>IFERROR((F15+F18+F19)/F15,1)</f>
        <v>0</v>
      </c>
      <c r="G30" s="25">
        <f>IFERROR((G15+G18+G19)/G15,1)</f>
        <v>0</v>
      </c>
      <c r="H30" s="25">
        <f>IFERROR((H15+H18+H19)/H15,1)</f>
        <v>0</v>
      </c>
      <c r="I30" s="25">
        <f>IFERROR((I15+I18+I19)/I15,1)</f>
        <v>0</v>
      </c>
      <c r="J30" s="25">
        <f>IFERROR((J15+J18+J19)/J15,1)</f>
        <v>0</v>
      </c>
      <c r="K30" s="25">
        <f>IFERROR((K15+K18+K19)/K15,1)</f>
        <v>0</v>
      </c>
      <c r="L30" s="25">
        <f>IFERROR((L15+L18+L19)/L15,1)</f>
        <v>0</v>
      </c>
      <c r="M30" s="25">
        <f>IFERROR((M15+M18+M19)/M15,1)</f>
        <v>0</v>
      </c>
      <c r="N30" s="25">
        <f>IFERROR((N15+N18+N19)/N15,1)</f>
        <v>0</v>
      </c>
      <c r="O30" s="25">
        <f>IFERROR((O15+O18+O19)/O15,1)</f>
        <v>0</v>
      </c>
      <c r="P30" s="25">
        <f>IFERROR((P15+P18+P19)/P15,1)</f>
        <v>0</v>
      </c>
      <c r="Q30" s="25">
        <f>IFERROR((Q15+Q18+Q19)/Q15,1)</f>
        <v>0</v>
      </c>
      <c r="R30" s="25">
        <f>IFERROR((R15+R18+R19)/R15,1)</f>
        <v>0</v>
      </c>
      <c r="S30" s="25">
        <f>IFERROR((S15+S18+S19)/S15,1)</f>
        <v>0</v>
      </c>
      <c r="T30" s="25">
        <f>IFERROR((T15+T18+T19)/T15,1)</f>
        <v>0</v>
      </c>
      <c r="U30" s="25">
        <f>IFERROR((U15+U18+U19)/U15,1)</f>
        <v>0</v>
      </c>
      <c r="V30" s="25">
        <f>IFERROR((V15+V18+V19)/V15,1)</f>
        <v>0</v>
      </c>
      <c r="W30" s="25">
        <f>IFERROR((W15+W18+W19)/W15,1)</f>
        <v>0</v>
      </c>
      <c r="X30" s="25">
        <f>IFERROR((X15+X18+X19)/X15,1)</f>
        <v>0</v>
      </c>
      <c r="Y30" s="25">
        <f>IFERROR((Y15+Y18+Y19)/Y15,1)</f>
        <v>0</v>
      </c>
      <c r="Z30" s="25">
        <f>IFERROR((Z15+Z18+Z19)/Z15,1)</f>
        <v>0</v>
      </c>
      <c r="AA30" s="25">
        <f>IFERROR((AA15+AA18+AA19)/AA15,1)</f>
        <v>0</v>
      </c>
      <c r="AB30" s="25">
        <f>IFERROR((AB15+AB18+AB19)/AB15,1)</f>
        <v>0</v>
      </c>
      <c r="AC30" s="25">
        <f>IFERROR((AC15+AC18+AC19)/AC15,1)</f>
        <v>0</v>
      </c>
      <c r="AD30" s="25">
        <f>IFERROR((AD15+AD18+AD19)/AD15,1)</f>
        <v>0</v>
      </c>
      <c r="AE30" s="25">
        <f>IFERROR((AE15+AE18+AE19)/AE15,1)</f>
        <v>0</v>
      </c>
      <c r="AF30" s="25">
        <f>IFERROR((AF15+AF18+AF19)/AF15,1)</f>
        <v>0</v>
      </c>
      <c r="AG30" s="25">
        <f>IFERROR((AG15+AG18+AG19)/AG15,1)</f>
        <v>0</v>
      </c>
      <c r="AH30" s="25">
        <f>IFERROR((AH15+AH18+AH19)/AH15,1)</f>
        <v>0</v>
      </c>
      <c r="AI30" s="25">
        <f>IFERROR((AI15+AI18+AI19)/AI15,1)</f>
        <v>0</v>
      </c>
      <c r="AJ30" s="25">
        <f>IFERROR((AJ15+AJ18+AJ19)/AJ15,1)</f>
        <v>0</v>
      </c>
      <c r="AK30" s="25">
        <f>IFERROR((AK15+AK18+AK19)/AK15,1)</f>
        <v>0</v>
      </c>
      <c r="AL30" s="25">
        <f>IFERROR((AL15+AL18+AL19)/AL15,1)</f>
        <v>0</v>
      </c>
      <c r="AN30" s="25">
        <f>AVERAGE(C30:E30)</f>
        <v>0</v>
      </c>
      <c r="AO30" s="25">
        <f>AVERAGE(F30:H30)</f>
        <v>0</v>
      </c>
      <c r="AP30" s="25">
        <f>AVERAGE(I30:K30)</f>
        <v>0</v>
      </c>
      <c r="AQ30" s="25">
        <f>AVERAGE(L30:N30)</f>
        <v>0</v>
      </c>
      <c r="AR30" s="25">
        <f>AVERAGE(O30:Q30)</f>
        <v>0</v>
      </c>
      <c r="AS30" s="25">
        <f>AVERAGE(R30:T30)</f>
        <v>0</v>
      </c>
      <c r="AT30" s="25">
        <f>AVERAGE(U30:W30)</f>
        <v>0</v>
      </c>
      <c r="AU30" s="25">
        <f>AVERAGE(X30:Z30)</f>
        <v>0</v>
      </c>
      <c r="AV30" s="25">
        <f>AVERAGE(AA30:AC30)</f>
        <v>0</v>
      </c>
      <c r="AW30" s="25">
        <f>AVERAGE(AD30:AF30)</f>
        <v>0</v>
      </c>
      <c r="AX30" s="25">
        <f>AVERAGE(AG30:AI30)</f>
        <v>0</v>
      </c>
      <c r="AY30" s="25">
        <f>AVERAGE(AJ30:AL30)</f>
        <v>0</v>
      </c>
      <c r="BA30" s="25">
        <f>AVERAGE(C30:N30)</f>
        <v>0</v>
      </c>
      <c r="BB30" s="25">
        <f>AVERAGE(O30:Z30)</f>
        <v>0</v>
      </c>
      <c r="BC30" s="25">
        <f>AVERAGE(AA30:AL30)</f>
        <v>0</v>
      </c>
    </row>
    <row r="31" spans="1:55">
      <c r="A31" s="18" t="s">
        <v>196</v>
      </c>
      <c r="B31" s="16"/>
      <c r="C31" s="25">
        <f>IFERROR((C15+C17+C18+C19)/C15,1)</f>
        <v>0</v>
      </c>
      <c r="D31" s="25">
        <f>IFERROR((D15+D17+D18+D19)/D15,1)</f>
        <v>0</v>
      </c>
      <c r="E31" s="25">
        <f>IFERROR((E15+E17+E18+E19)/E15,1)</f>
        <v>0</v>
      </c>
      <c r="F31" s="25">
        <f>IFERROR((F15+F17+F18+F19)/F15,1)</f>
        <v>0</v>
      </c>
      <c r="G31" s="25">
        <f>IFERROR((G15+G17+G18+G19)/G15,1)</f>
        <v>0</v>
      </c>
      <c r="H31" s="25">
        <f>IFERROR((H15+H17+H18+H19)/H15,1)</f>
        <v>0</v>
      </c>
      <c r="I31" s="25">
        <f>IFERROR((I15+I17+I18+I19)/I15,1)</f>
        <v>0</v>
      </c>
      <c r="J31" s="25">
        <f>IFERROR((J15+J17+J18+J19)/J15,1)</f>
        <v>0</v>
      </c>
      <c r="K31" s="25">
        <f>IFERROR((K15+K17+K18+K19)/K15,1)</f>
        <v>0</v>
      </c>
      <c r="L31" s="25">
        <f>IFERROR((L15+L17+L18+L19)/L15,1)</f>
        <v>0</v>
      </c>
      <c r="M31" s="25">
        <f>IFERROR((M15+M17+M18+M19)/M15,1)</f>
        <v>0</v>
      </c>
      <c r="N31" s="25">
        <f>IFERROR((N15+N17+N18+N19)/N15,1)</f>
        <v>0</v>
      </c>
      <c r="O31" s="25">
        <f>IFERROR((O15+O17+O18+O19)/O15,1)</f>
        <v>0</v>
      </c>
      <c r="P31" s="25">
        <f>IFERROR((P15+P17+P18+P19)/P15,1)</f>
        <v>0</v>
      </c>
      <c r="Q31" s="25">
        <f>IFERROR((Q15+Q17+Q18+Q19)/Q15,1)</f>
        <v>0</v>
      </c>
      <c r="R31" s="25">
        <f>IFERROR((R15+R17+R18+R19)/R15,1)</f>
        <v>0</v>
      </c>
      <c r="S31" s="25">
        <f>IFERROR((S15+S17+S18+S19)/S15,1)</f>
        <v>0</v>
      </c>
      <c r="T31" s="25">
        <f>IFERROR((T15+T17+T18+T19)/T15,1)</f>
        <v>0</v>
      </c>
      <c r="U31" s="25">
        <f>IFERROR((U15+U17+U18+U19)/U15,1)</f>
        <v>0</v>
      </c>
      <c r="V31" s="25">
        <f>IFERROR((V15+V17+V18+V19)/V15,1)</f>
        <v>0</v>
      </c>
      <c r="W31" s="25">
        <f>IFERROR((W15+W17+W18+W19)/W15,1)</f>
        <v>0</v>
      </c>
      <c r="X31" s="25">
        <f>IFERROR((X15+X17+X18+X19)/X15,1)</f>
        <v>0</v>
      </c>
      <c r="Y31" s="25">
        <f>IFERROR((Y15+Y17+Y18+Y19)/Y15,1)</f>
        <v>0</v>
      </c>
      <c r="Z31" s="25">
        <f>IFERROR((Z15+Z17+Z18+Z19)/Z15,1)</f>
        <v>0</v>
      </c>
      <c r="AA31" s="25">
        <f>IFERROR((AA15+AA17+AA18+AA19)/AA15,1)</f>
        <v>0</v>
      </c>
      <c r="AB31" s="25">
        <f>IFERROR((AB15+AB17+AB18+AB19)/AB15,1)</f>
        <v>0</v>
      </c>
      <c r="AC31" s="25">
        <f>IFERROR((AC15+AC17+AC18+AC19)/AC15,1)</f>
        <v>0</v>
      </c>
      <c r="AD31" s="25">
        <f>IFERROR((AD15+AD17+AD18+AD19)/AD15,1)</f>
        <v>0</v>
      </c>
      <c r="AE31" s="25">
        <f>IFERROR((AE15+AE17+AE18+AE19)/AE15,1)</f>
        <v>0</v>
      </c>
      <c r="AF31" s="25">
        <f>IFERROR((AF15+AF17+AF18+AF19)/AF15,1)</f>
        <v>0</v>
      </c>
      <c r="AG31" s="25">
        <f>IFERROR((AG15+AG17+AG18+AG19)/AG15,1)</f>
        <v>0</v>
      </c>
      <c r="AH31" s="25">
        <f>IFERROR((AH15+AH17+AH18+AH19)/AH15,1)</f>
        <v>0</v>
      </c>
      <c r="AI31" s="25">
        <f>IFERROR((AI15+AI17+AI18+AI19)/AI15,1)</f>
        <v>0</v>
      </c>
      <c r="AJ31" s="25">
        <f>IFERROR((AJ15+AJ17+AJ18+AJ19)/AJ15,1)</f>
        <v>0</v>
      </c>
      <c r="AK31" s="25">
        <f>IFERROR((AK15+AK17+AK18+AK19)/AK15,1)</f>
        <v>0</v>
      </c>
      <c r="AL31" s="25">
        <f>IFERROR((AL15+AL17+AL18+AL19)/AL15,1)</f>
        <v>0</v>
      </c>
      <c r="AN31" s="25">
        <f>AVERAGE(C31:E31)</f>
        <v>0</v>
      </c>
      <c r="AO31" s="25">
        <f>AVERAGE(F31:H31)</f>
        <v>0</v>
      </c>
      <c r="AP31" s="25">
        <f>AVERAGE(I31:K31)</f>
        <v>0</v>
      </c>
      <c r="AQ31" s="25">
        <f>AVERAGE(L31:N31)</f>
        <v>0</v>
      </c>
      <c r="AR31" s="25">
        <f>AVERAGE(O31:Q31)</f>
        <v>0</v>
      </c>
      <c r="AS31" s="25">
        <f>AVERAGE(R31:T31)</f>
        <v>0</v>
      </c>
      <c r="AT31" s="25">
        <f>AVERAGE(U31:W31)</f>
        <v>0</v>
      </c>
      <c r="AU31" s="25">
        <f>AVERAGE(X31:Z31)</f>
        <v>0</v>
      </c>
      <c r="AV31" s="25">
        <f>AVERAGE(AA31:AC31)</f>
        <v>0</v>
      </c>
      <c r="AW31" s="25">
        <f>AVERAGE(AD31:AF31)</f>
        <v>0</v>
      </c>
      <c r="AX31" s="25">
        <f>AVERAGE(AG31:AI31)</f>
        <v>0</v>
      </c>
      <c r="AY31" s="25">
        <f>AVERAGE(AJ31:AL31)</f>
        <v>0</v>
      </c>
      <c r="BA31" s="25">
        <f>AVERAGE(C31:N31)</f>
        <v>0</v>
      </c>
      <c r="BB31" s="25">
        <f>AVERAGE(O31:Z31)</f>
        <v>0</v>
      </c>
      <c r="BC31" s="25">
        <f>AVERAGE(AA31:AL31)</f>
        <v>0</v>
      </c>
    </row>
    <row r="32" spans="1:55">
      <c r="A32" s="18" t="s">
        <v>197</v>
      </c>
      <c r="B32" s="16"/>
      <c r="C32" s="25">
        <f>IFERROR(C20/C15-1,0)</f>
        <v>0</v>
      </c>
      <c r="D32" s="25">
        <f>IFERROR(D20/D15-1,0)</f>
        <v>0</v>
      </c>
      <c r="E32" s="25">
        <f>IFERROR(E20/E15-1,0)</f>
        <v>0</v>
      </c>
      <c r="F32" s="25">
        <f>IFERROR(F20/F15-1,0)</f>
        <v>0</v>
      </c>
      <c r="G32" s="25">
        <f>IFERROR(G20/G15-1,0)</f>
        <v>0</v>
      </c>
      <c r="H32" s="25">
        <f>IFERROR(H20/H15-1,0)</f>
        <v>0</v>
      </c>
      <c r="I32" s="25">
        <f>IFERROR(I20/I15-1,0)</f>
        <v>0</v>
      </c>
      <c r="J32" s="25">
        <f>IFERROR(J20/J15-1,0)</f>
        <v>0</v>
      </c>
      <c r="K32" s="25">
        <f>IFERROR(K20/K15-1,0)</f>
        <v>0</v>
      </c>
      <c r="L32" s="25">
        <f>IFERROR(L20/L15-1,0)</f>
        <v>0</v>
      </c>
      <c r="M32" s="25">
        <f>IFERROR(M20/M15-1,0)</f>
        <v>0</v>
      </c>
      <c r="N32" s="25">
        <f>IFERROR(N20/N15-1,0)</f>
        <v>0</v>
      </c>
      <c r="O32" s="25">
        <f>IFERROR(O20/O15-1,0)</f>
        <v>0</v>
      </c>
      <c r="P32" s="25">
        <f>IFERROR(P20/P15-1,0)</f>
        <v>0</v>
      </c>
      <c r="Q32" s="25">
        <f>IFERROR(Q20/Q15-1,0)</f>
        <v>0</v>
      </c>
      <c r="R32" s="25">
        <f>IFERROR(R20/R15-1,0)</f>
        <v>0</v>
      </c>
      <c r="S32" s="25">
        <f>IFERROR(S20/S15-1,0)</f>
        <v>0</v>
      </c>
      <c r="T32" s="25">
        <f>IFERROR(T20/T15-1,0)</f>
        <v>0</v>
      </c>
      <c r="U32" s="25">
        <f>IFERROR(U20/U15-1,0)</f>
        <v>0</v>
      </c>
      <c r="V32" s="25">
        <f>IFERROR(V20/V15-1,0)</f>
        <v>0</v>
      </c>
      <c r="W32" s="25">
        <f>IFERROR(W20/W15-1,0)</f>
        <v>0</v>
      </c>
      <c r="X32" s="25">
        <f>IFERROR(X20/X15-1,0)</f>
        <v>0</v>
      </c>
      <c r="Y32" s="25">
        <f>IFERROR(Y20/Y15-1,0)</f>
        <v>0</v>
      </c>
      <c r="Z32" s="25">
        <f>IFERROR(Z20/Z15-1,0)</f>
        <v>0</v>
      </c>
      <c r="AA32" s="25">
        <f>IFERROR(AA20/AA15-1,0)</f>
        <v>0</v>
      </c>
      <c r="AB32" s="25">
        <f>IFERROR(AB20/AB15-1,0)</f>
        <v>0</v>
      </c>
      <c r="AC32" s="25">
        <f>IFERROR(AC20/AC15-1,0)</f>
        <v>0</v>
      </c>
      <c r="AD32" s="25">
        <f>IFERROR(AD20/AD15-1,0)</f>
        <v>0</v>
      </c>
      <c r="AE32" s="25">
        <f>IFERROR(AE20/AE15-1,0)</f>
        <v>0</v>
      </c>
      <c r="AF32" s="25">
        <f>IFERROR(AF20/AF15-1,0)</f>
        <v>0</v>
      </c>
      <c r="AG32" s="25">
        <f>IFERROR(AG20/AG15-1,0)</f>
        <v>0</v>
      </c>
      <c r="AH32" s="25">
        <f>IFERROR(AH20/AH15-1,0)</f>
        <v>0</v>
      </c>
      <c r="AI32" s="25">
        <f>IFERROR(AI20/AI15-1,0)</f>
        <v>0</v>
      </c>
      <c r="AJ32" s="25">
        <f>IFERROR(AJ20/AJ15-1,0)</f>
        <v>0</v>
      </c>
      <c r="AK32" s="25">
        <f>IFERROR(AK20/AK15-1,0)</f>
        <v>0</v>
      </c>
      <c r="AL32" s="25">
        <f>IFERROR(AL20/AL15-1,0)</f>
        <v>0</v>
      </c>
      <c r="AN32" s="25">
        <f>AVERAGE(C32:E32)</f>
        <v>0</v>
      </c>
      <c r="AO32" s="25">
        <f>AVERAGE(F32:H32)</f>
        <v>0</v>
      </c>
      <c r="AP32" s="25">
        <f>AVERAGE(I32:K32)</f>
        <v>0</v>
      </c>
      <c r="AQ32" s="25">
        <f>AVERAGE(L32:N32)</f>
        <v>0</v>
      </c>
      <c r="AR32" s="25">
        <f>AVERAGE(O32:Q32)</f>
        <v>0</v>
      </c>
      <c r="AS32" s="25">
        <f>AVERAGE(R32:T32)</f>
        <v>0</v>
      </c>
      <c r="AT32" s="25">
        <f>AVERAGE(U32:W32)</f>
        <v>0</v>
      </c>
      <c r="AU32" s="25">
        <f>AVERAGE(X32:Z32)</f>
        <v>0</v>
      </c>
      <c r="AV32" s="25">
        <f>AVERAGE(AA32:AC32)</f>
        <v>0</v>
      </c>
      <c r="AW32" s="25">
        <f>AVERAGE(AD32:AF32)</f>
        <v>0</v>
      </c>
      <c r="AX32" s="25">
        <f>AVERAGE(AG32:AI32)</f>
        <v>0</v>
      </c>
      <c r="AY32" s="25">
        <f>AVERAGE(AJ32:AL32)</f>
        <v>0</v>
      </c>
      <c r="BA32" s="25">
        <f>AVERAGE(C32:N32)</f>
        <v>0</v>
      </c>
      <c r="BB32" s="25">
        <f>AVERAGE(O32:Z32)</f>
        <v>0</v>
      </c>
      <c r="BC32" s="25">
        <f>AVERAGE(AA32:AL32)</f>
        <v>0</v>
      </c>
    </row>
  </sheetData>
  <mergeCells count="9">
    <mergeCell ref="A1:BC1"/>
    <mergeCell ref="A2:BC2"/>
    <mergeCell ref="C5:AL5"/>
    <mergeCell ref="AN5:AY5"/>
    <mergeCell ref="BA5:BC5"/>
    <mergeCell ref="A7:BC7"/>
    <mergeCell ref="A13:BC13"/>
    <mergeCell ref="A23:BC23"/>
    <mergeCell ref="A29:BC29"/>
  </mergeCells>
  <pageMargins left="0.7" right="0.7" top="0.75" bottom="0.75" header="0.3" footer="0.3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6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199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130</v>
      </c>
      <c r="B5" s="14" t="s">
        <v>131</v>
      </c>
      <c r="C5" s="14" t="s">
        <v>127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128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129</v>
      </c>
      <c r="BB5" s="14"/>
      <c r="BC5" s="14"/>
    </row>
    <row r="6" spans="1:55">
      <c r="A6" s="17"/>
      <c r="B6" s="17"/>
      <c r="C6" s="26">
        <v>46023</v>
      </c>
      <c r="D6" s="26">
        <v>46054</v>
      </c>
      <c r="E6" s="26">
        <v>46082</v>
      </c>
      <c r="F6" s="26">
        <v>46113</v>
      </c>
      <c r="G6" s="26">
        <v>46143</v>
      </c>
      <c r="H6" s="26">
        <v>46174</v>
      </c>
      <c r="I6" s="26">
        <v>46204</v>
      </c>
      <c r="J6" s="26">
        <v>46235</v>
      </c>
      <c r="K6" s="26">
        <v>46266</v>
      </c>
      <c r="L6" s="26">
        <v>46296</v>
      </c>
      <c r="M6" s="26">
        <v>46327</v>
      </c>
      <c r="N6" s="26">
        <v>46357</v>
      </c>
      <c r="O6" s="26">
        <v>46388</v>
      </c>
      <c r="P6" s="26">
        <v>46419</v>
      </c>
      <c r="Q6" s="26">
        <v>46447</v>
      </c>
      <c r="R6" s="26">
        <v>46478</v>
      </c>
      <c r="S6" s="26">
        <v>46508</v>
      </c>
      <c r="T6" s="26">
        <v>46539</v>
      </c>
      <c r="U6" s="26">
        <v>46569</v>
      </c>
      <c r="V6" s="26">
        <v>46600</v>
      </c>
      <c r="W6" s="26">
        <v>46631</v>
      </c>
      <c r="X6" s="26">
        <v>46661</v>
      </c>
      <c r="Y6" s="26">
        <v>46692</v>
      </c>
      <c r="Z6" s="26">
        <v>46722</v>
      </c>
      <c r="AA6" s="26">
        <v>46753</v>
      </c>
      <c r="AB6" s="26">
        <v>46784</v>
      </c>
      <c r="AC6" s="26">
        <v>46813</v>
      </c>
      <c r="AD6" s="26">
        <v>46844</v>
      </c>
      <c r="AE6" s="26">
        <v>46874</v>
      </c>
      <c r="AF6" s="26">
        <v>46905</v>
      </c>
      <c r="AG6" s="26">
        <v>46935</v>
      </c>
      <c r="AH6" s="26">
        <v>46966</v>
      </c>
      <c r="AI6" s="26">
        <v>46997</v>
      </c>
      <c r="AJ6" s="26">
        <v>47027</v>
      </c>
      <c r="AK6" s="26">
        <v>47058</v>
      </c>
      <c r="AL6" s="26">
        <v>47088</v>
      </c>
      <c r="AN6" s="17" t="s">
        <v>132</v>
      </c>
      <c r="AO6" s="17" t="s">
        <v>133</v>
      </c>
      <c r="AP6" s="17" t="s">
        <v>134</v>
      </c>
      <c r="AQ6" s="17" t="s">
        <v>135</v>
      </c>
      <c r="AR6" s="17" t="s">
        <v>136</v>
      </c>
      <c r="AS6" s="17" t="s">
        <v>137</v>
      </c>
      <c r="AT6" s="17" t="s">
        <v>138</v>
      </c>
      <c r="AU6" s="17" t="s">
        <v>139</v>
      </c>
      <c r="AV6" s="17" t="s">
        <v>140</v>
      </c>
      <c r="AW6" s="17" t="s">
        <v>141</v>
      </c>
      <c r="AX6" s="17" t="s">
        <v>142</v>
      </c>
      <c r="AY6" s="17" t="s">
        <v>143</v>
      </c>
      <c r="BA6" s="17" t="s">
        <v>144</v>
      </c>
      <c r="BB6" s="17" t="s">
        <v>145</v>
      </c>
      <c r="BC6" s="17" t="s">
        <v>146</v>
      </c>
    </row>
    <row r="7" spans="1:55" ht="16" customHeight="1">
      <c r="A7" s="14" t="s">
        <v>200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201</v>
      </c>
      <c r="B8" s="16"/>
      <c r="C8" s="20">
        <f>'Revenue'!C27*'Assumptions'!$F$27</f>
        <v>0</v>
      </c>
      <c r="D8" s="20">
        <f>'Revenue'!D27*'Assumptions'!$F$27</f>
        <v>0</v>
      </c>
      <c r="E8" s="20">
        <f>'Revenue'!E27*'Assumptions'!$F$27</f>
        <v>0</v>
      </c>
      <c r="F8" s="20">
        <f>'Revenue'!F27*'Assumptions'!$F$27</f>
        <v>0</v>
      </c>
      <c r="G8" s="20">
        <f>'Revenue'!G27*'Assumptions'!$F$27</f>
        <v>0</v>
      </c>
      <c r="H8" s="20">
        <f>'Revenue'!H27*'Assumptions'!$F$27</f>
        <v>0</v>
      </c>
      <c r="I8" s="20">
        <f>'Revenue'!I27*'Assumptions'!$F$27</f>
        <v>0</v>
      </c>
      <c r="J8" s="20">
        <f>'Revenue'!J27*'Assumptions'!$F$27</f>
        <v>0</v>
      </c>
      <c r="K8" s="20">
        <f>'Revenue'!K27*'Assumptions'!$F$27</f>
        <v>0</v>
      </c>
      <c r="L8" s="20">
        <f>'Revenue'!L27*'Assumptions'!$F$27</f>
        <v>0</v>
      </c>
      <c r="M8" s="20">
        <f>'Revenue'!M27*'Assumptions'!$F$27</f>
        <v>0</v>
      </c>
      <c r="N8" s="20">
        <f>'Revenue'!N27*'Assumptions'!$F$27</f>
        <v>0</v>
      </c>
      <c r="O8" s="20">
        <f>'Revenue'!O27*'Assumptions'!$F$27</f>
        <v>0</v>
      </c>
      <c r="P8" s="20">
        <f>'Revenue'!P27*'Assumptions'!$F$27</f>
        <v>0</v>
      </c>
      <c r="Q8" s="20">
        <f>'Revenue'!Q27*'Assumptions'!$F$27</f>
        <v>0</v>
      </c>
      <c r="R8" s="20">
        <f>'Revenue'!R27*'Assumptions'!$F$27</f>
        <v>0</v>
      </c>
      <c r="S8" s="20">
        <f>'Revenue'!S27*'Assumptions'!$F$27</f>
        <v>0</v>
      </c>
      <c r="T8" s="20">
        <f>'Revenue'!T27*'Assumptions'!$F$27</f>
        <v>0</v>
      </c>
      <c r="U8" s="20">
        <f>'Revenue'!U27*'Assumptions'!$F$27</f>
        <v>0</v>
      </c>
      <c r="V8" s="20">
        <f>'Revenue'!V27*'Assumptions'!$F$27</f>
        <v>0</v>
      </c>
      <c r="W8" s="20">
        <f>'Revenue'!W27*'Assumptions'!$F$27</f>
        <v>0</v>
      </c>
      <c r="X8" s="20">
        <f>'Revenue'!X27*'Assumptions'!$F$27</f>
        <v>0</v>
      </c>
      <c r="Y8" s="20">
        <f>'Revenue'!Y27*'Assumptions'!$F$27</f>
        <v>0</v>
      </c>
      <c r="Z8" s="20">
        <f>'Revenue'!Z27*'Assumptions'!$F$27</f>
        <v>0</v>
      </c>
      <c r="AA8" s="20">
        <f>'Revenue'!AA27*'Assumptions'!$F$27</f>
        <v>0</v>
      </c>
      <c r="AB8" s="20">
        <f>'Revenue'!AB27*'Assumptions'!$F$27</f>
        <v>0</v>
      </c>
      <c r="AC8" s="20">
        <f>'Revenue'!AC27*'Assumptions'!$F$27</f>
        <v>0</v>
      </c>
      <c r="AD8" s="20">
        <f>'Revenue'!AD27*'Assumptions'!$F$27</f>
        <v>0</v>
      </c>
      <c r="AE8" s="20">
        <f>'Revenue'!AE27*'Assumptions'!$F$27</f>
        <v>0</v>
      </c>
      <c r="AF8" s="20">
        <f>'Revenue'!AF27*'Assumptions'!$F$27</f>
        <v>0</v>
      </c>
      <c r="AG8" s="20">
        <f>'Revenue'!AG27*'Assumptions'!$F$27</f>
        <v>0</v>
      </c>
      <c r="AH8" s="20">
        <f>'Revenue'!AH27*'Assumptions'!$F$27</f>
        <v>0</v>
      </c>
      <c r="AI8" s="20">
        <f>'Revenue'!AI27*'Assumptions'!$F$27</f>
        <v>0</v>
      </c>
      <c r="AJ8" s="20">
        <f>'Revenue'!AJ27*'Assumptions'!$F$27</f>
        <v>0</v>
      </c>
      <c r="AK8" s="20">
        <f>'Revenue'!AK27*'Assumptions'!$F$27</f>
        <v>0</v>
      </c>
      <c r="AL8" s="20">
        <f>'Revenue'!AL27*'Assumptions'!$F$27</f>
        <v>0</v>
      </c>
      <c r="AN8" s="20">
        <f>SUM(C8:E8)</f>
        <v>0</v>
      </c>
      <c r="AO8" s="20">
        <f>SUM(F8:H8)</f>
        <v>0</v>
      </c>
      <c r="AP8" s="20">
        <f>SUM(I8:K8)</f>
        <v>0</v>
      </c>
      <c r="AQ8" s="20">
        <f>SUM(L8:N8)</f>
        <v>0</v>
      </c>
      <c r="AR8" s="20">
        <f>SUM(O8:Q8)</f>
        <v>0</v>
      </c>
      <c r="AS8" s="20">
        <f>SUM(R8:T8)</f>
        <v>0</v>
      </c>
      <c r="AT8" s="20">
        <f>SUM(U8:W8)</f>
        <v>0</v>
      </c>
      <c r="AU8" s="20">
        <f>SUM(X8:Z8)</f>
        <v>0</v>
      </c>
      <c r="AV8" s="20">
        <f>SUM(AA8:AC8)</f>
        <v>0</v>
      </c>
      <c r="AW8" s="20">
        <f>SUM(AD8:AF8)</f>
        <v>0</v>
      </c>
      <c r="AX8" s="20">
        <f>SUM(AG8:AI8)</f>
        <v>0</v>
      </c>
      <c r="AY8" s="20">
        <f>SUM(AJ8:AL8)</f>
        <v>0</v>
      </c>
      <c r="BA8" s="20">
        <f>SUM(C8:N8)</f>
        <v>0</v>
      </c>
      <c r="BB8" s="20">
        <f>SUM(O8:Z8)</f>
        <v>0</v>
      </c>
      <c r="BC8" s="20">
        <f>SUM(AA8:AL8)</f>
        <v>0</v>
      </c>
    </row>
    <row r="9" spans="1:55">
      <c r="A9" s="18" t="s">
        <v>202</v>
      </c>
      <c r="B9" s="16"/>
      <c r="C9" s="20">
        <f>'Revenue'!C27*'Assumptions'!$F$28</f>
        <v>0</v>
      </c>
      <c r="D9" s="20">
        <f>'Revenue'!D27*'Assumptions'!$F$28</f>
        <v>0</v>
      </c>
      <c r="E9" s="20">
        <f>'Revenue'!E27*'Assumptions'!$F$28</f>
        <v>0</v>
      </c>
      <c r="F9" s="20">
        <f>'Revenue'!F27*'Assumptions'!$F$28</f>
        <v>0</v>
      </c>
      <c r="G9" s="20">
        <f>'Revenue'!G27*'Assumptions'!$F$28</f>
        <v>0</v>
      </c>
      <c r="H9" s="20">
        <f>'Revenue'!H27*'Assumptions'!$F$28</f>
        <v>0</v>
      </c>
      <c r="I9" s="20">
        <f>'Revenue'!I27*'Assumptions'!$F$28</f>
        <v>0</v>
      </c>
      <c r="J9" s="20">
        <f>'Revenue'!J27*'Assumptions'!$F$28</f>
        <v>0</v>
      </c>
      <c r="K9" s="20">
        <f>'Revenue'!K27*'Assumptions'!$F$28</f>
        <v>0</v>
      </c>
      <c r="L9" s="20">
        <f>'Revenue'!L27*'Assumptions'!$F$28</f>
        <v>0</v>
      </c>
      <c r="M9" s="20">
        <f>'Revenue'!M27*'Assumptions'!$F$28</f>
        <v>0</v>
      </c>
      <c r="N9" s="20">
        <f>'Revenue'!N27*'Assumptions'!$F$28</f>
        <v>0</v>
      </c>
      <c r="O9" s="20">
        <f>'Revenue'!O27*'Assumptions'!$F$28</f>
        <v>0</v>
      </c>
      <c r="P9" s="20">
        <f>'Revenue'!P27*'Assumptions'!$F$28</f>
        <v>0</v>
      </c>
      <c r="Q9" s="20">
        <f>'Revenue'!Q27*'Assumptions'!$F$28</f>
        <v>0</v>
      </c>
      <c r="R9" s="20">
        <f>'Revenue'!R27*'Assumptions'!$F$28</f>
        <v>0</v>
      </c>
      <c r="S9" s="20">
        <f>'Revenue'!S27*'Assumptions'!$F$28</f>
        <v>0</v>
      </c>
      <c r="T9" s="20">
        <f>'Revenue'!T27*'Assumptions'!$F$28</f>
        <v>0</v>
      </c>
      <c r="U9" s="20">
        <f>'Revenue'!U27*'Assumptions'!$F$28</f>
        <v>0</v>
      </c>
      <c r="V9" s="20">
        <f>'Revenue'!V27*'Assumptions'!$F$28</f>
        <v>0</v>
      </c>
      <c r="W9" s="20">
        <f>'Revenue'!W27*'Assumptions'!$F$28</f>
        <v>0</v>
      </c>
      <c r="X9" s="20">
        <f>'Revenue'!X27*'Assumptions'!$F$28</f>
        <v>0</v>
      </c>
      <c r="Y9" s="20">
        <f>'Revenue'!Y27*'Assumptions'!$F$28</f>
        <v>0</v>
      </c>
      <c r="Z9" s="20">
        <f>'Revenue'!Z27*'Assumptions'!$F$28</f>
        <v>0</v>
      </c>
      <c r="AA9" s="20">
        <f>'Revenue'!AA27*'Assumptions'!$F$28</f>
        <v>0</v>
      </c>
      <c r="AB9" s="20">
        <f>'Revenue'!AB27*'Assumptions'!$F$28</f>
        <v>0</v>
      </c>
      <c r="AC9" s="20">
        <f>'Revenue'!AC27*'Assumptions'!$F$28</f>
        <v>0</v>
      </c>
      <c r="AD9" s="20">
        <f>'Revenue'!AD27*'Assumptions'!$F$28</f>
        <v>0</v>
      </c>
      <c r="AE9" s="20">
        <f>'Revenue'!AE27*'Assumptions'!$F$28</f>
        <v>0</v>
      </c>
      <c r="AF9" s="20">
        <f>'Revenue'!AF27*'Assumptions'!$F$28</f>
        <v>0</v>
      </c>
      <c r="AG9" s="20">
        <f>'Revenue'!AG27*'Assumptions'!$F$28</f>
        <v>0</v>
      </c>
      <c r="AH9" s="20">
        <f>'Revenue'!AH27*'Assumptions'!$F$28</f>
        <v>0</v>
      </c>
      <c r="AI9" s="20">
        <f>'Revenue'!AI27*'Assumptions'!$F$28</f>
        <v>0</v>
      </c>
      <c r="AJ9" s="20">
        <f>'Revenue'!AJ27*'Assumptions'!$F$28</f>
        <v>0</v>
      </c>
      <c r="AK9" s="20">
        <f>'Revenue'!AK27*'Assumptions'!$F$28</f>
        <v>0</v>
      </c>
      <c r="AL9" s="20">
        <f>'Revenue'!AL27*'Assumptions'!$F$28</f>
        <v>0</v>
      </c>
      <c r="AN9" s="20">
        <f>SUM(C9:E9)</f>
        <v>0</v>
      </c>
      <c r="AO9" s="20">
        <f>SUM(F9:H9)</f>
        <v>0</v>
      </c>
      <c r="AP9" s="20">
        <f>SUM(I9:K9)</f>
        <v>0</v>
      </c>
      <c r="AQ9" s="20">
        <f>SUM(L9:N9)</f>
        <v>0</v>
      </c>
      <c r="AR9" s="20">
        <f>SUM(O9:Q9)</f>
        <v>0</v>
      </c>
      <c r="AS9" s="20">
        <f>SUM(R9:T9)</f>
        <v>0</v>
      </c>
      <c r="AT9" s="20">
        <f>SUM(U9:W9)</f>
        <v>0</v>
      </c>
      <c r="AU9" s="20">
        <f>SUM(X9:Z9)</f>
        <v>0</v>
      </c>
      <c r="AV9" s="20">
        <f>SUM(AA9:AC9)</f>
        <v>0</v>
      </c>
      <c r="AW9" s="20">
        <f>SUM(AD9:AF9)</f>
        <v>0</v>
      </c>
      <c r="AX9" s="20">
        <f>SUM(AG9:AI9)</f>
        <v>0</v>
      </c>
      <c r="AY9" s="20">
        <f>SUM(AJ9:AL9)</f>
        <v>0</v>
      </c>
      <c r="BA9" s="20">
        <f>SUM(C9:N9)</f>
        <v>0</v>
      </c>
      <c r="BB9" s="20">
        <f>SUM(O9:Z9)</f>
        <v>0</v>
      </c>
      <c r="BC9" s="20">
        <f>SUM(AA9:AL9)</f>
        <v>0</v>
      </c>
    </row>
    <row r="10" spans="1:55">
      <c r="A10" s="18" t="s">
        <v>203</v>
      </c>
      <c r="B10" s="16"/>
      <c r="C10" s="20">
        <f>'Revenue'!C27*'Assumptions'!$F$29</f>
        <v>0</v>
      </c>
      <c r="D10" s="20">
        <f>'Revenue'!D27*'Assumptions'!$F$29</f>
        <v>0</v>
      </c>
      <c r="E10" s="20">
        <f>'Revenue'!E27*'Assumptions'!$F$29</f>
        <v>0</v>
      </c>
      <c r="F10" s="20">
        <f>'Revenue'!F27*'Assumptions'!$F$29</f>
        <v>0</v>
      </c>
      <c r="G10" s="20">
        <f>'Revenue'!G27*'Assumptions'!$F$29</f>
        <v>0</v>
      </c>
      <c r="H10" s="20">
        <f>'Revenue'!H27*'Assumptions'!$F$29</f>
        <v>0</v>
      </c>
      <c r="I10" s="20">
        <f>'Revenue'!I27*'Assumptions'!$F$29</f>
        <v>0</v>
      </c>
      <c r="J10" s="20">
        <f>'Revenue'!J27*'Assumptions'!$F$29</f>
        <v>0</v>
      </c>
      <c r="K10" s="20">
        <f>'Revenue'!K27*'Assumptions'!$F$29</f>
        <v>0</v>
      </c>
      <c r="L10" s="20">
        <f>'Revenue'!L27*'Assumptions'!$F$29</f>
        <v>0</v>
      </c>
      <c r="M10" s="20">
        <f>'Revenue'!M27*'Assumptions'!$F$29</f>
        <v>0</v>
      </c>
      <c r="N10" s="20">
        <f>'Revenue'!N27*'Assumptions'!$F$29</f>
        <v>0</v>
      </c>
      <c r="O10" s="20">
        <f>'Revenue'!O27*'Assumptions'!$F$29</f>
        <v>0</v>
      </c>
      <c r="P10" s="20">
        <f>'Revenue'!P27*'Assumptions'!$F$29</f>
        <v>0</v>
      </c>
      <c r="Q10" s="20">
        <f>'Revenue'!Q27*'Assumptions'!$F$29</f>
        <v>0</v>
      </c>
      <c r="R10" s="20">
        <f>'Revenue'!R27*'Assumptions'!$F$29</f>
        <v>0</v>
      </c>
      <c r="S10" s="20">
        <f>'Revenue'!S27*'Assumptions'!$F$29</f>
        <v>0</v>
      </c>
      <c r="T10" s="20">
        <f>'Revenue'!T27*'Assumptions'!$F$29</f>
        <v>0</v>
      </c>
      <c r="U10" s="20">
        <f>'Revenue'!U27*'Assumptions'!$F$29</f>
        <v>0</v>
      </c>
      <c r="V10" s="20">
        <f>'Revenue'!V27*'Assumptions'!$F$29</f>
        <v>0</v>
      </c>
      <c r="W10" s="20">
        <f>'Revenue'!W27*'Assumptions'!$F$29</f>
        <v>0</v>
      </c>
      <c r="X10" s="20">
        <f>'Revenue'!X27*'Assumptions'!$F$29</f>
        <v>0</v>
      </c>
      <c r="Y10" s="20">
        <f>'Revenue'!Y27*'Assumptions'!$F$29</f>
        <v>0</v>
      </c>
      <c r="Z10" s="20">
        <f>'Revenue'!Z27*'Assumptions'!$F$29</f>
        <v>0</v>
      </c>
      <c r="AA10" s="20">
        <f>'Revenue'!AA27*'Assumptions'!$F$29</f>
        <v>0</v>
      </c>
      <c r="AB10" s="20">
        <f>'Revenue'!AB27*'Assumptions'!$F$29</f>
        <v>0</v>
      </c>
      <c r="AC10" s="20">
        <f>'Revenue'!AC27*'Assumptions'!$F$29</f>
        <v>0</v>
      </c>
      <c r="AD10" s="20">
        <f>'Revenue'!AD27*'Assumptions'!$F$29</f>
        <v>0</v>
      </c>
      <c r="AE10" s="20">
        <f>'Revenue'!AE27*'Assumptions'!$F$29</f>
        <v>0</v>
      </c>
      <c r="AF10" s="20">
        <f>'Revenue'!AF27*'Assumptions'!$F$29</f>
        <v>0</v>
      </c>
      <c r="AG10" s="20">
        <f>'Revenue'!AG27*'Assumptions'!$F$29</f>
        <v>0</v>
      </c>
      <c r="AH10" s="20">
        <f>'Revenue'!AH27*'Assumptions'!$F$29</f>
        <v>0</v>
      </c>
      <c r="AI10" s="20">
        <f>'Revenue'!AI27*'Assumptions'!$F$29</f>
        <v>0</v>
      </c>
      <c r="AJ10" s="20">
        <f>'Revenue'!AJ27*'Assumptions'!$F$29</f>
        <v>0</v>
      </c>
      <c r="AK10" s="20">
        <f>'Revenue'!AK27*'Assumptions'!$F$29</f>
        <v>0</v>
      </c>
      <c r="AL10" s="20">
        <f>'Revenue'!AL27*'Assumptions'!$F$29</f>
        <v>0</v>
      </c>
      <c r="AN10" s="20">
        <f>SUM(C10:E10)</f>
        <v>0</v>
      </c>
      <c r="AO10" s="20">
        <f>SUM(F10:H10)</f>
        <v>0</v>
      </c>
      <c r="AP10" s="20">
        <f>SUM(I10:K10)</f>
        <v>0</v>
      </c>
      <c r="AQ10" s="20">
        <f>SUM(L10:N10)</f>
        <v>0</v>
      </c>
      <c r="AR10" s="20">
        <f>SUM(O10:Q10)</f>
        <v>0</v>
      </c>
      <c r="AS10" s="20">
        <f>SUM(R10:T10)</f>
        <v>0</v>
      </c>
      <c r="AT10" s="20">
        <f>SUM(U10:W10)</f>
        <v>0</v>
      </c>
      <c r="AU10" s="20">
        <f>SUM(X10:Z10)</f>
        <v>0</v>
      </c>
      <c r="AV10" s="20">
        <f>SUM(AA10:AC10)</f>
        <v>0</v>
      </c>
      <c r="AW10" s="20">
        <f>SUM(AD10:AF10)</f>
        <v>0</v>
      </c>
      <c r="AX10" s="20">
        <f>SUM(AG10:AI10)</f>
        <v>0</v>
      </c>
      <c r="AY10" s="20">
        <f>SUM(AJ10:AL10)</f>
        <v>0</v>
      </c>
      <c r="BA10" s="20">
        <f>SUM(C10:N10)</f>
        <v>0</v>
      </c>
      <c r="BB10" s="20">
        <f>SUM(O10:Z10)</f>
        <v>0</v>
      </c>
      <c r="BC10" s="20">
        <f>SUM(AA10:AL10)</f>
        <v>0</v>
      </c>
    </row>
    <row r="11" spans="1:55">
      <c r="A11" s="18" t="s">
        <v>204</v>
      </c>
      <c r="B11" s="16"/>
      <c r="C11" s="20">
        <f>'Headcount'!$C$23</f>
        <v>0</v>
      </c>
      <c r="D11" s="20">
        <f>'Headcount'!$D$23</f>
        <v>0</v>
      </c>
      <c r="E11" s="20">
        <f>'Headcount'!$E$23</f>
        <v>0</v>
      </c>
      <c r="F11" s="20">
        <f>'Headcount'!$F$23</f>
        <v>0</v>
      </c>
      <c r="G11" s="20">
        <f>'Headcount'!$G$23</f>
        <v>0</v>
      </c>
      <c r="H11" s="20">
        <f>'Headcount'!$H$23</f>
        <v>0</v>
      </c>
      <c r="I11" s="20">
        <f>'Headcount'!$I$23</f>
        <v>0</v>
      </c>
      <c r="J11" s="20">
        <f>'Headcount'!$J$23</f>
        <v>0</v>
      </c>
      <c r="K11" s="20">
        <f>'Headcount'!$K$23</f>
        <v>0</v>
      </c>
      <c r="L11" s="20">
        <f>'Headcount'!$L$23</f>
        <v>0</v>
      </c>
      <c r="M11" s="20">
        <f>'Headcount'!$M$23</f>
        <v>0</v>
      </c>
      <c r="N11" s="20">
        <f>'Headcount'!$N$23</f>
        <v>0</v>
      </c>
      <c r="O11" s="20">
        <f>'Headcount'!$O$23</f>
        <v>0</v>
      </c>
      <c r="P11" s="20">
        <f>'Headcount'!$P$23</f>
        <v>0</v>
      </c>
      <c r="Q11" s="20">
        <f>'Headcount'!$Q$23</f>
        <v>0</v>
      </c>
      <c r="R11" s="20">
        <f>'Headcount'!$R$23</f>
        <v>0</v>
      </c>
      <c r="S11" s="20">
        <f>'Headcount'!$S$23</f>
        <v>0</v>
      </c>
      <c r="T11" s="20">
        <f>'Headcount'!$T$23</f>
        <v>0</v>
      </c>
      <c r="U11" s="20">
        <f>'Headcount'!$U$23</f>
        <v>0</v>
      </c>
      <c r="V11" s="20">
        <f>'Headcount'!$V$23</f>
        <v>0</v>
      </c>
      <c r="W11" s="20">
        <f>'Headcount'!$W$23</f>
        <v>0</v>
      </c>
      <c r="X11" s="20">
        <f>'Headcount'!$X$23</f>
        <v>0</v>
      </c>
      <c r="Y11" s="20">
        <f>'Headcount'!$Y$23</f>
        <v>0</v>
      </c>
      <c r="Z11" s="20">
        <f>'Headcount'!$Z$23</f>
        <v>0</v>
      </c>
      <c r="AA11" s="20">
        <f>'Headcount'!$AA$23</f>
        <v>0</v>
      </c>
      <c r="AB11" s="20">
        <f>'Headcount'!$AB$23</f>
        <v>0</v>
      </c>
      <c r="AC11" s="20">
        <f>'Headcount'!$AC$23</f>
        <v>0</v>
      </c>
      <c r="AD11" s="20">
        <f>'Headcount'!$AD$23</f>
        <v>0</v>
      </c>
      <c r="AE11" s="20">
        <f>'Headcount'!$AE$23</f>
        <v>0</v>
      </c>
      <c r="AF11" s="20">
        <f>'Headcount'!$AF$23</f>
        <v>0</v>
      </c>
      <c r="AG11" s="20">
        <f>'Headcount'!$AG$23</f>
        <v>0</v>
      </c>
      <c r="AH11" s="20">
        <f>'Headcount'!$AH$23</f>
        <v>0</v>
      </c>
      <c r="AI11" s="20">
        <f>'Headcount'!$AI$23</f>
        <v>0</v>
      </c>
      <c r="AJ11" s="20">
        <f>'Headcount'!$AJ$23</f>
        <v>0</v>
      </c>
      <c r="AK11" s="20">
        <f>'Headcount'!$AK$23</f>
        <v>0</v>
      </c>
      <c r="AL11" s="20">
        <f>'Headcount'!$AL$23</f>
        <v>0</v>
      </c>
      <c r="AN11" s="20">
        <f>SUM(C11:E11)</f>
        <v>0</v>
      </c>
      <c r="AO11" s="20">
        <f>SUM(F11:H11)</f>
        <v>0</v>
      </c>
      <c r="AP11" s="20">
        <f>SUM(I11:K11)</f>
        <v>0</v>
      </c>
      <c r="AQ11" s="20">
        <f>SUM(L11:N11)</f>
        <v>0</v>
      </c>
      <c r="AR11" s="20">
        <f>SUM(O11:Q11)</f>
        <v>0</v>
      </c>
      <c r="AS11" s="20">
        <f>SUM(R11:T11)</f>
        <v>0</v>
      </c>
      <c r="AT11" s="20">
        <f>SUM(U11:W11)</f>
        <v>0</v>
      </c>
      <c r="AU11" s="20">
        <f>SUM(X11:Z11)</f>
        <v>0</v>
      </c>
      <c r="AV11" s="20">
        <f>SUM(AA11:AC11)</f>
        <v>0</v>
      </c>
      <c r="AW11" s="20">
        <f>SUM(AD11:AF11)</f>
        <v>0</v>
      </c>
      <c r="AX11" s="20">
        <f>SUM(AG11:AI11)</f>
        <v>0</v>
      </c>
      <c r="AY11" s="20">
        <f>SUM(AJ11:AL11)</f>
        <v>0</v>
      </c>
      <c r="BA11" s="20">
        <f>SUM(C11:N11)</f>
        <v>0</v>
      </c>
      <c r="BB11" s="20">
        <f>SUM(O11:Z11)</f>
        <v>0</v>
      </c>
      <c r="BC11" s="20">
        <f>SUM(AA11:AL11)</f>
        <v>0</v>
      </c>
    </row>
    <row r="12" spans="1:55">
      <c r="A12" s="31" t="s">
        <v>205</v>
      </c>
      <c r="B12" s="16"/>
      <c r="C12" s="32">
        <f>C8+C9+C10+C11</f>
        <v>0</v>
      </c>
      <c r="D12" s="32">
        <f>D8+D9+D10+D11</f>
        <v>0</v>
      </c>
      <c r="E12" s="32">
        <f>E8+E9+E10+E11</f>
        <v>0</v>
      </c>
      <c r="F12" s="32">
        <f>F8+F9+F10+F11</f>
        <v>0</v>
      </c>
      <c r="G12" s="32">
        <f>G8+G9+G10+G11</f>
        <v>0</v>
      </c>
      <c r="H12" s="32">
        <f>H8+H9+H10+H11</f>
        <v>0</v>
      </c>
      <c r="I12" s="32">
        <f>I8+I9+I10+I11</f>
        <v>0</v>
      </c>
      <c r="J12" s="32">
        <f>J8+J9+J10+J11</f>
        <v>0</v>
      </c>
      <c r="K12" s="32">
        <f>K8+K9+K10+K11</f>
        <v>0</v>
      </c>
      <c r="L12" s="32">
        <f>L8+L9+L10+L11</f>
        <v>0</v>
      </c>
      <c r="M12" s="32">
        <f>M8+M9+M10+M11</f>
        <v>0</v>
      </c>
      <c r="N12" s="32">
        <f>N8+N9+N10+N11</f>
        <v>0</v>
      </c>
      <c r="O12" s="32">
        <f>O8+O9+O10+O11</f>
        <v>0</v>
      </c>
      <c r="P12" s="32">
        <f>P8+P9+P10+P11</f>
        <v>0</v>
      </c>
      <c r="Q12" s="32">
        <f>Q8+Q9+Q10+Q11</f>
        <v>0</v>
      </c>
      <c r="R12" s="32">
        <f>R8+R9+R10+R11</f>
        <v>0</v>
      </c>
      <c r="S12" s="32">
        <f>S8+S9+S10+S11</f>
        <v>0</v>
      </c>
      <c r="T12" s="32">
        <f>T8+T9+T10+T11</f>
        <v>0</v>
      </c>
      <c r="U12" s="32">
        <f>U8+U9+U10+U11</f>
        <v>0</v>
      </c>
      <c r="V12" s="32">
        <f>V8+V9+V10+V11</f>
        <v>0</v>
      </c>
      <c r="W12" s="32">
        <f>W8+W9+W10+W11</f>
        <v>0</v>
      </c>
      <c r="X12" s="32">
        <f>X8+X9+X10+X11</f>
        <v>0</v>
      </c>
      <c r="Y12" s="32">
        <f>Y8+Y9+Y10+Y11</f>
        <v>0</v>
      </c>
      <c r="Z12" s="32">
        <f>Z8+Z9+Z10+Z11</f>
        <v>0</v>
      </c>
      <c r="AA12" s="32">
        <f>AA8+AA9+AA10+AA11</f>
        <v>0</v>
      </c>
      <c r="AB12" s="32">
        <f>AB8+AB9+AB10+AB11</f>
        <v>0</v>
      </c>
      <c r="AC12" s="32">
        <f>AC8+AC9+AC10+AC11</f>
        <v>0</v>
      </c>
      <c r="AD12" s="32">
        <f>AD8+AD9+AD10+AD11</f>
        <v>0</v>
      </c>
      <c r="AE12" s="32">
        <f>AE8+AE9+AE10+AE11</f>
        <v>0</v>
      </c>
      <c r="AF12" s="32">
        <f>AF8+AF9+AF10+AF11</f>
        <v>0</v>
      </c>
      <c r="AG12" s="32">
        <f>AG8+AG9+AG10+AG11</f>
        <v>0</v>
      </c>
      <c r="AH12" s="32">
        <f>AH8+AH9+AH10+AH11</f>
        <v>0</v>
      </c>
      <c r="AI12" s="32">
        <f>AI8+AI9+AI10+AI11</f>
        <v>0</v>
      </c>
      <c r="AJ12" s="32">
        <f>AJ8+AJ9+AJ10+AJ11</f>
        <v>0</v>
      </c>
      <c r="AK12" s="32">
        <f>AK8+AK9+AK10+AK11</f>
        <v>0</v>
      </c>
      <c r="AL12" s="32">
        <f>AL8+AL9+AL10+AL11</f>
        <v>0</v>
      </c>
      <c r="AN12" s="32">
        <f>SUM(C12:E12)</f>
        <v>0</v>
      </c>
      <c r="AO12" s="32">
        <f>SUM(F12:H12)</f>
        <v>0</v>
      </c>
      <c r="AP12" s="32">
        <f>SUM(I12:K12)</f>
        <v>0</v>
      </c>
      <c r="AQ12" s="32">
        <f>SUM(L12:N12)</f>
        <v>0</v>
      </c>
      <c r="AR12" s="32">
        <f>SUM(O12:Q12)</f>
        <v>0</v>
      </c>
      <c r="AS12" s="32">
        <f>SUM(R12:T12)</f>
        <v>0</v>
      </c>
      <c r="AT12" s="32">
        <f>SUM(U12:W12)</f>
        <v>0</v>
      </c>
      <c r="AU12" s="32">
        <f>SUM(X12:Z12)</f>
        <v>0</v>
      </c>
      <c r="AV12" s="32">
        <f>SUM(AA12:AC12)</f>
        <v>0</v>
      </c>
      <c r="AW12" s="32">
        <f>SUM(AD12:AF12)</f>
        <v>0</v>
      </c>
      <c r="AX12" s="32">
        <f>SUM(AG12:AI12)</f>
        <v>0</v>
      </c>
      <c r="AY12" s="32">
        <f>SUM(AJ12:AL12)</f>
        <v>0</v>
      </c>
      <c r="BA12" s="32">
        <f>SUM(C12:N12)</f>
        <v>0</v>
      </c>
      <c r="BB12" s="32">
        <f>SUM(O12:Z12)</f>
        <v>0</v>
      </c>
      <c r="BC12" s="32">
        <f>SUM(AA12:AL12)</f>
        <v>0</v>
      </c>
    </row>
    <row r="13" spans="1:55" ht="5" customHeight="1"/>
    <row r="14" spans="1:55" ht="16" customHeight="1">
      <c r="A14" s="14" t="s">
        <v>206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</row>
    <row r="15" spans="1:55">
      <c r="A15" s="28" t="s">
        <v>207</v>
      </c>
      <c r="B15" s="16"/>
      <c r="C15" s="29">
        <f>'Revenue'!C27-C12</f>
        <v>0</v>
      </c>
      <c r="D15" s="29">
        <f>'Revenue'!D27-D12</f>
        <v>0</v>
      </c>
      <c r="E15" s="29">
        <f>'Revenue'!E27-E12</f>
        <v>0</v>
      </c>
      <c r="F15" s="29">
        <f>'Revenue'!F27-F12</f>
        <v>0</v>
      </c>
      <c r="G15" s="29">
        <f>'Revenue'!G27-G12</f>
        <v>0</v>
      </c>
      <c r="H15" s="29">
        <f>'Revenue'!H27-H12</f>
        <v>0</v>
      </c>
      <c r="I15" s="29">
        <f>'Revenue'!I27-I12</f>
        <v>0</v>
      </c>
      <c r="J15" s="29">
        <f>'Revenue'!J27-J12</f>
        <v>0</v>
      </c>
      <c r="K15" s="29">
        <f>'Revenue'!K27-K12</f>
        <v>0</v>
      </c>
      <c r="L15" s="29">
        <f>'Revenue'!L27-L12</f>
        <v>0</v>
      </c>
      <c r="M15" s="29">
        <f>'Revenue'!M27-M12</f>
        <v>0</v>
      </c>
      <c r="N15" s="29">
        <f>'Revenue'!N27-N12</f>
        <v>0</v>
      </c>
      <c r="O15" s="29">
        <f>'Revenue'!O27-O12</f>
        <v>0</v>
      </c>
      <c r="P15" s="29">
        <f>'Revenue'!P27-P12</f>
        <v>0</v>
      </c>
      <c r="Q15" s="29">
        <f>'Revenue'!Q27-Q12</f>
        <v>0</v>
      </c>
      <c r="R15" s="29">
        <f>'Revenue'!R27-R12</f>
        <v>0</v>
      </c>
      <c r="S15" s="29">
        <f>'Revenue'!S27-S12</f>
        <v>0</v>
      </c>
      <c r="T15" s="29">
        <f>'Revenue'!T27-T12</f>
        <v>0</v>
      </c>
      <c r="U15" s="29">
        <f>'Revenue'!U27-U12</f>
        <v>0</v>
      </c>
      <c r="V15" s="29">
        <f>'Revenue'!V27-V12</f>
        <v>0</v>
      </c>
      <c r="W15" s="29">
        <f>'Revenue'!W27-W12</f>
        <v>0</v>
      </c>
      <c r="X15" s="29">
        <f>'Revenue'!X27-X12</f>
        <v>0</v>
      </c>
      <c r="Y15" s="29">
        <f>'Revenue'!Y27-Y12</f>
        <v>0</v>
      </c>
      <c r="Z15" s="29">
        <f>'Revenue'!Z27-Z12</f>
        <v>0</v>
      </c>
      <c r="AA15" s="29">
        <f>'Revenue'!AA27-AA12</f>
        <v>0</v>
      </c>
      <c r="AB15" s="29">
        <f>'Revenue'!AB27-AB12</f>
        <v>0</v>
      </c>
      <c r="AC15" s="29">
        <f>'Revenue'!AC27-AC12</f>
        <v>0</v>
      </c>
      <c r="AD15" s="29">
        <f>'Revenue'!AD27-AD12</f>
        <v>0</v>
      </c>
      <c r="AE15" s="29">
        <f>'Revenue'!AE27-AE12</f>
        <v>0</v>
      </c>
      <c r="AF15" s="29">
        <f>'Revenue'!AF27-AF12</f>
        <v>0</v>
      </c>
      <c r="AG15" s="29">
        <f>'Revenue'!AG27-AG12</f>
        <v>0</v>
      </c>
      <c r="AH15" s="29">
        <f>'Revenue'!AH27-AH12</f>
        <v>0</v>
      </c>
      <c r="AI15" s="29">
        <f>'Revenue'!AI27-AI12</f>
        <v>0</v>
      </c>
      <c r="AJ15" s="29">
        <f>'Revenue'!AJ27-AJ12</f>
        <v>0</v>
      </c>
      <c r="AK15" s="29">
        <f>'Revenue'!AK27-AK12</f>
        <v>0</v>
      </c>
      <c r="AL15" s="29">
        <f>'Revenue'!AL27-AL12</f>
        <v>0</v>
      </c>
      <c r="AN15" s="29">
        <f>SUM(C15:E15)</f>
        <v>0</v>
      </c>
      <c r="AO15" s="29">
        <f>SUM(F15:H15)</f>
        <v>0</v>
      </c>
      <c r="AP15" s="29">
        <f>SUM(I15:K15)</f>
        <v>0</v>
      </c>
      <c r="AQ15" s="29">
        <f>SUM(L15:N15)</f>
        <v>0</v>
      </c>
      <c r="AR15" s="29">
        <f>SUM(O15:Q15)</f>
        <v>0</v>
      </c>
      <c r="AS15" s="29">
        <f>SUM(R15:T15)</f>
        <v>0</v>
      </c>
      <c r="AT15" s="29">
        <f>SUM(U15:W15)</f>
        <v>0</v>
      </c>
      <c r="AU15" s="29">
        <f>SUM(X15:Z15)</f>
        <v>0</v>
      </c>
      <c r="AV15" s="29">
        <f>SUM(AA15:AC15)</f>
        <v>0</v>
      </c>
      <c r="AW15" s="29">
        <f>SUM(AD15:AF15)</f>
        <v>0</v>
      </c>
      <c r="AX15" s="29">
        <f>SUM(AG15:AI15)</f>
        <v>0</v>
      </c>
      <c r="AY15" s="29">
        <f>SUM(AJ15:AL15)</f>
        <v>0</v>
      </c>
      <c r="BA15" s="29">
        <f>SUM(C15:N15)</f>
        <v>0</v>
      </c>
      <c r="BB15" s="29">
        <f>SUM(O15:Z15)</f>
        <v>0</v>
      </c>
      <c r="BC15" s="29">
        <f>SUM(AA15:AL15)</f>
        <v>0</v>
      </c>
    </row>
    <row r="16" spans="1:55">
      <c r="A16" s="18" t="s">
        <v>208</v>
      </c>
      <c r="B16" s="16"/>
      <c r="C16" s="25">
        <f>IFERROR(C15/'Revenue'!C27,0)</f>
        <v>0</v>
      </c>
      <c r="D16" s="25">
        <f>IFERROR(D15/'Revenue'!D27,0)</f>
        <v>0</v>
      </c>
      <c r="E16" s="25">
        <f>IFERROR(E15/'Revenue'!E27,0)</f>
        <v>0</v>
      </c>
      <c r="F16" s="25">
        <f>IFERROR(F15/'Revenue'!F27,0)</f>
        <v>0</v>
      </c>
      <c r="G16" s="25">
        <f>IFERROR(G15/'Revenue'!G27,0)</f>
        <v>0</v>
      </c>
      <c r="H16" s="25">
        <f>IFERROR(H15/'Revenue'!H27,0)</f>
        <v>0</v>
      </c>
      <c r="I16" s="25">
        <f>IFERROR(I15/'Revenue'!I27,0)</f>
        <v>0</v>
      </c>
      <c r="J16" s="25">
        <f>IFERROR(J15/'Revenue'!J27,0)</f>
        <v>0</v>
      </c>
      <c r="K16" s="25">
        <f>IFERROR(K15/'Revenue'!K27,0)</f>
        <v>0</v>
      </c>
      <c r="L16" s="25">
        <f>IFERROR(L15/'Revenue'!L27,0)</f>
        <v>0</v>
      </c>
      <c r="M16" s="25">
        <f>IFERROR(M15/'Revenue'!M27,0)</f>
        <v>0</v>
      </c>
      <c r="N16" s="25">
        <f>IFERROR(N15/'Revenue'!N27,0)</f>
        <v>0</v>
      </c>
      <c r="O16" s="25">
        <f>IFERROR(O15/'Revenue'!O27,0)</f>
        <v>0</v>
      </c>
      <c r="P16" s="25">
        <f>IFERROR(P15/'Revenue'!P27,0)</f>
        <v>0</v>
      </c>
      <c r="Q16" s="25">
        <f>IFERROR(Q15/'Revenue'!Q27,0)</f>
        <v>0</v>
      </c>
      <c r="R16" s="25">
        <f>IFERROR(R15/'Revenue'!R27,0)</f>
        <v>0</v>
      </c>
      <c r="S16" s="25">
        <f>IFERROR(S15/'Revenue'!S27,0)</f>
        <v>0</v>
      </c>
      <c r="T16" s="25">
        <f>IFERROR(T15/'Revenue'!T27,0)</f>
        <v>0</v>
      </c>
      <c r="U16" s="25">
        <f>IFERROR(U15/'Revenue'!U27,0)</f>
        <v>0</v>
      </c>
      <c r="V16" s="25">
        <f>IFERROR(V15/'Revenue'!V27,0)</f>
        <v>0</v>
      </c>
      <c r="W16" s="25">
        <f>IFERROR(W15/'Revenue'!W27,0)</f>
        <v>0</v>
      </c>
      <c r="X16" s="25">
        <f>IFERROR(X15/'Revenue'!X27,0)</f>
        <v>0</v>
      </c>
      <c r="Y16" s="25">
        <f>IFERROR(Y15/'Revenue'!Y27,0)</f>
        <v>0</v>
      </c>
      <c r="Z16" s="25">
        <f>IFERROR(Z15/'Revenue'!Z27,0)</f>
        <v>0</v>
      </c>
      <c r="AA16" s="25">
        <f>IFERROR(AA15/'Revenue'!AA27,0)</f>
        <v>0</v>
      </c>
      <c r="AB16" s="25">
        <f>IFERROR(AB15/'Revenue'!AB27,0)</f>
        <v>0</v>
      </c>
      <c r="AC16" s="25">
        <f>IFERROR(AC15/'Revenue'!AC27,0)</f>
        <v>0</v>
      </c>
      <c r="AD16" s="25">
        <f>IFERROR(AD15/'Revenue'!AD27,0)</f>
        <v>0</v>
      </c>
      <c r="AE16" s="25">
        <f>IFERROR(AE15/'Revenue'!AE27,0)</f>
        <v>0</v>
      </c>
      <c r="AF16" s="25">
        <f>IFERROR(AF15/'Revenue'!AF27,0)</f>
        <v>0</v>
      </c>
      <c r="AG16" s="25">
        <f>IFERROR(AG15/'Revenue'!AG27,0)</f>
        <v>0</v>
      </c>
      <c r="AH16" s="25">
        <f>IFERROR(AH15/'Revenue'!AH27,0)</f>
        <v>0</v>
      </c>
      <c r="AI16" s="25">
        <f>IFERROR(AI15/'Revenue'!AI27,0)</f>
        <v>0</v>
      </c>
      <c r="AJ16" s="25">
        <f>IFERROR(AJ15/'Revenue'!AJ27,0)</f>
        <v>0</v>
      </c>
      <c r="AK16" s="25">
        <f>IFERROR(AK15/'Revenue'!AK27,0)</f>
        <v>0</v>
      </c>
      <c r="AL16" s="25">
        <f>IFERROR(AL15/'Revenue'!AL27,0)</f>
        <v>0</v>
      </c>
      <c r="AN16" s="25">
        <f>AVERAGE(C16:E16)</f>
        <v>0</v>
      </c>
      <c r="AO16" s="25">
        <f>AVERAGE(F16:H16)</f>
        <v>0</v>
      </c>
      <c r="AP16" s="25">
        <f>AVERAGE(I16:K16)</f>
        <v>0</v>
      </c>
      <c r="AQ16" s="25">
        <f>AVERAGE(L16:N16)</f>
        <v>0</v>
      </c>
      <c r="AR16" s="25">
        <f>AVERAGE(O16:Q16)</f>
        <v>0</v>
      </c>
      <c r="AS16" s="25">
        <f>AVERAGE(R16:T16)</f>
        <v>0</v>
      </c>
      <c r="AT16" s="25">
        <f>AVERAGE(U16:W16)</f>
        <v>0</v>
      </c>
      <c r="AU16" s="25">
        <f>AVERAGE(X16:Z16)</f>
        <v>0</v>
      </c>
      <c r="AV16" s="25">
        <f>AVERAGE(AA16:AC16)</f>
        <v>0</v>
      </c>
      <c r="AW16" s="25">
        <f>AVERAGE(AD16:AF16)</f>
        <v>0</v>
      </c>
      <c r="AX16" s="25">
        <f>AVERAGE(AG16:AI16)</f>
        <v>0</v>
      </c>
      <c r="AY16" s="25">
        <f>AVERAGE(AJ16:AL16)</f>
        <v>0</v>
      </c>
      <c r="BA16" s="25">
        <f>AVERAGE(C16:N16)</f>
        <v>0</v>
      </c>
      <c r="BB16" s="25">
        <f>AVERAGE(O16:Z16)</f>
        <v>0</v>
      </c>
      <c r="BC16" s="25">
        <f>AVERAGE(AA16:AL16)</f>
        <v>0</v>
      </c>
    </row>
  </sheetData>
  <mergeCells count="7">
    <mergeCell ref="A1:BC1"/>
    <mergeCell ref="A2:BC2"/>
    <mergeCell ref="C5:AL5"/>
    <mergeCell ref="AN5:AY5"/>
    <mergeCell ref="BA5:BC5"/>
    <mergeCell ref="A7:BC7"/>
    <mergeCell ref="A14:BC14"/>
  </mergeCells>
  <pageMargins left="0.7" right="0.7" top="0.75" bottom="0.75" header="0.3" footer="0.3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24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130</v>
      </c>
      <c r="B5" s="14" t="s">
        <v>131</v>
      </c>
      <c r="C5" s="14" t="s">
        <v>127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128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129</v>
      </c>
      <c r="BB5" s="14"/>
      <c r="BC5" s="14"/>
    </row>
    <row r="6" spans="1:55">
      <c r="A6" s="17"/>
      <c r="B6" s="17"/>
      <c r="C6" s="26">
        <v>46023</v>
      </c>
      <c r="D6" s="26">
        <v>46054</v>
      </c>
      <c r="E6" s="26">
        <v>46082</v>
      </c>
      <c r="F6" s="26">
        <v>46113</v>
      </c>
      <c r="G6" s="26">
        <v>46143</v>
      </c>
      <c r="H6" s="26">
        <v>46174</v>
      </c>
      <c r="I6" s="26">
        <v>46204</v>
      </c>
      <c r="J6" s="26">
        <v>46235</v>
      </c>
      <c r="K6" s="26">
        <v>46266</v>
      </c>
      <c r="L6" s="26">
        <v>46296</v>
      </c>
      <c r="M6" s="26">
        <v>46327</v>
      </c>
      <c r="N6" s="26">
        <v>46357</v>
      </c>
      <c r="O6" s="26">
        <v>46388</v>
      </c>
      <c r="P6" s="26">
        <v>46419</v>
      </c>
      <c r="Q6" s="26">
        <v>46447</v>
      </c>
      <c r="R6" s="26">
        <v>46478</v>
      </c>
      <c r="S6" s="26">
        <v>46508</v>
      </c>
      <c r="T6" s="26">
        <v>46539</v>
      </c>
      <c r="U6" s="26">
        <v>46569</v>
      </c>
      <c r="V6" s="26">
        <v>46600</v>
      </c>
      <c r="W6" s="26">
        <v>46631</v>
      </c>
      <c r="X6" s="26">
        <v>46661</v>
      </c>
      <c r="Y6" s="26">
        <v>46692</v>
      </c>
      <c r="Z6" s="26">
        <v>46722</v>
      </c>
      <c r="AA6" s="26">
        <v>46753</v>
      </c>
      <c r="AB6" s="26">
        <v>46784</v>
      </c>
      <c r="AC6" s="26">
        <v>46813</v>
      </c>
      <c r="AD6" s="26">
        <v>46844</v>
      </c>
      <c r="AE6" s="26">
        <v>46874</v>
      </c>
      <c r="AF6" s="26">
        <v>46905</v>
      </c>
      <c r="AG6" s="26">
        <v>46935</v>
      </c>
      <c r="AH6" s="26">
        <v>46966</v>
      </c>
      <c r="AI6" s="26">
        <v>46997</v>
      </c>
      <c r="AJ6" s="26">
        <v>47027</v>
      </c>
      <c r="AK6" s="26">
        <v>47058</v>
      </c>
      <c r="AL6" s="26">
        <v>47088</v>
      </c>
      <c r="AN6" s="17" t="s">
        <v>132</v>
      </c>
      <c r="AO6" s="17" t="s">
        <v>133</v>
      </c>
      <c r="AP6" s="17" t="s">
        <v>134</v>
      </c>
      <c r="AQ6" s="17" t="s">
        <v>135</v>
      </c>
      <c r="AR6" s="17" t="s">
        <v>136</v>
      </c>
      <c r="AS6" s="17" t="s">
        <v>137</v>
      </c>
      <c r="AT6" s="17" t="s">
        <v>138</v>
      </c>
      <c r="AU6" s="17" t="s">
        <v>139</v>
      </c>
      <c r="AV6" s="17" t="s">
        <v>140</v>
      </c>
      <c r="AW6" s="17" t="s">
        <v>141</v>
      </c>
      <c r="AX6" s="17" t="s">
        <v>142</v>
      </c>
      <c r="AY6" s="17" t="s">
        <v>143</v>
      </c>
      <c r="BA6" s="17" t="s">
        <v>144</v>
      </c>
      <c r="BB6" s="17" t="s">
        <v>145</v>
      </c>
      <c r="BC6" s="17" t="s">
        <v>146</v>
      </c>
    </row>
    <row r="7" spans="1:55" ht="16" customHeight="1">
      <c r="A7" s="14" t="s">
        <v>211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212</v>
      </c>
      <c r="B8" s="16" t="s">
        <v>213</v>
      </c>
      <c r="C8" s="20">
        <f>'Headcount'!$C$27</f>
        <v>0</v>
      </c>
      <c r="D8" s="20">
        <f>'Headcount'!$D$27</f>
        <v>0</v>
      </c>
      <c r="E8" s="20">
        <f>'Headcount'!$E$27</f>
        <v>0</v>
      </c>
      <c r="F8" s="20">
        <f>'Headcount'!$F$27</f>
        <v>0</v>
      </c>
      <c r="G8" s="20">
        <f>'Headcount'!$G$27</f>
        <v>0</v>
      </c>
      <c r="H8" s="20">
        <f>'Headcount'!$H$27</f>
        <v>0</v>
      </c>
      <c r="I8" s="20">
        <f>'Headcount'!$I$27</f>
        <v>0</v>
      </c>
      <c r="J8" s="20">
        <f>'Headcount'!$J$27</f>
        <v>0</v>
      </c>
      <c r="K8" s="20">
        <f>'Headcount'!$K$27</f>
        <v>0</v>
      </c>
      <c r="L8" s="20">
        <f>'Headcount'!$L$27</f>
        <v>0</v>
      </c>
      <c r="M8" s="20">
        <f>'Headcount'!$M$27</f>
        <v>0</v>
      </c>
      <c r="N8" s="20">
        <f>'Headcount'!$N$27</f>
        <v>0</v>
      </c>
      <c r="O8" s="20">
        <f>'Headcount'!$O$27</f>
        <v>0</v>
      </c>
      <c r="P8" s="20">
        <f>'Headcount'!$P$27</f>
        <v>0</v>
      </c>
      <c r="Q8" s="20">
        <f>'Headcount'!$Q$27</f>
        <v>0</v>
      </c>
      <c r="R8" s="20">
        <f>'Headcount'!$R$27</f>
        <v>0</v>
      </c>
      <c r="S8" s="20">
        <f>'Headcount'!$S$27</f>
        <v>0</v>
      </c>
      <c r="T8" s="20">
        <f>'Headcount'!$T$27</f>
        <v>0</v>
      </c>
      <c r="U8" s="20">
        <f>'Headcount'!$U$27</f>
        <v>0</v>
      </c>
      <c r="V8" s="20">
        <f>'Headcount'!$V$27</f>
        <v>0</v>
      </c>
      <c r="W8" s="20">
        <f>'Headcount'!$W$27</f>
        <v>0</v>
      </c>
      <c r="X8" s="20">
        <f>'Headcount'!$X$27</f>
        <v>0</v>
      </c>
      <c r="Y8" s="20">
        <f>'Headcount'!$Y$27</f>
        <v>0</v>
      </c>
      <c r="Z8" s="20">
        <f>'Headcount'!$Z$27</f>
        <v>0</v>
      </c>
      <c r="AA8" s="20">
        <f>'Headcount'!$AA$27</f>
        <v>0</v>
      </c>
      <c r="AB8" s="20">
        <f>'Headcount'!$AB$27</f>
        <v>0</v>
      </c>
      <c r="AC8" s="20">
        <f>'Headcount'!$AC$27</f>
        <v>0</v>
      </c>
      <c r="AD8" s="20">
        <f>'Headcount'!$AD$27</f>
        <v>0</v>
      </c>
      <c r="AE8" s="20">
        <f>'Headcount'!$AE$27</f>
        <v>0</v>
      </c>
      <c r="AF8" s="20">
        <f>'Headcount'!$AF$27</f>
        <v>0</v>
      </c>
      <c r="AG8" s="20">
        <f>'Headcount'!$AG$27</f>
        <v>0</v>
      </c>
      <c r="AH8" s="20">
        <f>'Headcount'!$AH$27</f>
        <v>0</v>
      </c>
      <c r="AI8" s="20">
        <f>'Headcount'!$AI$27</f>
        <v>0</v>
      </c>
      <c r="AJ8" s="20">
        <f>'Headcount'!$AJ$27</f>
        <v>0</v>
      </c>
      <c r="AK8" s="20">
        <f>'Headcount'!$AK$27</f>
        <v>0</v>
      </c>
      <c r="AL8" s="20">
        <f>'Headcount'!$AL$27</f>
        <v>0</v>
      </c>
      <c r="AN8" s="20">
        <f>SUM(C8:E8)</f>
        <v>0</v>
      </c>
      <c r="AO8" s="20">
        <f>SUM(F8:H8)</f>
        <v>0</v>
      </c>
      <c r="AP8" s="20">
        <f>SUM(I8:K8)</f>
        <v>0</v>
      </c>
      <c r="AQ8" s="20">
        <f>SUM(L8:N8)</f>
        <v>0</v>
      </c>
      <c r="AR8" s="20">
        <f>SUM(O8:Q8)</f>
        <v>0</v>
      </c>
      <c r="AS8" s="20">
        <f>SUM(R8:T8)</f>
        <v>0</v>
      </c>
      <c r="AT8" s="20">
        <f>SUM(U8:W8)</f>
        <v>0</v>
      </c>
      <c r="AU8" s="20">
        <f>SUM(X8:Z8)</f>
        <v>0</v>
      </c>
      <c r="AV8" s="20">
        <f>SUM(AA8:AC8)</f>
        <v>0</v>
      </c>
      <c r="AW8" s="20">
        <f>SUM(AD8:AF8)</f>
        <v>0</v>
      </c>
      <c r="AX8" s="20">
        <f>SUM(AG8:AI8)</f>
        <v>0</v>
      </c>
      <c r="AY8" s="20">
        <f>SUM(AJ8:AL8)</f>
        <v>0</v>
      </c>
      <c r="BA8" s="20">
        <f>SUM(C8:N8)</f>
        <v>0</v>
      </c>
      <c r="BB8" s="20">
        <f>SUM(O8:Z8)</f>
        <v>0</v>
      </c>
      <c r="BC8" s="20">
        <f>SUM(AA8:AL8)</f>
        <v>0</v>
      </c>
    </row>
    <row r="9" spans="1:55">
      <c r="A9" s="18" t="s">
        <v>214</v>
      </c>
      <c r="B9" s="16" t="s">
        <v>215</v>
      </c>
      <c r="C9" s="20">
        <f>'Revenue'!C16*12*'Assumptions'!$F$55</f>
        <v>0</v>
      </c>
      <c r="D9" s="20">
        <f>'Revenue'!D16*12*'Assumptions'!$F$55</f>
        <v>0</v>
      </c>
      <c r="E9" s="20">
        <f>'Revenue'!E16*12*'Assumptions'!$F$55</f>
        <v>0</v>
      </c>
      <c r="F9" s="20">
        <f>'Revenue'!F16*12*'Assumptions'!$F$55</f>
        <v>0</v>
      </c>
      <c r="G9" s="20">
        <f>'Revenue'!G16*12*'Assumptions'!$F$55</f>
        <v>0</v>
      </c>
      <c r="H9" s="20">
        <f>'Revenue'!H16*12*'Assumptions'!$F$55</f>
        <v>0</v>
      </c>
      <c r="I9" s="20">
        <f>'Revenue'!I16*12*'Assumptions'!$F$55</f>
        <v>0</v>
      </c>
      <c r="J9" s="20">
        <f>'Revenue'!J16*12*'Assumptions'!$F$55</f>
        <v>0</v>
      </c>
      <c r="K9" s="20">
        <f>'Revenue'!K16*12*'Assumptions'!$F$55</f>
        <v>0</v>
      </c>
      <c r="L9" s="20">
        <f>'Revenue'!L16*12*'Assumptions'!$F$55</f>
        <v>0</v>
      </c>
      <c r="M9" s="20">
        <f>'Revenue'!M16*12*'Assumptions'!$F$55</f>
        <v>0</v>
      </c>
      <c r="N9" s="20">
        <f>'Revenue'!N16*12*'Assumptions'!$F$55</f>
        <v>0</v>
      </c>
      <c r="O9" s="20">
        <f>'Revenue'!O16*12*'Assumptions'!$F$55</f>
        <v>0</v>
      </c>
      <c r="P9" s="20">
        <f>'Revenue'!P16*12*'Assumptions'!$F$55</f>
        <v>0</v>
      </c>
      <c r="Q9" s="20">
        <f>'Revenue'!Q16*12*'Assumptions'!$F$55</f>
        <v>0</v>
      </c>
      <c r="R9" s="20">
        <f>'Revenue'!R16*12*'Assumptions'!$F$55</f>
        <v>0</v>
      </c>
      <c r="S9" s="20">
        <f>'Revenue'!S16*12*'Assumptions'!$F$55</f>
        <v>0</v>
      </c>
      <c r="T9" s="20">
        <f>'Revenue'!T16*12*'Assumptions'!$F$55</f>
        <v>0</v>
      </c>
      <c r="U9" s="20">
        <f>'Revenue'!U16*12*'Assumptions'!$F$55</f>
        <v>0</v>
      </c>
      <c r="V9" s="20">
        <f>'Revenue'!V16*12*'Assumptions'!$F$55</f>
        <v>0</v>
      </c>
      <c r="W9" s="20">
        <f>'Revenue'!W16*12*'Assumptions'!$F$55</f>
        <v>0</v>
      </c>
      <c r="X9" s="20">
        <f>'Revenue'!X16*12*'Assumptions'!$F$55</f>
        <v>0</v>
      </c>
      <c r="Y9" s="20">
        <f>'Revenue'!Y16*12*'Assumptions'!$F$55</f>
        <v>0</v>
      </c>
      <c r="Z9" s="20">
        <f>'Revenue'!Z16*12*'Assumptions'!$F$55</f>
        <v>0</v>
      </c>
      <c r="AA9" s="20">
        <f>'Revenue'!AA16*12*'Assumptions'!$F$55</f>
        <v>0</v>
      </c>
      <c r="AB9" s="20">
        <f>'Revenue'!AB16*12*'Assumptions'!$F$55</f>
        <v>0</v>
      </c>
      <c r="AC9" s="20">
        <f>'Revenue'!AC16*12*'Assumptions'!$F$55</f>
        <v>0</v>
      </c>
      <c r="AD9" s="20">
        <f>'Revenue'!AD16*12*'Assumptions'!$F$55</f>
        <v>0</v>
      </c>
      <c r="AE9" s="20">
        <f>'Revenue'!AE16*12*'Assumptions'!$F$55</f>
        <v>0</v>
      </c>
      <c r="AF9" s="20">
        <f>'Revenue'!AF16*12*'Assumptions'!$F$55</f>
        <v>0</v>
      </c>
      <c r="AG9" s="20">
        <f>'Revenue'!AG16*12*'Assumptions'!$F$55</f>
        <v>0</v>
      </c>
      <c r="AH9" s="20">
        <f>'Revenue'!AH16*12*'Assumptions'!$F$55</f>
        <v>0</v>
      </c>
      <c r="AI9" s="20">
        <f>'Revenue'!AI16*12*'Assumptions'!$F$55</f>
        <v>0</v>
      </c>
      <c r="AJ9" s="20">
        <f>'Revenue'!AJ16*12*'Assumptions'!$F$55</f>
        <v>0</v>
      </c>
      <c r="AK9" s="20">
        <f>'Revenue'!AK16*12*'Assumptions'!$F$55</f>
        <v>0</v>
      </c>
      <c r="AL9" s="20">
        <f>'Revenue'!AL16*12*'Assumptions'!$F$55</f>
        <v>0</v>
      </c>
      <c r="AN9" s="20">
        <f>SUM(C9:E9)</f>
        <v>0</v>
      </c>
      <c r="AO9" s="20">
        <f>SUM(F9:H9)</f>
        <v>0</v>
      </c>
      <c r="AP9" s="20">
        <f>SUM(I9:K9)</f>
        <v>0</v>
      </c>
      <c r="AQ9" s="20">
        <f>SUM(L9:N9)</f>
        <v>0</v>
      </c>
      <c r="AR9" s="20">
        <f>SUM(O9:Q9)</f>
        <v>0</v>
      </c>
      <c r="AS9" s="20">
        <f>SUM(R9:T9)</f>
        <v>0</v>
      </c>
      <c r="AT9" s="20">
        <f>SUM(U9:W9)</f>
        <v>0</v>
      </c>
      <c r="AU9" s="20">
        <f>SUM(X9:Z9)</f>
        <v>0</v>
      </c>
      <c r="AV9" s="20">
        <f>SUM(AA9:AC9)</f>
        <v>0</v>
      </c>
      <c r="AW9" s="20">
        <f>SUM(AD9:AF9)</f>
        <v>0</v>
      </c>
      <c r="AX9" s="20">
        <f>SUM(AG9:AI9)</f>
        <v>0</v>
      </c>
      <c r="AY9" s="20">
        <f>SUM(AJ9:AL9)</f>
        <v>0</v>
      </c>
      <c r="BA9" s="20">
        <f>SUM(C9:N9)</f>
        <v>0</v>
      </c>
      <c r="BB9" s="20">
        <f>SUM(O9:Z9)</f>
        <v>0</v>
      </c>
      <c r="BC9" s="20">
        <f>SUM(AA9:AL9)</f>
        <v>0</v>
      </c>
    </row>
    <row r="10" spans="1:55">
      <c r="A10" s="18" t="s">
        <v>216</v>
      </c>
      <c r="B10" s="16" t="s">
        <v>217</v>
      </c>
      <c r="C10" s="20">
        <f>'Revenue'!C27*'Assumptions'!$F$56</f>
        <v>0</v>
      </c>
      <c r="D10" s="20">
        <f>'Revenue'!D27*'Assumptions'!$F$56</f>
        <v>0</v>
      </c>
      <c r="E10" s="20">
        <f>'Revenue'!E27*'Assumptions'!$F$56</f>
        <v>0</v>
      </c>
      <c r="F10" s="20">
        <f>'Revenue'!F27*'Assumptions'!$F$56</f>
        <v>0</v>
      </c>
      <c r="G10" s="20">
        <f>'Revenue'!G27*'Assumptions'!$F$56</f>
        <v>0</v>
      </c>
      <c r="H10" s="20">
        <f>'Revenue'!H27*'Assumptions'!$F$56</f>
        <v>0</v>
      </c>
      <c r="I10" s="20">
        <f>'Revenue'!I27*'Assumptions'!$F$56</f>
        <v>0</v>
      </c>
      <c r="J10" s="20">
        <f>'Revenue'!J27*'Assumptions'!$F$56</f>
        <v>0</v>
      </c>
      <c r="K10" s="20">
        <f>'Revenue'!K27*'Assumptions'!$F$56</f>
        <v>0</v>
      </c>
      <c r="L10" s="20">
        <f>'Revenue'!L27*'Assumptions'!$F$56</f>
        <v>0</v>
      </c>
      <c r="M10" s="20">
        <f>'Revenue'!M27*'Assumptions'!$F$56</f>
        <v>0</v>
      </c>
      <c r="N10" s="20">
        <f>'Revenue'!N27*'Assumptions'!$F$56</f>
        <v>0</v>
      </c>
      <c r="O10" s="20">
        <f>'Revenue'!O27*'Assumptions'!$F$56</f>
        <v>0</v>
      </c>
      <c r="P10" s="20">
        <f>'Revenue'!P27*'Assumptions'!$F$56</f>
        <v>0</v>
      </c>
      <c r="Q10" s="20">
        <f>'Revenue'!Q27*'Assumptions'!$F$56</f>
        <v>0</v>
      </c>
      <c r="R10" s="20">
        <f>'Revenue'!R27*'Assumptions'!$F$56</f>
        <v>0</v>
      </c>
      <c r="S10" s="20">
        <f>'Revenue'!S27*'Assumptions'!$F$56</f>
        <v>0</v>
      </c>
      <c r="T10" s="20">
        <f>'Revenue'!T27*'Assumptions'!$F$56</f>
        <v>0</v>
      </c>
      <c r="U10" s="20">
        <f>'Revenue'!U27*'Assumptions'!$F$56</f>
        <v>0</v>
      </c>
      <c r="V10" s="20">
        <f>'Revenue'!V27*'Assumptions'!$F$56</f>
        <v>0</v>
      </c>
      <c r="W10" s="20">
        <f>'Revenue'!W27*'Assumptions'!$F$56</f>
        <v>0</v>
      </c>
      <c r="X10" s="20">
        <f>'Revenue'!X27*'Assumptions'!$F$56</f>
        <v>0</v>
      </c>
      <c r="Y10" s="20">
        <f>'Revenue'!Y27*'Assumptions'!$F$56</f>
        <v>0</v>
      </c>
      <c r="Z10" s="20">
        <f>'Revenue'!Z27*'Assumptions'!$F$56</f>
        <v>0</v>
      </c>
      <c r="AA10" s="20">
        <f>'Revenue'!AA27*'Assumptions'!$F$56</f>
        <v>0</v>
      </c>
      <c r="AB10" s="20">
        <f>'Revenue'!AB27*'Assumptions'!$F$56</f>
        <v>0</v>
      </c>
      <c r="AC10" s="20">
        <f>'Revenue'!AC27*'Assumptions'!$F$56</f>
        <v>0</v>
      </c>
      <c r="AD10" s="20">
        <f>'Revenue'!AD27*'Assumptions'!$F$56</f>
        <v>0</v>
      </c>
      <c r="AE10" s="20">
        <f>'Revenue'!AE27*'Assumptions'!$F$56</f>
        <v>0</v>
      </c>
      <c r="AF10" s="20">
        <f>'Revenue'!AF27*'Assumptions'!$F$56</f>
        <v>0</v>
      </c>
      <c r="AG10" s="20">
        <f>'Revenue'!AG27*'Assumptions'!$F$56</f>
        <v>0</v>
      </c>
      <c r="AH10" s="20">
        <f>'Revenue'!AH27*'Assumptions'!$F$56</f>
        <v>0</v>
      </c>
      <c r="AI10" s="20">
        <f>'Revenue'!AI27*'Assumptions'!$F$56</f>
        <v>0</v>
      </c>
      <c r="AJ10" s="20">
        <f>'Revenue'!AJ27*'Assumptions'!$F$56</f>
        <v>0</v>
      </c>
      <c r="AK10" s="20">
        <f>'Revenue'!AK27*'Assumptions'!$F$56</f>
        <v>0</v>
      </c>
      <c r="AL10" s="20">
        <f>'Revenue'!AL27*'Assumptions'!$F$56</f>
        <v>0</v>
      </c>
      <c r="AN10" s="20">
        <f>SUM(C10:E10)</f>
        <v>0</v>
      </c>
      <c r="AO10" s="20">
        <f>SUM(F10:H10)</f>
        <v>0</v>
      </c>
      <c r="AP10" s="20">
        <f>SUM(I10:K10)</f>
        <v>0</v>
      </c>
      <c r="AQ10" s="20">
        <f>SUM(L10:N10)</f>
        <v>0</v>
      </c>
      <c r="AR10" s="20">
        <f>SUM(O10:Q10)</f>
        <v>0</v>
      </c>
      <c r="AS10" s="20">
        <f>SUM(R10:T10)</f>
        <v>0</v>
      </c>
      <c r="AT10" s="20">
        <f>SUM(U10:W10)</f>
        <v>0</v>
      </c>
      <c r="AU10" s="20">
        <f>SUM(X10:Z10)</f>
        <v>0</v>
      </c>
      <c r="AV10" s="20">
        <f>SUM(AA10:AC10)</f>
        <v>0</v>
      </c>
      <c r="AW10" s="20">
        <f>SUM(AD10:AF10)</f>
        <v>0</v>
      </c>
      <c r="AX10" s="20">
        <f>SUM(AG10:AI10)</f>
        <v>0</v>
      </c>
      <c r="AY10" s="20">
        <f>SUM(AJ10:AL10)</f>
        <v>0</v>
      </c>
      <c r="BA10" s="20">
        <f>SUM(C10:N10)</f>
        <v>0</v>
      </c>
      <c r="BB10" s="20">
        <f>SUM(O10:Z10)</f>
        <v>0</v>
      </c>
      <c r="BC10" s="20">
        <f>SUM(AA10:AL10)</f>
        <v>0</v>
      </c>
    </row>
    <row r="11" spans="1:55">
      <c r="A11" s="28" t="s">
        <v>218</v>
      </c>
      <c r="B11" s="16"/>
      <c r="C11" s="29">
        <f>C8+C9+C10</f>
        <v>0</v>
      </c>
      <c r="D11" s="29">
        <f>D8+D9+D10</f>
        <v>0</v>
      </c>
      <c r="E11" s="29">
        <f>E8+E9+E10</f>
        <v>0</v>
      </c>
      <c r="F11" s="29">
        <f>F8+F9+F10</f>
        <v>0</v>
      </c>
      <c r="G11" s="29">
        <f>G8+G9+G10</f>
        <v>0</v>
      </c>
      <c r="H11" s="29">
        <f>H8+H9+H10</f>
        <v>0</v>
      </c>
      <c r="I11" s="29">
        <f>I8+I9+I10</f>
        <v>0</v>
      </c>
      <c r="J11" s="29">
        <f>J8+J9+J10</f>
        <v>0</v>
      </c>
      <c r="K11" s="29">
        <f>K8+K9+K10</f>
        <v>0</v>
      </c>
      <c r="L11" s="29">
        <f>L8+L9+L10</f>
        <v>0</v>
      </c>
      <c r="M11" s="29">
        <f>M8+M9+M10</f>
        <v>0</v>
      </c>
      <c r="N11" s="29">
        <f>N8+N9+N10</f>
        <v>0</v>
      </c>
      <c r="O11" s="29">
        <f>O8+O9+O10</f>
        <v>0</v>
      </c>
      <c r="P11" s="29">
        <f>P8+P9+P10</f>
        <v>0</v>
      </c>
      <c r="Q11" s="29">
        <f>Q8+Q9+Q10</f>
        <v>0</v>
      </c>
      <c r="R11" s="29">
        <f>R8+R9+R10</f>
        <v>0</v>
      </c>
      <c r="S11" s="29">
        <f>S8+S9+S10</f>
        <v>0</v>
      </c>
      <c r="T11" s="29">
        <f>T8+T9+T10</f>
        <v>0</v>
      </c>
      <c r="U11" s="29">
        <f>U8+U9+U10</f>
        <v>0</v>
      </c>
      <c r="V11" s="29">
        <f>V8+V9+V10</f>
        <v>0</v>
      </c>
      <c r="W11" s="29">
        <f>W8+W9+W10</f>
        <v>0</v>
      </c>
      <c r="X11" s="29">
        <f>X8+X9+X10</f>
        <v>0</v>
      </c>
      <c r="Y11" s="29">
        <f>Y8+Y9+Y10</f>
        <v>0</v>
      </c>
      <c r="Z11" s="29">
        <f>Z8+Z9+Z10</f>
        <v>0</v>
      </c>
      <c r="AA11" s="29">
        <f>AA8+AA9+AA10</f>
        <v>0</v>
      </c>
      <c r="AB11" s="29">
        <f>AB8+AB9+AB10</f>
        <v>0</v>
      </c>
      <c r="AC11" s="29">
        <f>AC8+AC9+AC10</f>
        <v>0</v>
      </c>
      <c r="AD11" s="29">
        <f>AD8+AD9+AD10</f>
        <v>0</v>
      </c>
      <c r="AE11" s="29">
        <f>AE8+AE9+AE10</f>
        <v>0</v>
      </c>
      <c r="AF11" s="29">
        <f>AF8+AF9+AF10</f>
        <v>0</v>
      </c>
      <c r="AG11" s="29">
        <f>AG8+AG9+AG10</f>
        <v>0</v>
      </c>
      <c r="AH11" s="29">
        <f>AH8+AH9+AH10</f>
        <v>0</v>
      </c>
      <c r="AI11" s="29">
        <f>AI8+AI9+AI10</f>
        <v>0</v>
      </c>
      <c r="AJ11" s="29">
        <f>AJ8+AJ9+AJ10</f>
        <v>0</v>
      </c>
      <c r="AK11" s="29">
        <f>AK8+AK9+AK10</f>
        <v>0</v>
      </c>
      <c r="AL11" s="29">
        <f>AL8+AL9+AL10</f>
        <v>0</v>
      </c>
      <c r="AN11" s="29">
        <f>SUM(C11:E11)</f>
        <v>0</v>
      </c>
      <c r="AO11" s="29">
        <f>SUM(F11:H11)</f>
        <v>0</v>
      </c>
      <c r="AP11" s="29">
        <f>SUM(I11:K11)</f>
        <v>0</v>
      </c>
      <c r="AQ11" s="29">
        <f>SUM(L11:N11)</f>
        <v>0</v>
      </c>
      <c r="AR11" s="29">
        <f>SUM(O11:Q11)</f>
        <v>0</v>
      </c>
      <c r="AS11" s="29">
        <f>SUM(R11:T11)</f>
        <v>0</v>
      </c>
      <c r="AT11" s="29">
        <f>SUM(U11:W11)</f>
        <v>0</v>
      </c>
      <c r="AU11" s="29">
        <f>SUM(X11:Z11)</f>
        <v>0</v>
      </c>
      <c r="AV11" s="29">
        <f>SUM(AA11:AC11)</f>
        <v>0</v>
      </c>
      <c r="AW11" s="29">
        <f>SUM(AD11:AF11)</f>
        <v>0</v>
      </c>
      <c r="AX11" s="29">
        <f>SUM(AG11:AI11)</f>
        <v>0</v>
      </c>
      <c r="AY11" s="29">
        <f>SUM(AJ11:AL11)</f>
        <v>0</v>
      </c>
      <c r="BA11" s="29">
        <f>SUM(C11:N11)</f>
        <v>0</v>
      </c>
      <c r="BB11" s="29">
        <f>SUM(O11:Z11)</f>
        <v>0</v>
      </c>
      <c r="BC11" s="29">
        <f>SUM(AA11:AL11)</f>
        <v>0</v>
      </c>
    </row>
    <row r="12" spans="1:55" ht="5" customHeight="1"/>
    <row r="13" spans="1:55" ht="16" customHeight="1">
      <c r="A13" s="14" t="s">
        <v>219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</row>
    <row r="14" spans="1:55">
      <c r="A14" s="18" t="s">
        <v>220</v>
      </c>
      <c r="B14" s="16" t="s">
        <v>213</v>
      </c>
      <c r="C14" s="20">
        <f>'Headcount'!$C$26</f>
        <v>0</v>
      </c>
      <c r="D14" s="20">
        <f>'Headcount'!$D$26</f>
        <v>0</v>
      </c>
      <c r="E14" s="20">
        <f>'Headcount'!$E$26</f>
        <v>0</v>
      </c>
      <c r="F14" s="20">
        <f>'Headcount'!$F$26</f>
        <v>0</v>
      </c>
      <c r="G14" s="20">
        <f>'Headcount'!$G$26</f>
        <v>0</v>
      </c>
      <c r="H14" s="20">
        <f>'Headcount'!$H$26</f>
        <v>0</v>
      </c>
      <c r="I14" s="20">
        <f>'Headcount'!$I$26</f>
        <v>0</v>
      </c>
      <c r="J14" s="20">
        <f>'Headcount'!$J$26</f>
        <v>0</v>
      </c>
      <c r="K14" s="20">
        <f>'Headcount'!$K$26</f>
        <v>0</v>
      </c>
      <c r="L14" s="20">
        <f>'Headcount'!$L$26</f>
        <v>0</v>
      </c>
      <c r="M14" s="20">
        <f>'Headcount'!$M$26</f>
        <v>0</v>
      </c>
      <c r="N14" s="20">
        <f>'Headcount'!$N$26</f>
        <v>0</v>
      </c>
      <c r="O14" s="20">
        <f>'Headcount'!$O$26</f>
        <v>0</v>
      </c>
      <c r="P14" s="20">
        <f>'Headcount'!$P$26</f>
        <v>0</v>
      </c>
      <c r="Q14" s="20">
        <f>'Headcount'!$Q$26</f>
        <v>0</v>
      </c>
      <c r="R14" s="20">
        <f>'Headcount'!$R$26</f>
        <v>0</v>
      </c>
      <c r="S14" s="20">
        <f>'Headcount'!$S$26</f>
        <v>0</v>
      </c>
      <c r="T14" s="20">
        <f>'Headcount'!$T$26</f>
        <v>0</v>
      </c>
      <c r="U14" s="20">
        <f>'Headcount'!$U$26</f>
        <v>0</v>
      </c>
      <c r="V14" s="20">
        <f>'Headcount'!$V$26</f>
        <v>0</v>
      </c>
      <c r="W14" s="20">
        <f>'Headcount'!$W$26</f>
        <v>0</v>
      </c>
      <c r="X14" s="20">
        <f>'Headcount'!$X$26</f>
        <v>0</v>
      </c>
      <c r="Y14" s="20">
        <f>'Headcount'!$Y$26</f>
        <v>0</v>
      </c>
      <c r="Z14" s="20">
        <f>'Headcount'!$Z$26</f>
        <v>0</v>
      </c>
      <c r="AA14" s="20">
        <f>'Headcount'!$AA$26</f>
        <v>0</v>
      </c>
      <c r="AB14" s="20">
        <f>'Headcount'!$AB$26</f>
        <v>0</v>
      </c>
      <c r="AC14" s="20">
        <f>'Headcount'!$AC$26</f>
        <v>0</v>
      </c>
      <c r="AD14" s="20">
        <f>'Headcount'!$AD$26</f>
        <v>0</v>
      </c>
      <c r="AE14" s="20">
        <f>'Headcount'!$AE$26</f>
        <v>0</v>
      </c>
      <c r="AF14" s="20">
        <f>'Headcount'!$AF$26</f>
        <v>0</v>
      </c>
      <c r="AG14" s="20">
        <f>'Headcount'!$AG$26</f>
        <v>0</v>
      </c>
      <c r="AH14" s="20">
        <f>'Headcount'!$AH$26</f>
        <v>0</v>
      </c>
      <c r="AI14" s="20">
        <f>'Headcount'!$AI$26</f>
        <v>0</v>
      </c>
      <c r="AJ14" s="20">
        <f>'Headcount'!$AJ$26</f>
        <v>0</v>
      </c>
      <c r="AK14" s="20">
        <f>'Headcount'!$AK$26</f>
        <v>0</v>
      </c>
      <c r="AL14" s="20">
        <f>'Headcount'!$AL$26</f>
        <v>0</v>
      </c>
      <c r="AN14" s="20">
        <f>SUM(C14:E14)</f>
        <v>0</v>
      </c>
      <c r="AO14" s="20">
        <f>SUM(F14:H14)</f>
        <v>0</v>
      </c>
      <c r="AP14" s="20">
        <f>SUM(I14:K14)</f>
        <v>0</v>
      </c>
      <c r="AQ14" s="20">
        <f>SUM(L14:N14)</f>
        <v>0</v>
      </c>
      <c r="AR14" s="20">
        <f>SUM(O14:Q14)</f>
        <v>0</v>
      </c>
      <c r="AS14" s="20">
        <f>SUM(R14:T14)</f>
        <v>0</v>
      </c>
      <c r="AT14" s="20">
        <f>SUM(U14:W14)</f>
        <v>0</v>
      </c>
      <c r="AU14" s="20">
        <f>SUM(X14:Z14)</f>
        <v>0</v>
      </c>
      <c r="AV14" s="20">
        <f>SUM(AA14:AC14)</f>
        <v>0</v>
      </c>
      <c r="AW14" s="20">
        <f>SUM(AD14:AF14)</f>
        <v>0</v>
      </c>
      <c r="AX14" s="20">
        <f>SUM(AG14:AI14)</f>
        <v>0</v>
      </c>
      <c r="AY14" s="20">
        <f>SUM(AJ14:AL14)</f>
        <v>0</v>
      </c>
      <c r="BA14" s="20">
        <f>SUM(C14:N14)</f>
        <v>0</v>
      </c>
      <c r="BB14" s="20">
        <f>SUM(O14:Z14)</f>
        <v>0</v>
      </c>
      <c r="BC14" s="20">
        <f>SUM(AA14:AL14)</f>
        <v>0</v>
      </c>
    </row>
    <row r="15" spans="1:55">
      <c r="A15" s="28" t="s">
        <v>221</v>
      </c>
      <c r="B15" s="16"/>
      <c r="C15" s="29">
        <f>C14</f>
        <v>0</v>
      </c>
      <c r="D15" s="29">
        <f>D14</f>
        <v>0</v>
      </c>
      <c r="E15" s="29">
        <f>E14</f>
        <v>0</v>
      </c>
      <c r="F15" s="29">
        <f>F14</f>
        <v>0</v>
      </c>
      <c r="G15" s="29">
        <f>G14</f>
        <v>0</v>
      </c>
      <c r="H15" s="29">
        <f>H14</f>
        <v>0</v>
      </c>
      <c r="I15" s="29">
        <f>I14</f>
        <v>0</v>
      </c>
      <c r="J15" s="29">
        <f>J14</f>
        <v>0</v>
      </c>
      <c r="K15" s="29">
        <f>K14</f>
        <v>0</v>
      </c>
      <c r="L15" s="29">
        <f>L14</f>
        <v>0</v>
      </c>
      <c r="M15" s="29">
        <f>M14</f>
        <v>0</v>
      </c>
      <c r="N15" s="29">
        <f>N14</f>
        <v>0</v>
      </c>
      <c r="O15" s="29">
        <f>O14</f>
        <v>0</v>
      </c>
      <c r="P15" s="29">
        <f>P14</f>
        <v>0</v>
      </c>
      <c r="Q15" s="29">
        <f>Q14</f>
        <v>0</v>
      </c>
      <c r="R15" s="29">
        <f>R14</f>
        <v>0</v>
      </c>
      <c r="S15" s="29">
        <f>S14</f>
        <v>0</v>
      </c>
      <c r="T15" s="29">
        <f>T14</f>
        <v>0</v>
      </c>
      <c r="U15" s="29">
        <f>U14</f>
        <v>0</v>
      </c>
      <c r="V15" s="29">
        <f>V14</f>
        <v>0</v>
      </c>
      <c r="W15" s="29">
        <f>W14</f>
        <v>0</v>
      </c>
      <c r="X15" s="29">
        <f>X14</f>
        <v>0</v>
      </c>
      <c r="Y15" s="29">
        <f>Y14</f>
        <v>0</v>
      </c>
      <c r="Z15" s="29">
        <f>Z14</f>
        <v>0</v>
      </c>
      <c r="AA15" s="29">
        <f>AA14</f>
        <v>0</v>
      </c>
      <c r="AB15" s="29">
        <f>AB14</f>
        <v>0</v>
      </c>
      <c r="AC15" s="29">
        <f>AC14</f>
        <v>0</v>
      </c>
      <c r="AD15" s="29">
        <f>AD14</f>
        <v>0</v>
      </c>
      <c r="AE15" s="29">
        <f>AE14</f>
        <v>0</v>
      </c>
      <c r="AF15" s="29">
        <f>AF14</f>
        <v>0</v>
      </c>
      <c r="AG15" s="29">
        <f>AG14</f>
        <v>0</v>
      </c>
      <c r="AH15" s="29">
        <f>AH14</f>
        <v>0</v>
      </c>
      <c r="AI15" s="29">
        <f>AI14</f>
        <v>0</v>
      </c>
      <c r="AJ15" s="29">
        <f>AJ14</f>
        <v>0</v>
      </c>
      <c r="AK15" s="29">
        <f>AK14</f>
        <v>0</v>
      </c>
      <c r="AL15" s="29">
        <f>AL14</f>
        <v>0</v>
      </c>
      <c r="AN15" s="29">
        <f>SUM(C15:E15)</f>
        <v>0</v>
      </c>
      <c r="AO15" s="29">
        <f>SUM(F15:H15)</f>
        <v>0</v>
      </c>
      <c r="AP15" s="29">
        <f>SUM(I15:K15)</f>
        <v>0</v>
      </c>
      <c r="AQ15" s="29">
        <f>SUM(L15:N15)</f>
        <v>0</v>
      </c>
      <c r="AR15" s="29">
        <f>SUM(O15:Q15)</f>
        <v>0</v>
      </c>
      <c r="AS15" s="29">
        <f>SUM(R15:T15)</f>
        <v>0</v>
      </c>
      <c r="AT15" s="29">
        <f>SUM(U15:W15)</f>
        <v>0</v>
      </c>
      <c r="AU15" s="29">
        <f>SUM(X15:Z15)</f>
        <v>0</v>
      </c>
      <c r="AV15" s="29">
        <f>SUM(AA15:AC15)</f>
        <v>0</v>
      </c>
      <c r="AW15" s="29">
        <f>SUM(AD15:AF15)</f>
        <v>0</v>
      </c>
      <c r="AX15" s="29">
        <f>SUM(AG15:AI15)</f>
        <v>0</v>
      </c>
      <c r="AY15" s="29">
        <f>SUM(AJ15:AL15)</f>
        <v>0</v>
      </c>
      <c r="BA15" s="29">
        <f>SUM(C15:N15)</f>
        <v>0</v>
      </c>
      <c r="BB15" s="29">
        <f>SUM(O15:Z15)</f>
        <v>0</v>
      </c>
      <c r="BC15" s="29">
        <f>SUM(AA15:AL15)</f>
        <v>0</v>
      </c>
    </row>
    <row r="16" spans="1:55" ht="5" customHeight="1"/>
    <row r="17" spans="1:55" ht="16" customHeight="1">
      <c r="A17" s="14" t="s">
        <v>222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</row>
    <row r="18" spans="1:55">
      <c r="A18" s="18" t="s">
        <v>223</v>
      </c>
      <c r="B18" s="16" t="s">
        <v>213</v>
      </c>
      <c r="C18" s="20">
        <f>'Headcount'!$C$25</f>
        <v>0</v>
      </c>
      <c r="D18" s="20">
        <f>'Headcount'!$D$25</f>
        <v>0</v>
      </c>
      <c r="E18" s="20">
        <f>'Headcount'!$E$25</f>
        <v>0</v>
      </c>
      <c r="F18" s="20">
        <f>'Headcount'!$F$25</f>
        <v>0</v>
      </c>
      <c r="G18" s="20">
        <f>'Headcount'!$G$25</f>
        <v>0</v>
      </c>
      <c r="H18" s="20">
        <f>'Headcount'!$H$25</f>
        <v>0</v>
      </c>
      <c r="I18" s="20">
        <f>'Headcount'!$I$25</f>
        <v>0</v>
      </c>
      <c r="J18" s="20">
        <f>'Headcount'!$J$25</f>
        <v>0</v>
      </c>
      <c r="K18" s="20">
        <f>'Headcount'!$K$25</f>
        <v>0</v>
      </c>
      <c r="L18" s="20">
        <f>'Headcount'!$L$25</f>
        <v>0</v>
      </c>
      <c r="M18" s="20">
        <f>'Headcount'!$M$25</f>
        <v>0</v>
      </c>
      <c r="N18" s="20">
        <f>'Headcount'!$N$25</f>
        <v>0</v>
      </c>
      <c r="O18" s="20">
        <f>'Headcount'!$O$25</f>
        <v>0</v>
      </c>
      <c r="P18" s="20">
        <f>'Headcount'!$P$25</f>
        <v>0</v>
      </c>
      <c r="Q18" s="20">
        <f>'Headcount'!$Q$25</f>
        <v>0</v>
      </c>
      <c r="R18" s="20">
        <f>'Headcount'!$R$25</f>
        <v>0</v>
      </c>
      <c r="S18" s="20">
        <f>'Headcount'!$S$25</f>
        <v>0</v>
      </c>
      <c r="T18" s="20">
        <f>'Headcount'!$T$25</f>
        <v>0</v>
      </c>
      <c r="U18" s="20">
        <f>'Headcount'!$U$25</f>
        <v>0</v>
      </c>
      <c r="V18" s="20">
        <f>'Headcount'!$V$25</f>
        <v>0</v>
      </c>
      <c r="W18" s="20">
        <f>'Headcount'!$W$25</f>
        <v>0</v>
      </c>
      <c r="X18" s="20">
        <f>'Headcount'!$X$25</f>
        <v>0</v>
      </c>
      <c r="Y18" s="20">
        <f>'Headcount'!$Y$25</f>
        <v>0</v>
      </c>
      <c r="Z18" s="20">
        <f>'Headcount'!$Z$25</f>
        <v>0</v>
      </c>
      <c r="AA18" s="20">
        <f>'Headcount'!$AA$25</f>
        <v>0</v>
      </c>
      <c r="AB18" s="20">
        <f>'Headcount'!$AB$25</f>
        <v>0</v>
      </c>
      <c r="AC18" s="20">
        <f>'Headcount'!$AC$25</f>
        <v>0</v>
      </c>
      <c r="AD18" s="20">
        <f>'Headcount'!$AD$25</f>
        <v>0</v>
      </c>
      <c r="AE18" s="20">
        <f>'Headcount'!$AE$25</f>
        <v>0</v>
      </c>
      <c r="AF18" s="20">
        <f>'Headcount'!$AF$25</f>
        <v>0</v>
      </c>
      <c r="AG18" s="20">
        <f>'Headcount'!$AG$25</f>
        <v>0</v>
      </c>
      <c r="AH18" s="20">
        <f>'Headcount'!$AH$25</f>
        <v>0</v>
      </c>
      <c r="AI18" s="20">
        <f>'Headcount'!$AI$25</f>
        <v>0</v>
      </c>
      <c r="AJ18" s="20">
        <f>'Headcount'!$AJ$25</f>
        <v>0</v>
      </c>
      <c r="AK18" s="20">
        <f>'Headcount'!$AK$25</f>
        <v>0</v>
      </c>
      <c r="AL18" s="20">
        <f>'Headcount'!$AL$25</f>
        <v>0</v>
      </c>
      <c r="AN18" s="20">
        <f>SUM(C18:E18)</f>
        <v>0</v>
      </c>
      <c r="AO18" s="20">
        <f>SUM(F18:H18)</f>
        <v>0</v>
      </c>
      <c r="AP18" s="20">
        <f>SUM(I18:K18)</f>
        <v>0</v>
      </c>
      <c r="AQ18" s="20">
        <f>SUM(L18:N18)</f>
        <v>0</v>
      </c>
      <c r="AR18" s="20">
        <f>SUM(O18:Q18)</f>
        <v>0</v>
      </c>
      <c r="AS18" s="20">
        <f>SUM(R18:T18)</f>
        <v>0</v>
      </c>
      <c r="AT18" s="20">
        <f>SUM(U18:W18)</f>
        <v>0</v>
      </c>
      <c r="AU18" s="20">
        <f>SUM(X18:Z18)</f>
        <v>0</v>
      </c>
      <c r="AV18" s="20">
        <f>SUM(AA18:AC18)</f>
        <v>0</v>
      </c>
      <c r="AW18" s="20">
        <f>SUM(AD18:AF18)</f>
        <v>0</v>
      </c>
      <c r="AX18" s="20">
        <f>SUM(AG18:AI18)</f>
        <v>0</v>
      </c>
      <c r="AY18" s="20">
        <f>SUM(AJ18:AL18)</f>
        <v>0</v>
      </c>
      <c r="BA18" s="20">
        <f>SUM(C18:N18)</f>
        <v>0</v>
      </c>
      <c r="BB18" s="20">
        <f>SUM(O18:Z18)</f>
        <v>0</v>
      </c>
      <c r="BC18" s="20">
        <f>SUM(AA18:AL18)</f>
        <v>0</v>
      </c>
    </row>
    <row r="19" spans="1:55">
      <c r="A19" s="18" t="s">
        <v>224</v>
      </c>
      <c r="B19" s="16" t="s">
        <v>225</v>
      </c>
      <c r="C19" s="20">
        <f>'Assumptions'!$F$57</f>
        <v>0</v>
      </c>
      <c r="D19" s="20">
        <f>'Assumptions'!$F$57</f>
        <v>0</v>
      </c>
      <c r="E19" s="20">
        <f>'Assumptions'!$F$57</f>
        <v>0</v>
      </c>
      <c r="F19" s="20">
        <f>'Assumptions'!$F$57</f>
        <v>0</v>
      </c>
      <c r="G19" s="20">
        <f>'Assumptions'!$F$57</f>
        <v>0</v>
      </c>
      <c r="H19" s="20">
        <f>'Assumptions'!$F$57</f>
        <v>0</v>
      </c>
      <c r="I19" s="20">
        <f>'Assumptions'!$F$57</f>
        <v>0</v>
      </c>
      <c r="J19" s="20">
        <f>'Assumptions'!$F$57</f>
        <v>0</v>
      </c>
      <c r="K19" s="20">
        <f>'Assumptions'!$F$57</f>
        <v>0</v>
      </c>
      <c r="L19" s="20">
        <f>'Assumptions'!$F$57</f>
        <v>0</v>
      </c>
      <c r="M19" s="20">
        <f>'Assumptions'!$F$57</f>
        <v>0</v>
      </c>
      <c r="N19" s="20">
        <f>'Assumptions'!$F$57</f>
        <v>0</v>
      </c>
      <c r="O19" s="20">
        <f>'Assumptions'!$F$57</f>
        <v>0</v>
      </c>
      <c r="P19" s="20">
        <f>'Assumptions'!$F$57</f>
        <v>0</v>
      </c>
      <c r="Q19" s="20">
        <f>'Assumptions'!$F$57</f>
        <v>0</v>
      </c>
      <c r="R19" s="20">
        <f>'Assumptions'!$F$57</f>
        <v>0</v>
      </c>
      <c r="S19" s="20">
        <f>'Assumptions'!$F$57</f>
        <v>0</v>
      </c>
      <c r="T19" s="20">
        <f>'Assumptions'!$F$57</f>
        <v>0</v>
      </c>
      <c r="U19" s="20">
        <f>'Assumptions'!$F$57</f>
        <v>0</v>
      </c>
      <c r="V19" s="20">
        <f>'Assumptions'!$F$57</f>
        <v>0</v>
      </c>
      <c r="W19" s="20">
        <f>'Assumptions'!$F$57</f>
        <v>0</v>
      </c>
      <c r="X19" s="20">
        <f>'Assumptions'!$F$57</f>
        <v>0</v>
      </c>
      <c r="Y19" s="20">
        <f>'Assumptions'!$F$57</f>
        <v>0</v>
      </c>
      <c r="Z19" s="20">
        <f>'Assumptions'!$F$57</f>
        <v>0</v>
      </c>
      <c r="AA19" s="20">
        <f>'Assumptions'!$F$57</f>
        <v>0</v>
      </c>
      <c r="AB19" s="20">
        <f>'Assumptions'!$F$57</f>
        <v>0</v>
      </c>
      <c r="AC19" s="20">
        <f>'Assumptions'!$F$57</f>
        <v>0</v>
      </c>
      <c r="AD19" s="20">
        <f>'Assumptions'!$F$57</f>
        <v>0</v>
      </c>
      <c r="AE19" s="20">
        <f>'Assumptions'!$F$57</f>
        <v>0</v>
      </c>
      <c r="AF19" s="20">
        <f>'Assumptions'!$F$57</f>
        <v>0</v>
      </c>
      <c r="AG19" s="20">
        <f>'Assumptions'!$F$57</f>
        <v>0</v>
      </c>
      <c r="AH19" s="20">
        <f>'Assumptions'!$F$57</f>
        <v>0</v>
      </c>
      <c r="AI19" s="20">
        <f>'Assumptions'!$F$57</f>
        <v>0</v>
      </c>
      <c r="AJ19" s="20">
        <f>'Assumptions'!$F$57</f>
        <v>0</v>
      </c>
      <c r="AK19" s="20">
        <f>'Assumptions'!$F$57</f>
        <v>0</v>
      </c>
      <c r="AL19" s="20">
        <f>'Assumptions'!$F$57</f>
        <v>0</v>
      </c>
      <c r="AN19" s="20">
        <f>SUM(C19:E19)</f>
        <v>0</v>
      </c>
      <c r="AO19" s="20">
        <f>SUM(F19:H19)</f>
        <v>0</v>
      </c>
      <c r="AP19" s="20">
        <f>SUM(I19:K19)</f>
        <v>0</v>
      </c>
      <c r="AQ19" s="20">
        <f>SUM(L19:N19)</f>
        <v>0</v>
      </c>
      <c r="AR19" s="20">
        <f>SUM(O19:Q19)</f>
        <v>0</v>
      </c>
      <c r="AS19" s="20">
        <f>SUM(R19:T19)</f>
        <v>0</v>
      </c>
      <c r="AT19" s="20">
        <f>SUM(U19:W19)</f>
        <v>0</v>
      </c>
      <c r="AU19" s="20">
        <f>SUM(X19:Z19)</f>
        <v>0</v>
      </c>
      <c r="AV19" s="20">
        <f>SUM(AA19:AC19)</f>
        <v>0</v>
      </c>
      <c r="AW19" s="20">
        <f>SUM(AD19:AF19)</f>
        <v>0</v>
      </c>
      <c r="AX19" s="20">
        <f>SUM(AG19:AI19)</f>
        <v>0</v>
      </c>
      <c r="AY19" s="20">
        <f>SUM(AJ19:AL19)</f>
        <v>0</v>
      </c>
      <c r="BA19" s="20">
        <f>SUM(C19:N19)</f>
        <v>0</v>
      </c>
      <c r="BB19" s="20">
        <f>SUM(O19:Z19)</f>
        <v>0</v>
      </c>
      <c r="BC19" s="20">
        <f>SUM(AA19:AL19)</f>
        <v>0</v>
      </c>
    </row>
    <row r="20" spans="1:55">
      <c r="A20" s="18" t="s">
        <v>226</v>
      </c>
      <c r="B20" s="16" t="s">
        <v>225</v>
      </c>
      <c r="C20" s="20">
        <f>'Assumptions'!$F$58</f>
        <v>0</v>
      </c>
      <c r="D20" s="20">
        <f>'Assumptions'!$F$58</f>
        <v>0</v>
      </c>
      <c r="E20" s="20">
        <f>'Assumptions'!$F$58</f>
        <v>0</v>
      </c>
      <c r="F20" s="20">
        <f>'Assumptions'!$F$58</f>
        <v>0</v>
      </c>
      <c r="G20" s="20">
        <f>'Assumptions'!$F$58</f>
        <v>0</v>
      </c>
      <c r="H20" s="20">
        <f>'Assumptions'!$F$58</f>
        <v>0</v>
      </c>
      <c r="I20" s="20">
        <f>'Assumptions'!$F$58</f>
        <v>0</v>
      </c>
      <c r="J20" s="20">
        <f>'Assumptions'!$F$58</f>
        <v>0</v>
      </c>
      <c r="K20" s="20">
        <f>'Assumptions'!$F$58</f>
        <v>0</v>
      </c>
      <c r="L20" s="20">
        <f>'Assumptions'!$F$58</f>
        <v>0</v>
      </c>
      <c r="M20" s="20">
        <f>'Assumptions'!$F$58</f>
        <v>0</v>
      </c>
      <c r="N20" s="20">
        <f>'Assumptions'!$F$58</f>
        <v>0</v>
      </c>
      <c r="O20" s="20">
        <f>'Assumptions'!$F$58</f>
        <v>0</v>
      </c>
      <c r="P20" s="20">
        <f>'Assumptions'!$F$58</f>
        <v>0</v>
      </c>
      <c r="Q20" s="20">
        <f>'Assumptions'!$F$58</f>
        <v>0</v>
      </c>
      <c r="R20" s="20">
        <f>'Assumptions'!$F$58</f>
        <v>0</v>
      </c>
      <c r="S20" s="20">
        <f>'Assumptions'!$F$58</f>
        <v>0</v>
      </c>
      <c r="T20" s="20">
        <f>'Assumptions'!$F$58</f>
        <v>0</v>
      </c>
      <c r="U20" s="20">
        <f>'Assumptions'!$F$58</f>
        <v>0</v>
      </c>
      <c r="V20" s="20">
        <f>'Assumptions'!$F$58</f>
        <v>0</v>
      </c>
      <c r="W20" s="20">
        <f>'Assumptions'!$F$58</f>
        <v>0</v>
      </c>
      <c r="X20" s="20">
        <f>'Assumptions'!$F$58</f>
        <v>0</v>
      </c>
      <c r="Y20" s="20">
        <f>'Assumptions'!$F$58</f>
        <v>0</v>
      </c>
      <c r="Z20" s="20">
        <f>'Assumptions'!$F$58</f>
        <v>0</v>
      </c>
      <c r="AA20" s="20">
        <f>'Assumptions'!$F$58</f>
        <v>0</v>
      </c>
      <c r="AB20" s="20">
        <f>'Assumptions'!$F$58</f>
        <v>0</v>
      </c>
      <c r="AC20" s="20">
        <f>'Assumptions'!$F$58</f>
        <v>0</v>
      </c>
      <c r="AD20" s="20">
        <f>'Assumptions'!$F$58</f>
        <v>0</v>
      </c>
      <c r="AE20" s="20">
        <f>'Assumptions'!$F$58</f>
        <v>0</v>
      </c>
      <c r="AF20" s="20">
        <f>'Assumptions'!$F$58</f>
        <v>0</v>
      </c>
      <c r="AG20" s="20">
        <f>'Assumptions'!$F$58</f>
        <v>0</v>
      </c>
      <c r="AH20" s="20">
        <f>'Assumptions'!$F$58</f>
        <v>0</v>
      </c>
      <c r="AI20" s="20">
        <f>'Assumptions'!$F$58</f>
        <v>0</v>
      </c>
      <c r="AJ20" s="20">
        <f>'Assumptions'!$F$58</f>
        <v>0</v>
      </c>
      <c r="AK20" s="20">
        <f>'Assumptions'!$F$58</f>
        <v>0</v>
      </c>
      <c r="AL20" s="20">
        <f>'Assumptions'!$F$58</f>
        <v>0</v>
      </c>
      <c r="AN20" s="20">
        <f>SUM(C20:E20)</f>
        <v>0</v>
      </c>
      <c r="AO20" s="20">
        <f>SUM(F20:H20)</f>
        <v>0</v>
      </c>
      <c r="AP20" s="20">
        <f>SUM(I20:K20)</f>
        <v>0</v>
      </c>
      <c r="AQ20" s="20">
        <f>SUM(L20:N20)</f>
        <v>0</v>
      </c>
      <c r="AR20" s="20">
        <f>SUM(O20:Q20)</f>
        <v>0</v>
      </c>
      <c r="AS20" s="20">
        <f>SUM(R20:T20)</f>
        <v>0</v>
      </c>
      <c r="AT20" s="20">
        <f>SUM(U20:W20)</f>
        <v>0</v>
      </c>
      <c r="AU20" s="20">
        <f>SUM(X20:Z20)</f>
        <v>0</v>
      </c>
      <c r="AV20" s="20">
        <f>SUM(AA20:AC20)</f>
        <v>0</v>
      </c>
      <c r="AW20" s="20">
        <f>SUM(AD20:AF20)</f>
        <v>0</v>
      </c>
      <c r="AX20" s="20">
        <f>SUM(AG20:AI20)</f>
        <v>0</v>
      </c>
      <c r="AY20" s="20">
        <f>SUM(AJ20:AL20)</f>
        <v>0</v>
      </c>
      <c r="BA20" s="20">
        <f>SUM(C20:N20)</f>
        <v>0</v>
      </c>
      <c r="BB20" s="20">
        <f>SUM(O20:Z20)</f>
        <v>0</v>
      </c>
      <c r="BC20" s="20">
        <f>SUM(AA20:AL20)</f>
        <v>0</v>
      </c>
    </row>
    <row r="21" spans="1:55">
      <c r="A21" s="28" t="s">
        <v>227</v>
      </c>
      <c r="B21" s="16"/>
      <c r="C21" s="29">
        <f>C18+C19+C20</f>
        <v>0</v>
      </c>
      <c r="D21" s="29">
        <f>D18+D19+D20</f>
        <v>0</v>
      </c>
      <c r="E21" s="29">
        <f>E18+E19+E20</f>
        <v>0</v>
      </c>
      <c r="F21" s="29">
        <f>F18+F19+F20</f>
        <v>0</v>
      </c>
      <c r="G21" s="29">
        <f>G18+G19+G20</f>
        <v>0</v>
      </c>
      <c r="H21" s="29">
        <f>H18+H19+H20</f>
        <v>0</v>
      </c>
      <c r="I21" s="29">
        <f>I18+I19+I20</f>
        <v>0</v>
      </c>
      <c r="J21" s="29">
        <f>J18+J19+J20</f>
        <v>0</v>
      </c>
      <c r="K21" s="29">
        <f>K18+K19+K20</f>
        <v>0</v>
      </c>
      <c r="L21" s="29">
        <f>L18+L19+L20</f>
        <v>0</v>
      </c>
      <c r="M21" s="29">
        <f>M18+M19+M20</f>
        <v>0</v>
      </c>
      <c r="N21" s="29">
        <f>N18+N19+N20</f>
        <v>0</v>
      </c>
      <c r="O21" s="29">
        <f>O18+O19+O20</f>
        <v>0</v>
      </c>
      <c r="P21" s="29">
        <f>P18+P19+P20</f>
        <v>0</v>
      </c>
      <c r="Q21" s="29">
        <f>Q18+Q19+Q20</f>
        <v>0</v>
      </c>
      <c r="R21" s="29">
        <f>R18+R19+R20</f>
        <v>0</v>
      </c>
      <c r="S21" s="29">
        <f>S18+S19+S20</f>
        <v>0</v>
      </c>
      <c r="T21" s="29">
        <f>T18+T19+T20</f>
        <v>0</v>
      </c>
      <c r="U21" s="29">
        <f>U18+U19+U20</f>
        <v>0</v>
      </c>
      <c r="V21" s="29">
        <f>V18+V19+V20</f>
        <v>0</v>
      </c>
      <c r="W21" s="29">
        <f>W18+W19+W20</f>
        <v>0</v>
      </c>
      <c r="X21" s="29">
        <f>X18+X19+X20</f>
        <v>0</v>
      </c>
      <c r="Y21" s="29">
        <f>Y18+Y19+Y20</f>
        <v>0</v>
      </c>
      <c r="Z21" s="29">
        <f>Z18+Z19+Z20</f>
        <v>0</v>
      </c>
      <c r="AA21" s="29">
        <f>AA18+AA19+AA20</f>
        <v>0</v>
      </c>
      <c r="AB21" s="29">
        <f>AB18+AB19+AB20</f>
        <v>0</v>
      </c>
      <c r="AC21" s="29">
        <f>AC18+AC19+AC20</f>
        <v>0</v>
      </c>
      <c r="AD21" s="29">
        <f>AD18+AD19+AD20</f>
        <v>0</v>
      </c>
      <c r="AE21" s="29">
        <f>AE18+AE19+AE20</f>
        <v>0</v>
      </c>
      <c r="AF21" s="29">
        <f>AF18+AF19+AF20</f>
        <v>0</v>
      </c>
      <c r="AG21" s="29">
        <f>AG18+AG19+AG20</f>
        <v>0</v>
      </c>
      <c r="AH21" s="29">
        <f>AH18+AH19+AH20</f>
        <v>0</v>
      </c>
      <c r="AI21" s="29">
        <f>AI18+AI19+AI20</f>
        <v>0</v>
      </c>
      <c r="AJ21" s="29">
        <f>AJ18+AJ19+AJ20</f>
        <v>0</v>
      </c>
      <c r="AK21" s="29">
        <f>AK18+AK19+AK20</f>
        <v>0</v>
      </c>
      <c r="AL21" s="29">
        <f>AL18+AL19+AL20</f>
        <v>0</v>
      </c>
      <c r="AN21" s="29">
        <f>SUM(C21:E21)</f>
        <v>0</v>
      </c>
      <c r="AO21" s="29">
        <f>SUM(F21:H21)</f>
        <v>0</v>
      </c>
      <c r="AP21" s="29">
        <f>SUM(I21:K21)</f>
        <v>0</v>
      </c>
      <c r="AQ21" s="29">
        <f>SUM(L21:N21)</f>
        <v>0</v>
      </c>
      <c r="AR21" s="29">
        <f>SUM(O21:Q21)</f>
        <v>0</v>
      </c>
      <c r="AS21" s="29">
        <f>SUM(R21:T21)</f>
        <v>0</v>
      </c>
      <c r="AT21" s="29">
        <f>SUM(U21:W21)</f>
        <v>0</v>
      </c>
      <c r="AU21" s="29">
        <f>SUM(X21:Z21)</f>
        <v>0</v>
      </c>
      <c r="AV21" s="29">
        <f>SUM(AA21:AC21)</f>
        <v>0</v>
      </c>
      <c r="AW21" s="29">
        <f>SUM(AD21:AF21)</f>
        <v>0</v>
      </c>
      <c r="AX21" s="29">
        <f>SUM(AG21:AI21)</f>
        <v>0</v>
      </c>
      <c r="AY21" s="29">
        <f>SUM(AJ21:AL21)</f>
        <v>0</v>
      </c>
      <c r="BA21" s="29">
        <f>SUM(C21:N21)</f>
        <v>0</v>
      </c>
      <c r="BB21" s="29">
        <f>SUM(O21:Z21)</f>
        <v>0</v>
      </c>
      <c r="BC21" s="29">
        <f>SUM(AA21:AL21)</f>
        <v>0</v>
      </c>
    </row>
    <row r="22" spans="1:55" ht="5" customHeight="1"/>
    <row r="23" spans="1:55" ht="16" customHeight="1">
      <c r="A23" s="14" t="s">
        <v>228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</row>
    <row r="24" spans="1:55">
      <c r="A24" s="31" t="s">
        <v>229</v>
      </c>
      <c r="B24" s="16"/>
      <c r="C24" s="32">
        <f>C11+C15+C21</f>
        <v>0</v>
      </c>
      <c r="D24" s="32">
        <f>D11+D15+D21</f>
        <v>0</v>
      </c>
      <c r="E24" s="32">
        <f>E11+E15+E21</f>
        <v>0</v>
      </c>
      <c r="F24" s="32">
        <f>F11+F15+F21</f>
        <v>0</v>
      </c>
      <c r="G24" s="32">
        <f>G11+G15+G21</f>
        <v>0</v>
      </c>
      <c r="H24" s="32">
        <f>H11+H15+H21</f>
        <v>0</v>
      </c>
      <c r="I24" s="32">
        <f>I11+I15+I21</f>
        <v>0</v>
      </c>
      <c r="J24" s="32">
        <f>J11+J15+J21</f>
        <v>0</v>
      </c>
      <c r="K24" s="32">
        <f>K11+K15+K21</f>
        <v>0</v>
      </c>
      <c r="L24" s="32">
        <f>L11+L15+L21</f>
        <v>0</v>
      </c>
      <c r="M24" s="32">
        <f>M11+M15+M21</f>
        <v>0</v>
      </c>
      <c r="N24" s="32">
        <f>N11+N15+N21</f>
        <v>0</v>
      </c>
      <c r="O24" s="32">
        <f>O11+O15+O21</f>
        <v>0</v>
      </c>
      <c r="P24" s="32">
        <f>P11+P15+P21</f>
        <v>0</v>
      </c>
      <c r="Q24" s="32">
        <f>Q11+Q15+Q21</f>
        <v>0</v>
      </c>
      <c r="R24" s="32">
        <f>R11+R15+R21</f>
        <v>0</v>
      </c>
      <c r="S24" s="32">
        <f>S11+S15+S21</f>
        <v>0</v>
      </c>
      <c r="T24" s="32">
        <f>T11+T15+T21</f>
        <v>0</v>
      </c>
      <c r="U24" s="32">
        <f>U11+U15+U21</f>
        <v>0</v>
      </c>
      <c r="V24" s="32">
        <f>V11+V15+V21</f>
        <v>0</v>
      </c>
      <c r="W24" s="32">
        <f>W11+W15+W21</f>
        <v>0</v>
      </c>
      <c r="X24" s="32">
        <f>X11+X15+X21</f>
        <v>0</v>
      </c>
      <c r="Y24" s="32">
        <f>Y11+Y15+Y21</f>
        <v>0</v>
      </c>
      <c r="Z24" s="32">
        <f>Z11+Z15+Z21</f>
        <v>0</v>
      </c>
      <c r="AA24" s="32">
        <f>AA11+AA15+AA21</f>
        <v>0</v>
      </c>
      <c r="AB24" s="32">
        <f>AB11+AB15+AB21</f>
        <v>0</v>
      </c>
      <c r="AC24" s="32">
        <f>AC11+AC15+AC21</f>
        <v>0</v>
      </c>
      <c r="AD24" s="32">
        <f>AD11+AD15+AD21</f>
        <v>0</v>
      </c>
      <c r="AE24" s="32">
        <f>AE11+AE15+AE21</f>
        <v>0</v>
      </c>
      <c r="AF24" s="32">
        <f>AF11+AF15+AF21</f>
        <v>0</v>
      </c>
      <c r="AG24" s="32">
        <f>AG11+AG15+AG21</f>
        <v>0</v>
      </c>
      <c r="AH24" s="32">
        <f>AH11+AH15+AH21</f>
        <v>0</v>
      </c>
      <c r="AI24" s="32">
        <f>AI11+AI15+AI21</f>
        <v>0</v>
      </c>
      <c r="AJ24" s="32">
        <f>AJ11+AJ15+AJ21</f>
        <v>0</v>
      </c>
      <c r="AK24" s="32">
        <f>AK11+AK15+AK21</f>
        <v>0</v>
      </c>
      <c r="AL24" s="32">
        <f>AL11+AL15+AL21</f>
        <v>0</v>
      </c>
      <c r="AN24" s="32">
        <f>SUM(C24:E24)</f>
        <v>0</v>
      </c>
      <c r="AO24" s="32">
        <f>SUM(F24:H24)</f>
        <v>0</v>
      </c>
      <c r="AP24" s="32">
        <f>SUM(I24:K24)</f>
        <v>0</v>
      </c>
      <c r="AQ24" s="32">
        <f>SUM(L24:N24)</f>
        <v>0</v>
      </c>
      <c r="AR24" s="32">
        <f>SUM(O24:Q24)</f>
        <v>0</v>
      </c>
      <c r="AS24" s="32">
        <f>SUM(R24:T24)</f>
        <v>0</v>
      </c>
      <c r="AT24" s="32">
        <f>SUM(U24:W24)</f>
        <v>0</v>
      </c>
      <c r="AU24" s="32">
        <f>SUM(X24:Z24)</f>
        <v>0</v>
      </c>
      <c r="AV24" s="32">
        <f>SUM(AA24:AC24)</f>
        <v>0</v>
      </c>
      <c r="AW24" s="32">
        <f>SUM(AD24:AF24)</f>
        <v>0</v>
      </c>
      <c r="AX24" s="32">
        <f>SUM(AG24:AI24)</f>
        <v>0</v>
      </c>
      <c r="AY24" s="32">
        <f>SUM(AJ24:AL24)</f>
        <v>0</v>
      </c>
      <c r="BA24" s="32">
        <f>SUM(C24:N24)</f>
        <v>0</v>
      </c>
      <c r="BB24" s="32">
        <f>SUM(O24:Z24)</f>
        <v>0</v>
      </c>
      <c r="BC24" s="32">
        <f>SUM(AA24:AL24)</f>
        <v>0</v>
      </c>
    </row>
  </sheetData>
  <mergeCells count="9">
    <mergeCell ref="A1:BC1"/>
    <mergeCell ref="A2:BC2"/>
    <mergeCell ref="C5:AL5"/>
    <mergeCell ref="AN5:AY5"/>
    <mergeCell ref="BA5:BC5"/>
    <mergeCell ref="A7:BC7"/>
    <mergeCell ref="A13:BC13"/>
    <mergeCell ref="A17:BC17"/>
    <mergeCell ref="A23:BC23"/>
  </mergeCells>
  <pageMargins left="0.7" right="0.7" top="0.75" bottom="0.75" header="0.3" footer="0.3"/>
  <pageSetup paperSize="9" scale="5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30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231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130</v>
      </c>
      <c r="B5" s="14" t="s">
        <v>131</v>
      </c>
      <c r="C5" s="14" t="s">
        <v>127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128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129</v>
      </c>
      <c r="BB5" s="14"/>
      <c r="BC5" s="14"/>
    </row>
    <row r="6" spans="1:55">
      <c r="A6" s="17"/>
      <c r="B6" s="17"/>
      <c r="C6" s="26">
        <v>46023</v>
      </c>
      <c r="D6" s="26">
        <v>46054</v>
      </c>
      <c r="E6" s="26">
        <v>46082</v>
      </c>
      <c r="F6" s="26">
        <v>46113</v>
      </c>
      <c r="G6" s="26">
        <v>46143</v>
      </c>
      <c r="H6" s="26">
        <v>46174</v>
      </c>
      <c r="I6" s="26">
        <v>46204</v>
      </c>
      <c r="J6" s="26">
        <v>46235</v>
      </c>
      <c r="K6" s="26">
        <v>46266</v>
      </c>
      <c r="L6" s="26">
        <v>46296</v>
      </c>
      <c r="M6" s="26">
        <v>46327</v>
      </c>
      <c r="N6" s="26">
        <v>46357</v>
      </c>
      <c r="O6" s="26">
        <v>46388</v>
      </c>
      <c r="P6" s="26">
        <v>46419</v>
      </c>
      <c r="Q6" s="26">
        <v>46447</v>
      </c>
      <c r="R6" s="26">
        <v>46478</v>
      </c>
      <c r="S6" s="26">
        <v>46508</v>
      </c>
      <c r="T6" s="26">
        <v>46539</v>
      </c>
      <c r="U6" s="26">
        <v>46569</v>
      </c>
      <c r="V6" s="26">
        <v>46600</v>
      </c>
      <c r="W6" s="26">
        <v>46631</v>
      </c>
      <c r="X6" s="26">
        <v>46661</v>
      </c>
      <c r="Y6" s="26">
        <v>46692</v>
      </c>
      <c r="Z6" s="26">
        <v>46722</v>
      </c>
      <c r="AA6" s="26">
        <v>46753</v>
      </c>
      <c r="AB6" s="26">
        <v>46784</v>
      </c>
      <c r="AC6" s="26">
        <v>46813</v>
      </c>
      <c r="AD6" s="26">
        <v>46844</v>
      </c>
      <c r="AE6" s="26">
        <v>46874</v>
      </c>
      <c r="AF6" s="26">
        <v>46905</v>
      </c>
      <c r="AG6" s="26">
        <v>46935</v>
      </c>
      <c r="AH6" s="26">
        <v>46966</v>
      </c>
      <c r="AI6" s="26">
        <v>46997</v>
      </c>
      <c r="AJ6" s="26">
        <v>47027</v>
      </c>
      <c r="AK6" s="26">
        <v>47058</v>
      </c>
      <c r="AL6" s="26">
        <v>47088</v>
      </c>
      <c r="AN6" s="17" t="s">
        <v>132</v>
      </c>
      <c r="AO6" s="17" t="s">
        <v>133</v>
      </c>
      <c r="AP6" s="17" t="s">
        <v>134</v>
      </c>
      <c r="AQ6" s="17" t="s">
        <v>135</v>
      </c>
      <c r="AR6" s="17" t="s">
        <v>136</v>
      </c>
      <c r="AS6" s="17" t="s">
        <v>137</v>
      </c>
      <c r="AT6" s="17" t="s">
        <v>138</v>
      </c>
      <c r="AU6" s="17" t="s">
        <v>139</v>
      </c>
      <c r="AV6" s="17" t="s">
        <v>140</v>
      </c>
      <c r="AW6" s="17" t="s">
        <v>141</v>
      </c>
      <c r="AX6" s="17" t="s">
        <v>142</v>
      </c>
      <c r="AY6" s="17" t="s">
        <v>143</v>
      </c>
      <c r="BA6" s="17" t="s">
        <v>144</v>
      </c>
      <c r="BB6" s="17" t="s">
        <v>145</v>
      </c>
      <c r="BC6" s="17" t="s">
        <v>146</v>
      </c>
    </row>
    <row r="7" spans="1:55" ht="16" customHeight="1">
      <c r="A7" s="14" t="s">
        <v>232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233</v>
      </c>
      <c r="B8" s="16" t="s">
        <v>234</v>
      </c>
      <c r="C8" s="20">
        <f>'Revenue'!C27*'Assumptions'!$F$61/30</f>
        <v>0</v>
      </c>
      <c r="D8" s="20">
        <f>'Revenue'!D27*'Assumptions'!$F$61/30</f>
        <v>0</v>
      </c>
      <c r="E8" s="20">
        <f>'Revenue'!E27*'Assumptions'!$F$61/30</f>
        <v>0</v>
      </c>
      <c r="F8" s="20">
        <f>'Revenue'!F27*'Assumptions'!$F$61/30</f>
        <v>0</v>
      </c>
      <c r="G8" s="20">
        <f>'Revenue'!G27*'Assumptions'!$F$61/30</f>
        <v>0</v>
      </c>
      <c r="H8" s="20">
        <f>'Revenue'!H27*'Assumptions'!$F$61/30</f>
        <v>0</v>
      </c>
      <c r="I8" s="20">
        <f>'Revenue'!I27*'Assumptions'!$F$61/30</f>
        <v>0</v>
      </c>
      <c r="J8" s="20">
        <f>'Revenue'!J27*'Assumptions'!$F$61/30</f>
        <v>0</v>
      </c>
      <c r="K8" s="20">
        <f>'Revenue'!K27*'Assumptions'!$F$61/30</f>
        <v>0</v>
      </c>
      <c r="L8" s="20">
        <f>'Revenue'!L27*'Assumptions'!$F$61/30</f>
        <v>0</v>
      </c>
      <c r="M8" s="20">
        <f>'Revenue'!M27*'Assumptions'!$F$61/30</f>
        <v>0</v>
      </c>
      <c r="N8" s="20">
        <f>'Revenue'!N27*'Assumptions'!$F$61/30</f>
        <v>0</v>
      </c>
      <c r="O8" s="20">
        <f>'Revenue'!O27*'Assumptions'!$F$61/30</f>
        <v>0</v>
      </c>
      <c r="P8" s="20">
        <f>'Revenue'!P27*'Assumptions'!$F$61/30</f>
        <v>0</v>
      </c>
      <c r="Q8" s="20">
        <f>'Revenue'!Q27*'Assumptions'!$F$61/30</f>
        <v>0</v>
      </c>
      <c r="R8" s="20">
        <f>'Revenue'!R27*'Assumptions'!$F$61/30</f>
        <v>0</v>
      </c>
      <c r="S8" s="20">
        <f>'Revenue'!S27*'Assumptions'!$F$61/30</f>
        <v>0</v>
      </c>
      <c r="T8" s="20">
        <f>'Revenue'!T27*'Assumptions'!$F$61/30</f>
        <v>0</v>
      </c>
      <c r="U8" s="20">
        <f>'Revenue'!U27*'Assumptions'!$F$61/30</f>
        <v>0</v>
      </c>
      <c r="V8" s="20">
        <f>'Revenue'!V27*'Assumptions'!$F$61/30</f>
        <v>0</v>
      </c>
      <c r="W8" s="20">
        <f>'Revenue'!W27*'Assumptions'!$F$61/30</f>
        <v>0</v>
      </c>
      <c r="X8" s="20">
        <f>'Revenue'!X27*'Assumptions'!$F$61/30</f>
        <v>0</v>
      </c>
      <c r="Y8" s="20">
        <f>'Revenue'!Y27*'Assumptions'!$F$61/30</f>
        <v>0</v>
      </c>
      <c r="Z8" s="20">
        <f>'Revenue'!Z27*'Assumptions'!$F$61/30</f>
        <v>0</v>
      </c>
      <c r="AA8" s="20">
        <f>'Revenue'!AA27*'Assumptions'!$F$61/30</f>
        <v>0</v>
      </c>
      <c r="AB8" s="20">
        <f>'Revenue'!AB27*'Assumptions'!$F$61/30</f>
        <v>0</v>
      </c>
      <c r="AC8" s="20">
        <f>'Revenue'!AC27*'Assumptions'!$F$61/30</f>
        <v>0</v>
      </c>
      <c r="AD8" s="20">
        <f>'Revenue'!AD27*'Assumptions'!$F$61/30</f>
        <v>0</v>
      </c>
      <c r="AE8" s="20">
        <f>'Revenue'!AE27*'Assumptions'!$F$61/30</f>
        <v>0</v>
      </c>
      <c r="AF8" s="20">
        <f>'Revenue'!AF27*'Assumptions'!$F$61/30</f>
        <v>0</v>
      </c>
      <c r="AG8" s="20">
        <f>'Revenue'!AG27*'Assumptions'!$F$61/30</f>
        <v>0</v>
      </c>
      <c r="AH8" s="20">
        <f>'Revenue'!AH27*'Assumptions'!$F$61/30</f>
        <v>0</v>
      </c>
      <c r="AI8" s="20">
        <f>'Revenue'!AI27*'Assumptions'!$F$61/30</f>
        <v>0</v>
      </c>
      <c r="AJ8" s="20">
        <f>'Revenue'!AJ27*'Assumptions'!$F$61/30</f>
        <v>0</v>
      </c>
      <c r="AK8" s="20">
        <f>'Revenue'!AK27*'Assumptions'!$F$61/30</f>
        <v>0</v>
      </c>
      <c r="AL8" s="20">
        <f>'Revenue'!AL27*'Assumptions'!$F$61/30</f>
        <v>0</v>
      </c>
      <c r="AN8" s="20">
        <f>E8</f>
        <v>0</v>
      </c>
      <c r="AO8" s="20">
        <f>H8</f>
        <v>0</v>
      </c>
      <c r="AP8" s="20">
        <f>K8</f>
        <v>0</v>
      </c>
      <c r="AQ8" s="20">
        <f>N8</f>
        <v>0</v>
      </c>
      <c r="AR8" s="20">
        <f>Q8</f>
        <v>0</v>
      </c>
      <c r="AS8" s="20">
        <f>T8</f>
        <v>0</v>
      </c>
      <c r="AT8" s="20">
        <f>W8</f>
        <v>0</v>
      </c>
      <c r="AU8" s="20">
        <f>Z8</f>
        <v>0</v>
      </c>
      <c r="AV8" s="20">
        <f>AC8</f>
        <v>0</v>
      </c>
      <c r="AW8" s="20">
        <f>AF8</f>
        <v>0</v>
      </c>
      <c r="AX8" s="20">
        <f>AI8</f>
        <v>0</v>
      </c>
      <c r="AY8" s="20">
        <f>AL8</f>
        <v>0</v>
      </c>
      <c r="BA8" s="20">
        <f>N8</f>
        <v>0</v>
      </c>
      <c r="BB8" s="20">
        <f>Z8</f>
        <v>0</v>
      </c>
      <c r="BC8" s="20">
        <f>AL8</f>
        <v>0</v>
      </c>
    </row>
    <row r="9" spans="1:55">
      <c r="A9" s="18" t="s">
        <v>235</v>
      </c>
      <c r="B9" s="16" t="s">
        <v>236</v>
      </c>
      <c r="C9" s="20">
        <f>('COGS &amp; GM'!C12+'Opex'!C24)*'Assumptions'!$F$62/30</f>
        <v>0</v>
      </c>
      <c r="D9" s="20">
        <f>('COGS &amp; GM'!D12+'Opex'!D24)*'Assumptions'!$F$62/30</f>
        <v>0</v>
      </c>
      <c r="E9" s="20">
        <f>('COGS &amp; GM'!E12+'Opex'!E24)*'Assumptions'!$F$62/30</f>
        <v>0</v>
      </c>
      <c r="F9" s="20">
        <f>('COGS &amp; GM'!F12+'Opex'!F24)*'Assumptions'!$F$62/30</f>
        <v>0</v>
      </c>
      <c r="G9" s="20">
        <f>('COGS &amp; GM'!G12+'Opex'!G24)*'Assumptions'!$F$62/30</f>
        <v>0</v>
      </c>
      <c r="H9" s="20">
        <f>('COGS &amp; GM'!H12+'Opex'!H24)*'Assumptions'!$F$62/30</f>
        <v>0</v>
      </c>
      <c r="I9" s="20">
        <f>('COGS &amp; GM'!I12+'Opex'!I24)*'Assumptions'!$F$62/30</f>
        <v>0</v>
      </c>
      <c r="J9" s="20">
        <f>('COGS &amp; GM'!J12+'Opex'!J24)*'Assumptions'!$F$62/30</f>
        <v>0</v>
      </c>
      <c r="K9" s="20">
        <f>('COGS &amp; GM'!K12+'Opex'!K24)*'Assumptions'!$F$62/30</f>
        <v>0</v>
      </c>
      <c r="L9" s="20">
        <f>('COGS &amp; GM'!L12+'Opex'!L24)*'Assumptions'!$F$62/30</f>
        <v>0</v>
      </c>
      <c r="M9" s="20">
        <f>('COGS &amp; GM'!M12+'Opex'!M24)*'Assumptions'!$F$62/30</f>
        <v>0</v>
      </c>
      <c r="N9" s="20">
        <f>('COGS &amp; GM'!N12+'Opex'!N24)*'Assumptions'!$F$62/30</f>
        <v>0</v>
      </c>
      <c r="O9" s="20">
        <f>('COGS &amp; GM'!O12+'Opex'!O24)*'Assumptions'!$F$62/30</f>
        <v>0</v>
      </c>
      <c r="P9" s="20">
        <f>('COGS &amp; GM'!P12+'Opex'!P24)*'Assumptions'!$F$62/30</f>
        <v>0</v>
      </c>
      <c r="Q9" s="20">
        <f>('COGS &amp; GM'!Q12+'Opex'!Q24)*'Assumptions'!$F$62/30</f>
        <v>0</v>
      </c>
      <c r="R9" s="20">
        <f>('COGS &amp; GM'!R12+'Opex'!R24)*'Assumptions'!$F$62/30</f>
        <v>0</v>
      </c>
      <c r="S9" s="20">
        <f>('COGS &amp; GM'!S12+'Opex'!S24)*'Assumptions'!$F$62/30</f>
        <v>0</v>
      </c>
      <c r="T9" s="20">
        <f>('COGS &amp; GM'!T12+'Opex'!T24)*'Assumptions'!$F$62/30</f>
        <v>0</v>
      </c>
      <c r="U9" s="20">
        <f>('COGS &amp; GM'!U12+'Opex'!U24)*'Assumptions'!$F$62/30</f>
        <v>0</v>
      </c>
      <c r="V9" s="20">
        <f>('COGS &amp; GM'!V12+'Opex'!V24)*'Assumptions'!$F$62/30</f>
        <v>0</v>
      </c>
      <c r="W9" s="20">
        <f>('COGS &amp; GM'!W12+'Opex'!W24)*'Assumptions'!$F$62/30</f>
        <v>0</v>
      </c>
      <c r="X9" s="20">
        <f>('COGS &amp; GM'!X12+'Opex'!X24)*'Assumptions'!$F$62/30</f>
        <v>0</v>
      </c>
      <c r="Y9" s="20">
        <f>('COGS &amp; GM'!Y12+'Opex'!Y24)*'Assumptions'!$F$62/30</f>
        <v>0</v>
      </c>
      <c r="Z9" s="20">
        <f>('COGS &amp; GM'!Z12+'Opex'!Z24)*'Assumptions'!$F$62/30</f>
        <v>0</v>
      </c>
      <c r="AA9" s="20">
        <f>('COGS &amp; GM'!AA12+'Opex'!AA24)*'Assumptions'!$F$62/30</f>
        <v>0</v>
      </c>
      <c r="AB9" s="20">
        <f>('COGS &amp; GM'!AB12+'Opex'!AB24)*'Assumptions'!$F$62/30</f>
        <v>0</v>
      </c>
      <c r="AC9" s="20">
        <f>('COGS &amp; GM'!AC12+'Opex'!AC24)*'Assumptions'!$F$62/30</f>
        <v>0</v>
      </c>
      <c r="AD9" s="20">
        <f>('COGS &amp; GM'!AD12+'Opex'!AD24)*'Assumptions'!$F$62/30</f>
        <v>0</v>
      </c>
      <c r="AE9" s="20">
        <f>('COGS &amp; GM'!AE12+'Opex'!AE24)*'Assumptions'!$F$62/30</f>
        <v>0</v>
      </c>
      <c r="AF9" s="20">
        <f>('COGS &amp; GM'!AF12+'Opex'!AF24)*'Assumptions'!$F$62/30</f>
        <v>0</v>
      </c>
      <c r="AG9" s="20">
        <f>('COGS &amp; GM'!AG12+'Opex'!AG24)*'Assumptions'!$F$62/30</f>
        <v>0</v>
      </c>
      <c r="AH9" s="20">
        <f>('COGS &amp; GM'!AH12+'Opex'!AH24)*'Assumptions'!$F$62/30</f>
        <v>0</v>
      </c>
      <c r="AI9" s="20">
        <f>('COGS &amp; GM'!AI12+'Opex'!AI24)*'Assumptions'!$F$62/30</f>
        <v>0</v>
      </c>
      <c r="AJ9" s="20">
        <f>('COGS &amp; GM'!AJ12+'Opex'!AJ24)*'Assumptions'!$F$62/30</f>
        <v>0</v>
      </c>
      <c r="AK9" s="20">
        <f>('COGS &amp; GM'!AK12+'Opex'!AK24)*'Assumptions'!$F$62/30</f>
        <v>0</v>
      </c>
      <c r="AL9" s="20">
        <f>('COGS &amp; GM'!AL12+'Opex'!AL24)*'Assumptions'!$F$62/30</f>
        <v>0</v>
      </c>
      <c r="AN9" s="20">
        <f>E9</f>
        <v>0</v>
      </c>
      <c r="AO9" s="20">
        <f>H9</f>
        <v>0</v>
      </c>
      <c r="AP9" s="20">
        <f>K9</f>
        <v>0</v>
      </c>
      <c r="AQ9" s="20">
        <f>N9</f>
        <v>0</v>
      </c>
      <c r="AR9" s="20">
        <f>Q9</f>
        <v>0</v>
      </c>
      <c r="AS9" s="20">
        <f>T9</f>
        <v>0</v>
      </c>
      <c r="AT9" s="20">
        <f>W9</f>
        <v>0</v>
      </c>
      <c r="AU9" s="20">
        <f>Z9</f>
        <v>0</v>
      </c>
      <c r="AV9" s="20">
        <f>AC9</f>
        <v>0</v>
      </c>
      <c r="AW9" s="20">
        <f>AF9</f>
        <v>0</v>
      </c>
      <c r="AX9" s="20">
        <f>AI9</f>
        <v>0</v>
      </c>
      <c r="AY9" s="20">
        <f>AL9</f>
        <v>0</v>
      </c>
      <c r="BA9" s="20">
        <f>N9</f>
        <v>0</v>
      </c>
      <c r="BB9" s="20">
        <f>Z9</f>
        <v>0</v>
      </c>
      <c r="BC9" s="20">
        <f>AL9</f>
        <v>0</v>
      </c>
    </row>
    <row r="10" spans="1:55">
      <c r="A10" s="18" t="s">
        <v>237</v>
      </c>
      <c r="B10" s="16" t="s">
        <v>238</v>
      </c>
      <c r="C10" s="20">
        <f>'Revenue'!C27*'Assumptions'!$F$63</f>
        <v>0</v>
      </c>
      <c r="D10" s="20">
        <f>'Revenue'!D27*'Assumptions'!$F$63</f>
        <v>0</v>
      </c>
      <c r="E10" s="20">
        <f>'Revenue'!E27*'Assumptions'!$F$63</f>
        <v>0</v>
      </c>
      <c r="F10" s="20">
        <f>'Revenue'!F27*'Assumptions'!$F$63</f>
        <v>0</v>
      </c>
      <c r="G10" s="20">
        <f>'Revenue'!G27*'Assumptions'!$F$63</f>
        <v>0</v>
      </c>
      <c r="H10" s="20">
        <f>'Revenue'!H27*'Assumptions'!$F$63</f>
        <v>0</v>
      </c>
      <c r="I10" s="20">
        <f>'Revenue'!I27*'Assumptions'!$F$63</f>
        <v>0</v>
      </c>
      <c r="J10" s="20">
        <f>'Revenue'!J27*'Assumptions'!$F$63</f>
        <v>0</v>
      </c>
      <c r="K10" s="20">
        <f>'Revenue'!K27*'Assumptions'!$F$63</f>
        <v>0</v>
      </c>
      <c r="L10" s="20">
        <f>'Revenue'!L27*'Assumptions'!$F$63</f>
        <v>0</v>
      </c>
      <c r="M10" s="20">
        <f>'Revenue'!M27*'Assumptions'!$F$63</f>
        <v>0</v>
      </c>
      <c r="N10" s="20">
        <f>'Revenue'!N27*'Assumptions'!$F$63</f>
        <v>0</v>
      </c>
      <c r="O10" s="20">
        <f>'Revenue'!O27*'Assumptions'!$F$63</f>
        <v>0</v>
      </c>
      <c r="P10" s="20">
        <f>'Revenue'!P27*'Assumptions'!$F$63</f>
        <v>0</v>
      </c>
      <c r="Q10" s="20">
        <f>'Revenue'!Q27*'Assumptions'!$F$63</f>
        <v>0</v>
      </c>
      <c r="R10" s="20">
        <f>'Revenue'!R27*'Assumptions'!$F$63</f>
        <v>0</v>
      </c>
      <c r="S10" s="20">
        <f>'Revenue'!S27*'Assumptions'!$F$63</f>
        <v>0</v>
      </c>
      <c r="T10" s="20">
        <f>'Revenue'!T27*'Assumptions'!$F$63</f>
        <v>0</v>
      </c>
      <c r="U10" s="20">
        <f>'Revenue'!U27*'Assumptions'!$F$63</f>
        <v>0</v>
      </c>
      <c r="V10" s="20">
        <f>'Revenue'!V27*'Assumptions'!$F$63</f>
        <v>0</v>
      </c>
      <c r="W10" s="20">
        <f>'Revenue'!W27*'Assumptions'!$F$63</f>
        <v>0</v>
      </c>
      <c r="X10" s="20">
        <f>'Revenue'!X27*'Assumptions'!$F$63</f>
        <v>0</v>
      </c>
      <c r="Y10" s="20">
        <f>'Revenue'!Y27*'Assumptions'!$F$63</f>
        <v>0</v>
      </c>
      <c r="Z10" s="20">
        <f>'Revenue'!Z27*'Assumptions'!$F$63</f>
        <v>0</v>
      </c>
      <c r="AA10" s="20">
        <f>'Revenue'!AA27*'Assumptions'!$F$63</f>
        <v>0</v>
      </c>
      <c r="AB10" s="20">
        <f>'Revenue'!AB27*'Assumptions'!$F$63</f>
        <v>0</v>
      </c>
      <c r="AC10" s="20">
        <f>'Revenue'!AC27*'Assumptions'!$F$63</f>
        <v>0</v>
      </c>
      <c r="AD10" s="20">
        <f>'Revenue'!AD27*'Assumptions'!$F$63</f>
        <v>0</v>
      </c>
      <c r="AE10" s="20">
        <f>'Revenue'!AE27*'Assumptions'!$F$63</f>
        <v>0</v>
      </c>
      <c r="AF10" s="20">
        <f>'Revenue'!AF27*'Assumptions'!$F$63</f>
        <v>0</v>
      </c>
      <c r="AG10" s="20">
        <f>'Revenue'!AG27*'Assumptions'!$F$63</f>
        <v>0</v>
      </c>
      <c r="AH10" s="20">
        <f>'Revenue'!AH27*'Assumptions'!$F$63</f>
        <v>0</v>
      </c>
      <c r="AI10" s="20">
        <f>'Revenue'!AI27*'Assumptions'!$F$63</f>
        <v>0</v>
      </c>
      <c r="AJ10" s="20">
        <f>'Revenue'!AJ27*'Assumptions'!$F$63</f>
        <v>0</v>
      </c>
      <c r="AK10" s="20">
        <f>'Revenue'!AK27*'Assumptions'!$F$63</f>
        <v>0</v>
      </c>
      <c r="AL10" s="20">
        <f>'Revenue'!AL27*'Assumptions'!$F$63</f>
        <v>0</v>
      </c>
      <c r="AN10" s="20">
        <f>E10</f>
        <v>0</v>
      </c>
      <c r="AO10" s="20">
        <f>H10</f>
        <v>0</v>
      </c>
      <c r="AP10" s="20">
        <f>K10</f>
        <v>0</v>
      </c>
      <c r="AQ10" s="20">
        <f>N10</f>
        <v>0</v>
      </c>
      <c r="AR10" s="20">
        <f>Q10</f>
        <v>0</v>
      </c>
      <c r="AS10" s="20">
        <f>T10</f>
        <v>0</v>
      </c>
      <c r="AT10" s="20">
        <f>W10</f>
        <v>0</v>
      </c>
      <c r="AU10" s="20">
        <f>Z10</f>
        <v>0</v>
      </c>
      <c r="AV10" s="20">
        <f>AC10</f>
        <v>0</v>
      </c>
      <c r="AW10" s="20">
        <f>AF10</f>
        <v>0</v>
      </c>
      <c r="AX10" s="20">
        <f>AI10</f>
        <v>0</v>
      </c>
      <c r="AY10" s="20">
        <f>AL10</f>
        <v>0</v>
      </c>
      <c r="BA10" s="20">
        <f>N10</f>
        <v>0</v>
      </c>
      <c r="BB10" s="20">
        <f>Z10</f>
        <v>0</v>
      </c>
      <c r="BC10" s="20">
        <f>AL10</f>
        <v>0</v>
      </c>
    </row>
    <row r="11" spans="1:55">
      <c r="A11" s="18" t="s">
        <v>239</v>
      </c>
      <c r="B11" s="16" t="s">
        <v>240</v>
      </c>
      <c r="C11" s="20">
        <f>'Revenue'!C27*'Assumptions'!$F$66</f>
        <v>0</v>
      </c>
      <c r="D11" s="20">
        <f>'Revenue'!D27*'Assumptions'!$F$66</f>
        <v>0</v>
      </c>
      <c r="E11" s="20">
        <f>'Revenue'!E27*'Assumptions'!$F$66</f>
        <v>0</v>
      </c>
      <c r="F11" s="20">
        <f>'Revenue'!F27*'Assumptions'!$F$66</f>
        <v>0</v>
      </c>
      <c r="G11" s="20">
        <f>'Revenue'!G27*'Assumptions'!$F$66</f>
        <v>0</v>
      </c>
      <c r="H11" s="20">
        <f>'Revenue'!H27*'Assumptions'!$F$66</f>
        <v>0</v>
      </c>
      <c r="I11" s="20">
        <f>'Revenue'!I27*'Assumptions'!$F$66</f>
        <v>0</v>
      </c>
      <c r="J11" s="20">
        <f>'Revenue'!J27*'Assumptions'!$F$66</f>
        <v>0</v>
      </c>
      <c r="K11" s="20">
        <f>'Revenue'!K27*'Assumptions'!$F$66</f>
        <v>0</v>
      </c>
      <c r="L11" s="20">
        <f>'Revenue'!L27*'Assumptions'!$F$66</f>
        <v>0</v>
      </c>
      <c r="M11" s="20">
        <f>'Revenue'!M27*'Assumptions'!$F$66</f>
        <v>0</v>
      </c>
      <c r="N11" s="20">
        <f>'Revenue'!N27*'Assumptions'!$F$66</f>
        <v>0</v>
      </c>
      <c r="O11" s="20">
        <f>'Revenue'!O27*'Assumptions'!$F$66</f>
        <v>0</v>
      </c>
      <c r="P11" s="20">
        <f>'Revenue'!P27*'Assumptions'!$F$66</f>
        <v>0</v>
      </c>
      <c r="Q11" s="20">
        <f>'Revenue'!Q27*'Assumptions'!$F$66</f>
        <v>0</v>
      </c>
      <c r="R11" s="20">
        <f>'Revenue'!R27*'Assumptions'!$F$66</f>
        <v>0</v>
      </c>
      <c r="S11" s="20">
        <f>'Revenue'!S27*'Assumptions'!$F$66</f>
        <v>0</v>
      </c>
      <c r="T11" s="20">
        <f>'Revenue'!T27*'Assumptions'!$F$66</f>
        <v>0</v>
      </c>
      <c r="U11" s="20">
        <f>'Revenue'!U27*'Assumptions'!$F$66</f>
        <v>0</v>
      </c>
      <c r="V11" s="20">
        <f>'Revenue'!V27*'Assumptions'!$F$66</f>
        <v>0</v>
      </c>
      <c r="W11" s="20">
        <f>'Revenue'!W27*'Assumptions'!$F$66</f>
        <v>0</v>
      </c>
      <c r="X11" s="20">
        <f>'Revenue'!X27*'Assumptions'!$F$66</f>
        <v>0</v>
      </c>
      <c r="Y11" s="20">
        <f>'Revenue'!Y27*'Assumptions'!$F$66</f>
        <v>0</v>
      </c>
      <c r="Z11" s="20">
        <f>'Revenue'!Z27*'Assumptions'!$F$66</f>
        <v>0</v>
      </c>
      <c r="AA11" s="20">
        <f>'Revenue'!AA27*'Assumptions'!$F$66</f>
        <v>0</v>
      </c>
      <c r="AB11" s="20">
        <f>'Revenue'!AB27*'Assumptions'!$F$66</f>
        <v>0</v>
      </c>
      <c r="AC11" s="20">
        <f>'Revenue'!AC27*'Assumptions'!$F$66</f>
        <v>0</v>
      </c>
      <c r="AD11" s="20">
        <f>'Revenue'!AD27*'Assumptions'!$F$66</f>
        <v>0</v>
      </c>
      <c r="AE11" s="20">
        <f>'Revenue'!AE27*'Assumptions'!$F$66</f>
        <v>0</v>
      </c>
      <c r="AF11" s="20">
        <f>'Revenue'!AF27*'Assumptions'!$F$66</f>
        <v>0</v>
      </c>
      <c r="AG11" s="20">
        <f>'Revenue'!AG27*'Assumptions'!$F$66</f>
        <v>0</v>
      </c>
      <c r="AH11" s="20">
        <f>'Revenue'!AH27*'Assumptions'!$F$66</f>
        <v>0</v>
      </c>
      <c r="AI11" s="20">
        <f>'Revenue'!AI27*'Assumptions'!$F$66</f>
        <v>0</v>
      </c>
      <c r="AJ11" s="20">
        <f>'Revenue'!AJ27*'Assumptions'!$F$66</f>
        <v>0</v>
      </c>
      <c r="AK11" s="20">
        <f>'Revenue'!AK27*'Assumptions'!$F$66</f>
        <v>0</v>
      </c>
      <c r="AL11" s="20">
        <f>'Revenue'!AL27*'Assumptions'!$F$66</f>
        <v>0</v>
      </c>
      <c r="AN11" s="20">
        <f>E11</f>
        <v>0</v>
      </c>
      <c r="AO11" s="20">
        <f>H11</f>
        <v>0</v>
      </c>
      <c r="AP11" s="20">
        <f>K11</f>
        <v>0</v>
      </c>
      <c r="AQ11" s="20">
        <f>N11</f>
        <v>0</v>
      </c>
      <c r="AR11" s="20">
        <f>Q11</f>
        <v>0</v>
      </c>
      <c r="AS11" s="20">
        <f>T11</f>
        <v>0</v>
      </c>
      <c r="AT11" s="20">
        <f>W11</f>
        <v>0</v>
      </c>
      <c r="AU11" s="20">
        <f>Z11</f>
        <v>0</v>
      </c>
      <c r="AV11" s="20">
        <f>AC11</f>
        <v>0</v>
      </c>
      <c r="AW11" s="20">
        <f>AF11</f>
        <v>0</v>
      </c>
      <c r="AX11" s="20">
        <f>AI11</f>
        <v>0</v>
      </c>
      <c r="AY11" s="20">
        <f>AL11</f>
        <v>0</v>
      </c>
      <c r="BA11" s="20">
        <f>N11</f>
        <v>0</v>
      </c>
      <c r="BB11" s="20">
        <f>Z11</f>
        <v>0</v>
      </c>
      <c r="BC11" s="20">
        <f>AL11</f>
        <v>0</v>
      </c>
    </row>
    <row r="12" spans="1:55">
      <c r="A12" s="18" t="s">
        <v>241</v>
      </c>
      <c r="B12" s="16"/>
      <c r="C12" s="20">
        <f>C8</f>
        <v>0</v>
      </c>
      <c r="D12" s="20">
        <f>D8-C8</f>
        <v>0</v>
      </c>
      <c r="E12" s="20">
        <f>E8-D8</f>
        <v>0</v>
      </c>
      <c r="F12" s="20">
        <f>F8-E8</f>
        <v>0</v>
      </c>
      <c r="G12" s="20">
        <f>G8-F8</f>
        <v>0</v>
      </c>
      <c r="H12" s="20">
        <f>H8-G8</f>
        <v>0</v>
      </c>
      <c r="I12" s="20">
        <f>I8-H8</f>
        <v>0</v>
      </c>
      <c r="J12" s="20">
        <f>J8-I8</f>
        <v>0</v>
      </c>
      <c r="K12" s="20">
        <f>K8-J8</f>
        <v>0</v>
      </c>
      <c r="L12" s="20">
        <f>L8-K8</f>
        <v>0</v>
      </c>
      <c r="M12" s="20">
        <f>M8-L8</f>
        <v>0</v>
      </c>
      <c r="N12" s="20">
        <f>N8-M8</f>
        <v>0</v>
      </c>
      <c r="O12" s="20">
        <f>O8-N8</f>
        <v>0</v>
      </c>
      <c r="P12" s="20">
        <f>P8-O8</f>
        <v>0</v>
      </c>
      <c r="Q12" s="20">
        <f>Q8-P8</f>
        <v>0</v>
      </c>
      <c r="R12" s="20">
        <f>R8-Q8</f>
        <v>0</v>
      </c>
      <c r="S12" s="20">
        <f>S8-R8</f>
        <v>0</v>
      </c>
      <c r="T12" s="20">
        <f>T8-S8</f>
        <v>0</v>
      </c>
      <c r="U12" s="20">
        <f>U8-T8</f>
        <v>0</v>
      </c>
      <c r="V12" s="20">
        <f>V8-U8</f>
        <v>0</v>
      </c>
      <c r="W12" s="20">
        <f>W8-V8</f>
        <v>0</v>
      </c>
      <c r="X12" s="20">
        <f>X8-W8</f>
        <v>0</v>
      </c>
      <c r="Y12" s="20">
        <f>Y8-X8</f>
        <v>0</v>
      </c>
      <c r="Z12" s="20">
        <f>Z8-Y8</f>
        <v>0</v>
      </c>
      <c r="AA12" s="20">
        <f>AA8-Z8</f>
        <v>0</v>
      </c>
      <c r="AB12" s="20">
        <f>AB8-AA8</f>
        <v>0</v>
      </c>
      <c r="AC12" s="20">
        <f>AC8-AB8</f>
        <v>0</v>
      </c>
      <c r="AD12" s="20">
        <f>AD8-AC8</f>
        <v>0</v>
      </c>
      <c r="AE12" s="20">
        <f>AE8-AD8</f>
        <v>0</v>
      </c>
      <c r="AF12" s="20">
        <f>AF8-AE8</f>
        <v>0</v>
      </c>
      <c r="AG12" s="20">
        <f>AG8-AF8</f>
        <v>0</v>
      </c>
      <c r="AH12" s="20">
        <f>AH8-AG8</f>
        <v>0</v>
      </c>
      <c r="AI12" s="20">
        <f>AI8-AH8</f>
        <v>0</v>
      </c>
      <c r="AJ12" s="20">
        <f>AJ8-AI8</f>
        <v>0</v>
      </c>
      <c r="AK12" s="20">
        <f>AK8-AJ8</f>
        <v>0</v>
      </c>
      <c r="AL12" s="20">
        <f>AL8-AK8</f>
        <v>0</v>
      </c>
      <c r="AN12" s="20">
        <f>SUM(C12:E12)</f>
        <v>0</v>
      </c>
      <c r="AO12" s="20">
        <f>SUM(F12:H12)</f>
        <v>0</v>
      </c>
      <c r="AP12" s="20">
        <f>SUM(I12:K12)</f>
        <v>0</v>
      </c>
      <c r="AQ12" s="20">
        <f>SUM(L12:N12)</f>
        <v>0</v>
      </c>
      <c r="AR12" s="20">
        <f>SUM(O12:Q12)</f>
        <v>0</v>
      </c>
      <c r="AS12" s="20">
        <f>SUM(R12:T12)</f>
        <v>0</v>
      </c>
      <c r="AT12" s="20">
        <f>SUM(U12:W12)</f>
        <v>0</v>
      </c>
      <c r="AU12" s="20">
        <f>SUM(X12:Z12)</f>
        <v>0</v>
      </c>
      <c r="AV12" s="20">
        <f>SUM(AA12:AC12)</f>
        <v>0</v>
      </c>
      <c r="AW12" s="20">
        <f>SUM(AD12:AF12)</f>
        <v>0</v>
      </c>
      <c r="AX12" s="20">
        <f>SUM(AG12:AI12)</f>
        <v>0</v>
      </c>
      <c r="AY12" s="20">
        <f>SUM(AJ12:AL12)</f>
        <v>0</v>
      </c>
      <c r="BA12" s="20">
        <f>SUM(C12:N12)</f>
        <v>0</v>
      </c>
      <c r="BB12" s="20">
        <f>SUM(O12:Z12)</f>
        <v>0</v>
      </c>
      <c r="BC12" s="20">
        <f>SUM(AA12:AL12)</f>
        <v>0</v>
      </c>
    </row>
    <row r="13" spans="1:55">
      <c r="A13" s="18" t="s">
        <v>242</v>
      </c>
      <c r="B13" s="16"/>
      <c r="C13" s="20">
        <f>C9</f>
        <v>0</v>
      </c>
      <c r="D13" s="20">
        <f>D9-C9</f>
        <v>0</v>
      </c>
      <c r="E13" s="20">
        <f>E9-D9</f>
        <v>0</v>
      </c>
      <c r="F13" s="20">
        <f>F9-E9</f>
        <v>0</v>
      </c>
      <c r="G13" s="20">
        <f>G9-F9</f>
        <v>0</v>
      </c>
      <c r="H13" s="20">
        <f>H9-G9</f>
        <v>0</v>
      </c>
      <c r="I13" s="20">
        <f>I9-H9</f>
        <v>0</v>
      </c>
      <c r="J13" s="20">
        <f>J9-I9</f>
        <v>0</v>
      </c>
      <c r="K13" s="20">
        <f>K9-J9</f>
        <v>0</v>
      </c>
      <c r="L13" s="20">
        <f>L9-K9</f>
        <v>0</v>
      </c>
      <c r="M13" s="20">
        <f>M9-L9</f>
        <v>0</v>
      </c>
      <c r="N13" s="20">
        <f>N9-M9</f>
        <v>0</v>
      </c>
      <c r="O13" s="20">
        <f>O9-N9</f>
        <v>0</v>
      </c>
      <c r="P13" s="20">
        <f>P9-O9</f>
        <v>0</v>
      </c>
      <c r="Q13" s="20">
        <f>Q9-P9</f>
        <v>0</v>
      </c>
      <c r="R13" s="20">
        <f>R9-Q9</f>
        <v>0</v>
      </c>
      <c r="S13" s="20">
        <f>S9-R9</f>
        <v>0</v>
      </c>
      <c r="T13" s="20">
        <f>T9-S9</f>
        <v>0</v>
      </c>
      <c r="U13" s="20">
        <f>U9-T9</f>
        <v>0</v>
      </c>
      <c r="V13" s="20">
        <f>V9-U9</f>
        <v>0</v>
      </c>
      <c r="W13" s="20">
        <f>W9-V9</f>
        <v>0</v>
      </c>
      <c r="X13" s="20">
        <f>X9-W9</f>
        <v>0</v>
      </c>
      <c r="Y13" s="20">
        <f>Y9-X9</f>
        <v>0</v>
      </c>
      <c r="Z13" s="20">
        <f>Z9-Y9</f>
        <v>0</v>
      </c>
      <c r="AA13" s="20">
        <f>AA9-Z9</f>
        <v>0</v>
      </c>
      <c r="AB13" s="20">
        <f>AB9-AA9</f>
        <v>0</v>
      </c>
      <c r="AC13" s="20">
        <f>AC9-AB9</f>
        <v>0</v>
      </c>
      <c r="AD13" s="20">
        <f>AD9-AC9</f>
        <v>0</v>
      </c>
      <c r="AE13" s="20">
        <f>AE9-AD9</f>
        <v>0</v>
      </c>
      <c r="AF13" s="20">
        <f>AF9-AE9</f>
        <v>0</v>
      </c>
      <c r="AG13" s="20">
        <f>AG9-AF9</f>
        <v>0</v>
      </c>
      <c r="AH13" s="20">
        <f>AH9-AG9</f>
        <v>0</v>
      </c>
      <c r="AI13" s="20">
        <f>AI9-AH9</f>
        <v>0</v>
      </c>
      <c r="AJ13" s="20">
        <f>AJ9-AI9</f>
        <v>0</v>
      </c>
      <c r="AK13" s="20">
        <f>AK9-AJ9</f>
        <v>0</v>
      </c>
      <c r="AL13" s="20">
        <f>AL9-AK9</f>
        <v>0</v>
      </c>
      <c r="AN13" s="20">
        <f>SUM(C13:E13)</f>
        <v>0</v>
      </c>
      <c r="AO13" s="20">
        <f>SUM(F13:H13)</f>
        <v>0</v>
      </c>
      <c r="AP13" s="20">
        <f>SUM(I13:K13)</f>
        <v>0</v>
      </c>
      <c r="AQ13" s="20">
        <f>SUM(L13:N13)</f>
        <v>0</v>
      </c>
      <c r="AR13" s="20">
        <f>SUM(O13:Q13)</f>
        <v>0</v>
      </c>
      <c r="AS13" s="20">
        <f>SUM(R13:T13)</f>
        <v>0</v>
      </c>
      <c r="AT13" s="20">
        <f>SUM(U13:W13)</f>
        <v>0</v>
      </c>
      <c r="AU13" s="20">
        <f>SUM(X13:Z13)</f>
        <v>0</v>
      </c>
      <c r="AV13" s="20">
        <f>SUM(AA13:AC13)</f>
        <v>0</v>
      </c>
      <c r="AW13" s="20">
        <f>SUM(AD13:AF13)</f>
        <v>0</v>
      </c>
      <c r="AX13" s="20">
        <f>SUM(AG13:AI13)</f>
        <v>0</v>
      </c>
      <c r="AY13" s="20">
        <f>SUM(AJ13:AL13)</f>
        <v>0</v>
      </c>
      <c r="BA13" s="20">
        <f>SUM(C13:N13)</f>
        <v>0</v>
      </c>
      <c r="BB13" s="20">
        <f>SUM(O13:Z13)</f>
        <v>0</v>
      </c>
      <c r="BC13" s="20">
        <f>SUM(AA13:AL13)</f>
        <v>0</v>
      </c>
    </row>
    <row r="14" spans="1:55">
      <c r="A14" s="18" t="s">
        <v>243</v>
      </c>
      <c r="B14" s="16"/>
      <c r="C14" s="20">
        <f>C10</f>
        <v>0</v>
      </c>
      <c r="D14" s="20">
        <f>D10-C10</f>
        <v>0</v>
      </c>
      <c r="E14" s="20">
        <f>E10-D10</f>
        <v>0</v>
      </c>
      <c r="F14" s="20">
        <f>F10-E10</f>
        <v>0</v>
      </c>
      <c r="G14" s="20">
        <f>G10-F10</f>
        <v>0</v>
      </c>
      <c r="H14" s="20">
        <f>H10-G10</f>
        <v>0</v>
      </c>
      <c r="I14" s="20">
        <f>I10-H10</f>
        <v>0</v>
      </c>
      <c r="J14" s="20">
        <f>J10-I10</f>
        <v>0</v>
      </c>
      <c r="K14" s="20">
        <f>K10-J10</f>
        <v>0</v>
      </c>
      <c r="L14" s="20">
        <f>L10-K10</f>
        <v>0</v>
      </c>
      <c r="M14" s="20">
        <f>M10-L10</f>
        <v>0</v>
      </c>
      <c r="N14" s="20">
        <f>N10-M10</f>
        <v>0</v>
      </c>
      <c r="O14" s="20">
        <f>O10-N10</f>
        <v>0</v>
      </c>
      <c r="P14" s="20">
        <f>P10-O10</f>
        <v>0</v>
      </c>
      <c r="Q14" s="20">
        <f>Q10-P10</f>
        <v>0</v>
      </c>
      <c r="R14" s="20">
        <f>R10-Q10</f>
        <v>0</v>
      </c>
      <c r="S14" s="20">
        <f>S10-R10</f>
        <v>0</v>
      </c>
      <c r="T14" s="20">
        <f>T10-S10</f>
        <v>0</v>
      </c>
      <c r="U14" s="20">
        <f>U10-T10</f>
        <v>0</v>
      </c>
      <c r="V14" s="20">
        <f>V10-U10</f>
        <v>0</v>
      </c>
      <c r="W14" s="20">
        <f>W10-V10</f>
        <v>0</v>
      </c>
      <c r="X14" s="20">
        <f>X10-W10</f>
        <v>0</v>
      </c>
      <c r="Y14" s="20">
        <f>Y10-X10</f>
        <v>0</v>
      </c>
      <c r="Z14" s="20">
        <f>Z10-Y10</f>
        <v>0</v>
      </c>
      <c r="AA14" s="20">
        <f>AA10-Z10</f>
        <v>0</v>
      </c>
      <c r="AB14" s="20">
        <f>AB10-AA10</f>
        <v>0</v>
      </c>
      <c r="AC14" s="20">
        <f>AC10-AB10</f>
        <v>0</v>
      </c>
      <c r="AD14" s="20">
        <f>AD10-AC10</f>
        <v>0</v>
      </c>
      <c r="AE14" s="20">
        <f>AE10-AD10</f>
        <v>0</v>
      </c>
      <c r="AF14" s="20">
        <f>AF10-AE10</f>
        <v>0</v>
      </c>
      <c r="AG14" s="20">
        <f>AG10-AF10</f>
        <v>0</v>
      </c>
      <c r="AH14" s="20">
        <f>AH10-AG10</f>
        <v>0</v>
      </c>
      <c r="AI14" s="20">
        <f>AI10-AH10</f>
        <v>0</v>
      </c>
      <c r="AJ14" s="20">
        <f>AJ10-AI10</f>
        <v>0</v>
      </c>
      <c r="AK14" s="20">
        <f>AK10-AJ10</f>
        <v>0</v>
      </c>
      <c r="AL14" s="20">
        <f>AL10-AK10</f>
        <v>0</v>
      </c>
      <c r="AN14" s="20">
        <f>SUM(C14:E14)</f>
        <v>0</v>
      </c>
      <c r="AO14" s="20">
        <f>SUM(F14:H14)</f>
        <v>0</v>
      </c>
      <c r="AP14" s="20">
        <f>SUM(I14:K14)</f>
        <v>0</v>
      </c>
      <c r="AQ14" s="20">
        <f>SUM(L14:N14)</f>
        <v>0</v>
      </c>
      <c r="AR14" s="20">
        <f>SUM(O14:Q14)</f>
        <v>0</v>
      </c>
      <c r="AS14" s="20">
        <f>SUM(R14:T14)</f>
        <v>0</v>
      </c>
      <c r="AT14" s="20">
        <f>SUM(U14:W14)</f>
        <v>0</v>
      </c>
      <c r="AU14" s="20">
        <f>SUM(X14:Z14)</f>
        <v>0</v>
      </c>
      <c r="AV14" s="20">
        <f>SUM(AA14:AC14)</f>
        <v>0</v>
      </c>
      <c r="AW14" s="20">
        <f>SUM(AD14:AF14)</f>
        <v>0</v>
      </c>
      <c r="AX14" s="20">
        <f>SUM(AG14:AI14)</f>
        <v>0</v>
      </c>
      <c r="AY14" s="20">
        <f>SUM(AJ14:AL14)</f>
        <v>0</v>
      </c>
      <c r="BA14" s="20">
        <f>SUM(C14:N14)</f>
        <v>0</v>
      </c>
      <c r="BB14" s="20">
        <f>SUM(O14:Z14)</f>
        <v>0</v>
      </c>
      <c r="BC14" s="20">
        <f>SUM(AA14:AL14)</f>
        <v>0</v>
      </c>
    </row>
    <row r="15" spans="1:55">
      <c r="A15" s="18" t="s">
        <v>244</v>
      </c>
      <c r="B15" s="16"/>
      <c r="C15" s="20">
        <f>C11</f>
        <v>0</v>
      </c>
      <c r="D15" s="20">
        <f>D11-C11</f>
        <v>0</v>
      </c>
      <c r="E15" s="20">
        <f>E11-D11</f>
        <v>0</v>
      </c>
      <c r="F15" s="20">
        <f>F11-E11</f>
        <v>0</v>
      </c>
      <c r="G15" s="20">
        <f>G11-F11</f>
        <v>0</v>
      </c>
      <c r="H15" s="20">
        <f>H11-G11</f>
        <v>0</v>
      </c>
      <c r="I15" s="20">
        <f>I11-H11</f>
        <v>0</v>
      </c>
      <c r="J15" s="20">
        <f>J11-I11</f>
        <v>0</v>
      </c>
      <c r="K15" s="20">
        <f>K11-J11</f>
        <v>0</v>
      </c>
      <c r="L15" s="20">
        <f>L11-K11</f>
        <v>0</v>
      </c>
      <c r="M15" s="20">
        <f>M11-L11</f>
        <v>0</v>
      </c>
      <c r="N15" s="20">
        <f>N11-M11</f>
        <v>0</v>
      </c>
      <c r="O15" s="20">
        <f>O11-N11</f>
        <v>0</v>
      </c>
      <c r="P15" s="20">
        <f>P11-O11</f>
        <v>0</v>
      </c>
      <c r="Q15" s="20">
        <f>Q11-P11</f>
        <v>0</v>
      </c>
      <c r="R15" s="20">
        <f>R11-Q11</f>
        <v>0</v>
      </c>
      <c r="S15" s="20">
        <f>S11-R11</f>
        <v>0</v>
      </c>
      <c r="T15" s="20">
        <f>T11-S11</f>
        <v>0</v>
      </c>
      <c r="U15" s="20">
        <f>U11-T11</f>
        <v>0</v>
      </c>
      <c r="V15" s="20">
        <f>V11-U11</f>
        <v>0</v>
      </c>
      <c r="W15" s="20">
        <f>W11-V11</f>
        <v>0</v>
      </c>
      <c r="X15" s="20">
        <f>X11-W11</f>
        <v>0</v>
      </c>
      <c r="Y15" s="20">
        <f>Y11-X11</f>
        <v>0</v>
      </c>
      <c r="Z15" s="20">
        <f>Z11-Y11</f>
        <v>0</v>
      </c>
      <c r="AA15" s="20">
        <f>AA11-Z11</f>
        <v>0</v>
      </c>
      <c r="AB15" s="20">
        <f>AB11-AA11</f>
        <v>0</v>
      </c>
      <c r="AC15" s="20">
        <f>AC11-AB11</f>
        <v>0</v>
      </c>
      <c r="AD15" s="20">
        <f>AD11-AC11</f>
        <v>0</v>
      </c>
      <c r="AE15" s="20">
        <f>AE11-AD11</f>
        <v>0</v>
      </c>
      <c r="AF15" s="20">
        <f>AF11-AE11</f>
        <v>0</v>
      </c>
      <c r="AG15" s="20">
        <f>AG11-AF11</f>
        <v>0</v>
      </c>
      <c r="AH15" s="20">
        <f>AH11-AG11</f>
        <v>0</v>
      </c>
      <c r="AI15" s="20">
        <f>AI11-AH11</f>
        <v>0</v>
      </c>
      <c r="AJ15" s="20">
        <f>AJ11-AI11</f>
        <v>0</v>
      </c>
      <c r="AK15" s="20">
        <f>AK11-AJ11</f>
        <v>0</v>
      </c>
      <c r="AL15" s="20">
        <f>AL11-AK11</f>
        <v>0</v>
      </c>
      <c r="AN15" s="20">
        <f>SUM(C15:E15)</f>
        <v>0</v>
      </c>
      <c r="AO15" s="20">
        <f>SUM(F15:H15)</f>
        <v>0</v>
      </c>
      <c r="AP15" s="20">
        <f>SUM(I15:K15)</f>
        <v>0</v>
      </c>
      <c r="AQ15" s="20">
        <f>SUM(L15:N15)</f>
        <v>0</v>
      </c>
      <c r="AR15" s="20">
        <f>SUM(O15:Q15)</f>
        <v>0</v>
      </c>
      <c r="AS15" s="20">
        <f>SUM(R15:T15)</f>
        <v>0</v>
      </c>
      <c r="AT15" s="20">
        <f>SUM(U15:W15)</f>
        <v>0</v>
      </c>
      <c r="AU15" s="20">
        <f>SUM(X15:Z15)</f>
        <v>0</v>
      </c>
      <c r="AV15" s="20">
        <f>SUM(AA15:AC15)</f>
        <v>0</v>
      </c>
      <c r="AW15" s="20">
        <f>SUM(AD15:AF15)</f>
        <v>0</v>
      </c>
      <c r="AX15" s="20">
        <f>SUM(AG15:AI15)</f>
        <v>0</v>
      </c>
      <c r="AY15" s="20">
        <f>SUM(AJ15:AL15)</f>
        <v>0</v>
      </c>
      <c r="BA15" s="20">
        <f>SUM(C15:N15)</f>
        <v>0</v>
      </c>
      <c r="BB15" s="20">
        <f>SUM(O15:Z15)</f>
        <v>0</v>
      </c>
      <c r="BC15" s="20">
        <f>SUM(AA15:AL15)</f>
        <v>0</v>
      </c>
    </row>
    <row r="16" spans="1:55" ht="5" customHeight="1"/>
    <row r="17" spans="1:55" ht="16" customHeight="1">
      <c r="A17" s="14" t="s">
        <v>245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</row>
    <row r="18" spans="1:55">
      <c r="A18" s="18" t="s">
        <v>246</v>
      </c>
      <c r="B18" s="16" t="s">
        <v>247</v>
      </c>
      <c r="C18" s="20">
        <f>'Revenue'!C27*'Assumptions'!$F$64</f>
        <v>0</v>
      </c>
      <c r="D18" s="20">
        <f>'Revenue'!D27*'Assumptions'!$F$64</f>
        <v>0</v>
      </c>
      <c r="E18" s="20">
        <f>'Revenue'!E27*'Assumptions'!$F$64</f>
        <v>0</v>
      </c>
      <c r="F18" s="20">
        <f>'Revenue'!F27*'Assumptions'!$F$64</f>
        <v>0</v>
      </c>
      <c r="G18" s="20">
        <f>'Revenue'!G27*'Assumptions'!$F$64</f>
        <v>0</v>
      </c>
      <c r="H18" s="20">
        <f>'Revenue'!H27*'Assumptions'!$F$64</f>
        <v>0</v>
      </c>
      <c r="I18" s="20">
        <f>'Revenue'!I27*'Assumptions'!$F$64</f>
        <v>0</v>
      </c>
      <c r="J18" s="20">
        <f>'Revenue'!J27*'Assumptions'!$F$64</f>
        <v>0</v>
      </c>
      <c r="K18" s="20">
        <f>'Revenue'!K27*'Assumptions'!$F$64</f>
        <v>0</v>
      </c>
      <c r="L18" s="20">
        <f>'Revenue'!L27*'Assumptions'!$F$64</f>
        <v>0</v>
      </c>
      <c r="M18" s="20">
        <f>'Revenue'!M27*'Assumptions'!$F$64</f>
        <v>0</v>
      </c>
      <c r="N18" s="20">
        <f>'Revenue'!N27*'Assumptions'!$F$64</f>
        <v>0</v>
      </c>
      <c r="O18" s="20">
        <f>'Revenue'!O27*'Assumptions'!$F$64</f>
        <v>0</v>
      </c>
      <c r="P18" s="20">
        <f>'Revenue'!P27*'Assumptions'!$F$64</f>
        <v>0</v>
      </c>
      <c r="Q18" s="20">
        <f>'Revenue'!Q27*'Assumptions'!$F$64</f>
        <v>0</v>
      </c>
      <c r="R18" s="20">
        <f>'Revenue'!R27*'Assumptions'!$F$64</f>
        <v>0</v>
      </c>
      <c r="S18" s="20">
        <f>'Revenue'!S27*'Assumptions'!$F$64</f>
        <v>0</v>
      </c>
      <c r="T18" s="20">
        <f>'Revenue'!T27*'Assumptions'!$F$64</f>
        <v>0</v>
      </c>
      <c r="U18" s="20">
        <f>'Revenue'!U27*'Assumptions'!$F$64</f>
        <v>0</v>
      </c>
      <c r="V18" s="20">
        <f>'Revenue'!V27*'Assumptions'!$F$64</f>
        <v>0</v>
      </c>
      <c r="W18" s="20">
        <f>'Revenue'!W27*'Assumptions'!$F$64</f>
        <v>0</v>
      </c>
      <c r="X18" s="20">
        <f>'Revenue'!X27*'Assumptions'!$F$64</f>
        <v>0</v>
      </c>
      <c r="Y18" s="20">
        <f>'Revenue'!Y27*'Assumptions'!$F$64</f>
        <v>0</v>
      </c>
      <c r="Z18" s="20">
        <f>'Revenue'!Z27*'Assumptions'!$F$64</f>
        <v>0</v>
      </c>
      <c r="AA18" s="20">
        <f>'Revenue'!AA27*'Assumptions'!$F$64</f>
        <v>0</v>
      </c>
      <c r="AB18" s="20">
        <f>'Revenue'!AB27*'Assumptions'!$F$64</f>
        <v>0</v>
      </c>
      <c r="AC18" s="20">
        <f>'Revenue'!AC27*'Assumptions'!$F$64</f>
        <v>0</v>
      </c>
      <c r="AD18" s="20">
        <f>'Revenue'!AD27*'Assumptions'!$F$64</f>
        <v>0</v>
      </c>
      <c r="AE18" s="20">
        <f>'Revenue'!AE27*'Assumptions'!$F$64</f>
        <v>0</v>
      </c>
      <c r="AF18" s="20">
        <f>'Revenue'!AF27*'Assumptions'!$F$64</f>
        <v>0</v>
      </c>
      <c r="AG18" s="20">
        <f>'Revenue'!AG27*'Assumptions'!$F$64</f>
        <v>0</v>
      </c>
      <c r="AH18" s="20">
        <f>'Revenue'!AH27*'Assumptions'!$F$64</f>
        <v>0</v>
      </c>
      <c r="AI18" s="20">
        <f>'Revenue'!AI27*'Assumptions'!$F$64</f>
        <v>0</v>
      </c>
      <c r="AJ18" s="20">
        <f>'Revenue'!AJ27*'Assumptions'!$F$64</f>
        <v>0</v>
      </c>
      <c r="AK18" s="20">
        <f>'Revenue'!AK27*'Assumptions'!$F$64</f>
        <v>0</v>
      </c>
      <c r="AL18" s="20">
        <f>'Revenue'!AL27*'Assumptions'!$F$64</f>
        <v>0</v>
      </c>
      <c r="AN18" s="20">
        <f>SUM(C18:E18)</f>
        <v>0</v>
      </c>
      <c r="AO18" s="20">
        <f>SUM(F18:H18)</f>
        <v>0</v>
      </c>
      <c r="AP18" s="20">
        <f>SUM(I18:K18)</f>
        <v>0</v>
      </c>
      <c r="AQ18" s="20">
        <f>SUM(L18:N18)</f>
        <v>0</v>
      </c>
      <c r="AR18" s="20">
        <f>SUM(O18:Q18)</f>
        <v>0</v>
      </c>
      <c r="AS18" s="20">
        <f>SUM(R18:T18)</f>
        <v>0</v>
      </c>
      <c r="AT18" s="20">
        <f>SUM(U18:W18)</f>
        <v>0</v>
      </c>
      <c r="AU18" s="20">
        <f>SUM(X18:Z18)</f>
        <v>0</v>
      </c>
      <c r="AV18" s="20">
        <f>SUM(AA18:AC18)</f>
        <v>0</v>
      </c>
      <c r="AW18" s="20">
        <f>SUM(AD18:AF18)</f>
        <v>0</v>
      </c>
      <c r="AX18" s="20">
        <f>SUM(AG18:AI18)</f>
        <v>0</v>
      </c>
      <c r="AY18" s="20">
        <f>SUM(AJ18:AL18)</f>
        <v>0</v>
      </c>
      <c r="BA18" s="20">
        <f>SUM(C18:N18)</f>
        <v>0</v>
      </c>
      <c r="BB18" s="20">
        <f>SUM(O18:Z18)</f>
        <v>0</v>
      </c>
      <c r="BC18" s="20">
        <f>SUM(AA18:AL18)</f>
        <v>0</v>
      </c>
    </row>
    <row r="19" spans="1:55">
      <c r="A19" s="18" t="s">
        <v>248</v>
      </c>
      <c r="B19" s="16" t="s">
        <v>249</v>
      </c>
      <c r="C19" s="20">
        <f>SUM(INDEX('Working Capital'!$C$18:$AL$18,1,MAX(1,1-ROUND('Assumptions'!$F$65,0)+1)):INDEX('Working Capital'!$C$18:$AL$18,1,1))/ROUND('Assumptions'!$F$65,0)</f>
        <v>0</v>
      </c>
      <c r="D19" s="20">
        <f>SUM(INDEX('Working Capital'!$C$18:$AL$18,1,MAX(1,2-ROUND('Assumptions'!$F$65,0)+1)):INDEX('Working Capital'!$C$18:$AL$18,1,2))/ROUND('Assumptions'!$F$65,0)</f>
        <v>0</v>
      </c>
      <c r="E19" s="20">
        <f>SUM(INDEX('Working Capital'!$C$18:$AL$18,1,MAX(1,3-ROUND('Assumptions'!$F$65,0)+1)):INDEX('Working Capital'!$C$18:$AL$18,1,3))/ROUND('Assumptions'!$F$65,0)</f>
        <v>0</v>
      </c>
      <c r="F19" s="20">
        <f>SUM(INDEX('Working Capital'!$C$18:$AL$18,1,MAX(1,4-ROUND('Assumptions'!$F$65,0)+1)):INDEX('Working Capital'!$C$18:$AL$18,1,4))/ROUND('Assumptions'!$F$65,0)</f>
        <v>0</v>
      </c>
      <c r="G19" s="20">
        <f>SUM(INDEX('Working Capital'!$C$18:$AL$18,1,MAX(1,5-ROUND('Assumptions'!$F$65,0)+1)):INDEX('Working Capital'!$C$18:$AL$18,1,5))/ROUND('Assumptions'!$F$65,0)</f>
        <v>0</v>
      </c>
      <c r="H19" s="20">
        <f>SUM(INDEX('Working Capital'!$C$18:$AL$18,1,MAX(1,6-ROUND('Assumptions'!$F$65,0)+1)):INDEX('Working Capital'!$C$18:$AL$18,1,6))/ROUND('Assumptions'!$F$65,0)</f>
        <v>0</v>
      </c>
      <c r="I19" s="20">
        <f>SUM(INDEX('Working Capital'!$C$18:$AL$18,1,MAX(1,7-ROUND('Assumptions'!$F$65,0)+1)):INDEX('Working Capital'!$C$18:$AL$18,1,7))/ROUND('Assumptions'!$F$65,0)</f>
        <v>0</v>
      </c>
      <c r="J19" s="20">
        <f>SUM(INDEX('Working Capital'!$C$18:$AL$18,1,MAX(1,8-ROUND('Assumptions'!$F$65,0)+1)):INDEX('Working Capital'!$C$18:$AL$18,1,8))/ROUND('Assumptions'!$F$65,0)</f>
        <v>0</v>
      </c>
      <c r="K19" s="20">
        <f>SUM(INDEX('Working Capital'!$C$18:$AL$18,1,MAX(1,9-ROUND('Assumptions'!$F$65,0)+1)):INDEX('Working Capital'!$C$18:$AL$18,1,9))/ROUND('Assumptions'!$F$65,0)</f>
        <v>0</v>
      </c>
      <c r="L19" s="20">
        <f>SUM(INDEX('Working Capital'!$C$18:$AL$18,1,MAX(1,10-ROUND('Assumptions'!$F$65,0)+1)):INDEX('Working Capital'!$C$18:$AL$18,1,10))/ROUND('Assumptions'!$F$65,0)</f>
        <v>0</v>
      </c>
      <c r="M19" s="20">
        <f>SUM(INDEX('Working Capital'!$C$18:$AL$18,1,MAX(1,11-ROUND('Assumptions'!$F$65,0)+1)):INDEX('Working Capital'!$C$18:$AL$18,1,11))/ROUND('Assumptions'!$F$65,0)</f>
        <v>0</v>
      </c>
      <c r="N19" s="20">
        <f>SUM(INDEX('Working Capital'!$C$18:$AL$18,1,MAX(1,12-ROUND('Assumptions'!$F$65,0)+1)):INDEX('Working Capital'!$C$18:$AL$18,1,12))/ROUND('Assumptions'!$F$65,0)</f>
        <v>0</v>
      </c>
      <c r="O19" s="20">
        <f>SUM(INDEX('Working Capital'!$C$18:$AL$18,1,MAX(1,13-ROUND('Assumptions'!$F$65,0)+1)):INDEX('Working Capital'!$C$18:$AL$18,1,13))/ROUND('Assumptions'!$F$65,0)</f>
        <v>0</v>
      </c>
      <c r="P19" s="20">
        <f>SUM(INDEX('Working Capital'!$C$18:$AL$18,1,MAX(1,14-ROUND('Assumptions'!$F$65,0)+1)):INDEX('Working Capital'!$C$18:$AL$18,1,14))/ROUND('Assumptions'!$F$65,0)</f>
        <v>0</v>
      </c>
      <c r="Q19" s="20">
        <f>SUM(INDEX('Working Capital'!$C$18:$AL$18,1,MAX(1,15-ROUND('Assumptions'!$F$65,0)+1)):INDEX('Working Capital'!$C$18:$AL$18,1,15))/ROUND('Assumptions'!$F$65,0)</f>
        <v>0</v>
      </c>
      <c r="R19" s="20">
        <f>SUM(INDEX('Working Capital'!$C$18:$AL$18,1,MAX(1,16-ROUND('Assumptions'!$F$65,0)+1)):INDEX('Working Capital'!$C$18:$AL$18,1,16))/ROUND('Assumptions'!$F$65,0)</f>
        <v>0</v>
      </c>
      <c r="S19" s="20">
        <f>SUM(INDEX('Working Capital'!$C$18:$AL$18,1,MAX(1,17-ROUND('Assumptions'!$F$65,0)+1)):INDEX('Working Capital'!$C$18:$AL$18,1,17))/ROUND('Assumptions'!$F$65,0)</f>
        <v>0</v>
      </c>
      <c r="T19" s="20">
        <f>SUM(INDEX('Working Capital'!$C$18:$AL$18,1,MAX(1,18-ROUND('Assumptions'!$F$65,0)+1)):INDEX('Working Capital'!$C$18:$AL$18,1,18))/ROUND('Assumptions'!$F$65,0)</f>
        <v>0</v>
      </c>
      <c r="U19" s="20">
        <f>SUM(INDEX('Working Capital'!$C$18:$AL$18,1,MAX(1,19-ROUND('Assumptions'!$F$65,0)+1)):INDEX('Working Capital'!$C$18:$AL$18,1,19))/ROUND('Assumptions'!$F$65,0)</f>
        <v>0</v>
      </c>
      <c r="V19" s="20">
        <f>SUM(INDEX('Working Capital'!$C$18:$AL$18,1,MAX(1,20-ROUND('Assumptions'!$F$65,0)+1)):INDEX('Working Capital'!$C$18:$AL$18,1,20))/ROUND('Assumptions'!$F$65,0)</f>
        <v>0</v>
      </c>
      <c r="W19" s="20">
        <f>SUM(INDEX('Working Capital'!$C$18:$AL$18,1,MAX(1,21-ROUND('Assumptions'!$F$65,0)+1)):INDEX('Working Capital'!$C$18:$AL$18,1,21))/ROUND('Assumptions'!$F$65,0)</f>
        <v>0</v>
      </c>
      <c r="X19" s="20">
        <f>SUM(INDEX('Working Capital'!$C$18:$AL$18,1,MAX(1,22-ROUND('Assumptions'!$F$65,0)+1)):INDEX('Working Capital'!$C$18:$AL$18,1,22))/ROUND('Assumptions'!$F$65,0)</f>
        <v>0</v>
      </c>
      <c r="Y19" s="20">
        <f>SUM(INDEX('Working Capital'!$C$18:$AL$18,1,MAX(1,23-ROUND('Assumptions'!$F$65,0)+1)):INDEX('Working Capital'!$C$18:$AL$18,1,23))/ROUND('Assumptions'!$F$65,0)</f>
        <v>0</v>
      </c>
      <c r="Z19" s="20">
        <f>SUM(INDEX('Working Capital'!$C$18:$AL$18,1,MAX(1,24-ROUND('Assumptions'!$F$65,0)+1)):INDEX('Working Capital'!$C$18:$AL$18,1,24))/ROUND('Assumptions'!$F$65,0)</f>
        <v>0</v>
      </c>
      <c r="AA19" s="20">
        <f>SUM(INDEX('Working Capital'!$C$18:$AL$18,1,MAX(1,25-ROUND('Assumptions'!$F$65,0)+1)):INDEX('Working Capital'!$C$18:$AL$18,1,25))/ROUND('Assumptions'!$F$65,0)</f>
        <v>0</v>
      </c>
      <c r="AB19" s="20">
        <f>SUM(INDEX('Working Capital'!$C$18:$AL$18,1,MAX(1,26-ROUND('Assumptions'!$F$65,0)+1)):INDEX('Working Capital'!$C$18:$AL$18,1,26))/ROUND('Assumptions'!$F$65,0)</f>
        <v>0</v>
      </c>
      <c r="AC19" s="20">
        <f>SUM(INDEX('Working Capital'!$C$18:$AL$18,1,MAX(1,27-ROUND('Assumptions'!$F$65,0)+1)):INDEX('Working Capital'!$C$18:$AL$18,1,27))/ROUND('Assumptions'!$F$65,0)</f>
        <v>0</v>
      </c>
      <c r="AD19" s="20">
        <f>SUM(INDEX('Working Capital'!$C$18:$AL$18,1,MAX(1,28-ROUND('Assumptions'!$F$65,0)+1)):INDEX('Working Capital'!$C$18:$AL$18,1,28))/ROUND('Assumptions'!$F$65,0)</f>
        <v>0</v>
      </c>
      <c r="AE19" s="20">
        <f>SUM(INDEX('Working Capital'!$C$18:$AL$18,1,MAX(1,29-ROUND('Assumptions'!$F$65,0)+1)):INDEX('Working Capital'!$C$18:$AL$18,1,29))/ROUND('Assumptions'!$F$65,0)</f>
        <v>0</v>
      </c>
      <c r="AF19" s="20">
        <f>SUM(INDEX('Working Capital'!$C$18:$AL$18,1,MAX(1,30-ROUND('Assumptions'!$F$65,0)+1)):INDEX('Working Capital'!$C$18:$AL$18,1,30))/ROUND('Assumptions'!$F$65,0)</f>
        <v>0</v>
      </c>
      <c r="AG19" s="20">
        <f>SUM(INDEX('Working Capital'!$C$18:$AL$18,1,MAX(1,31-ROUND('Assumptions'!$F$65,0)+1)):INDEX('Working Capital'!$C$18:$AL$18,1,31))/ROUND('Assumptions'!$F$65,0)</f>
        <v>0</v>
      </c>
      <c r="AH19" s="20">
        <f>SUM(INDEX('Working Capital'!$C$18:$AL$18,1,MAX(1,32-ROUND('Assumptions'!$F$65,0)+1)):INDEX('Working Capital'!$C$18:$AL$18,1,32))/ROUND('Assumptions'!$F$65,0)</f>
        <v>0</v>
      </c>
      <c r="AI19" s="20">
        <f>SUM(INDEX('Working Capital'!$C$18:$AL$18,1,MAX(1,33-ROUND('Assumptions'!$F$65,0)+1)):INDEX('Working Capital'!$C$18:$AL$18,1,33))/ROUND('Assumptions'!$F$65,0)</f>
        <v>0</v>
      </c>
      <c r="AJ19" s="20">
        <f>SUM(INDEX('Working Capital'!$C$18:$AL$18,1,MAX(1,34-ROUND('Assumptions'!$F$65,0)+1)):INDEX('Working Capital'!$C$18:$AL$18,1,34))/ROUND('Assumptions'!$F$65,0)</f>
        <v>0</v>
      </c>
      <c r="AK19" s="20">
        <f>SUM(INDEX('Working Capital'!$C$18:$AL$18,1,MAX(1,35-ROUND('Assumptions'!$F$65,0)+1)):INDEX('Working Capital'!$C$18:$AL$18,1,35))/ROUND('Assumptions'!$F$65,0)</f>
        <v>0</v>
      </c>
      <c r="AL19" s="20">
        <f>SUM(INDEX('Working Capital'!$C$18:$AL$18,1,MAX(1,36-ROUND('Assumptions'!$F$65,0)+1)):INDEX('Working Capital'!$C$18:$AL$18,1,36))/ROUND('Assumptions'!$F$65,0)</f>
        <v>0</v>
      </c>
      <c r="AN19" s="20">
        <f>SUM(C19:E19)</f>
        <v>0</v>
      </c>
      <c r="AO19" s="20">
        <f>SUM(F19:H19)</f>
        <v>0</v>
      </c>
      <c r="AP19" s="20">
        <f>SUM(I19:K19)</f>
        <v>0</v>
      </c>
      <c r="AQ19" s="20">
        <f>SUM(L19:N19)</f>
        <v>0</v>
      </c>
      <c r="AR19" s="20">
        <f>SUM(O19:Q19)</f>
        <v>0</v>
      </c>
      <c r="AS19" s="20">
        <f>SUM(R19:T19)</f>
        <v>0</v>
      </c>
      <c r="AT19" s="20">
        <f>SUM(U19:W19)</f>
        <v>0</v>
      </c>
      <c r="AU19" s="20">
        <f>SUM(X19:Z19)</f>
        <v>0</v>
      </c>
      <c r="AV19" s="20">
        <f>SUM(AA19:AC19)</f>
        <v>0</v>
      </c>
      <c r="AW19" s="20">
        <f>SUM(AD19:AF19)</f>
        <v>0</v>
      </c>
      <c r="AX19" s="20">
        <f>SUM(AG19:AI19)</f>
        <v>0</v>
      </c>
      <c r="AY19" s="20">
        <f>SUM(AJ19:AL19)</f>
        <v>0</v>
      </c>
      <c r="BA19" s="20">
        <f>SUM(C19:N19)</f>
        <v>0</v>
      </c>
      <c r="BB19" s="20">
        <f>SUM(O19:Z19)</f>
        <v>0</v>
      </c>
      <c r="BC19" s="20">
        <f>SUM(AA19:AL19)</f>
        <v>0</v>
      </c>
    </row>
    <row r="20" spans="1:55">
      <c r="A20" s="18" t="s">
        <v>250</v>
      </c>
      <c r="B20" s="16"/>
      <c r="C20" s="20">
        <f>C18-C19</f>
        <v>0</v>
      </c>
      <c r="D20" s="20">
        <f>C20+D18-D19</f>
        <v>0</v>
      </c>
      <c r="E20" s="20">
        <f>D20+E18-E19</f>
        <v>0</v>
      </c>
      <c r="F20" s="20">
        <f>E20+F18-F19</f>
        <v>0</v>
      </c>
      <c r="G20" s="20">
        <f>F20+G18-G19</f>
        <v>0</v>
      </c>
      <c r="H20" s="20">
        <f>G20+H18-H19</f>
        <v>0</v>
      </c>
      <c r="I20" s="20">
        <f>H20+I18-I19</f>
        <v>0</v>
      </c>
      <c r="J20" s="20">
        <f>I20+J18-J19</f>
        <v>0</v>
      </c>
      <c r="K20" s="20">
        <f>J20+K18-K19</f>
        <v>0</v>
      </c>
      <c r="L20" s="20">
        <f>K20+L18-L19</f>
        <v>0</v>
      </c>
      <c r="M20" s="20">
        <f>L20+M18-M19</f>
        <v>0</v>
      </c>
      <c r="N20" s="20">
        <f>M20+N18-N19</f>
        <v>0</v>
      </c>
      <c r="O20" s="20">
        <f>N20+O18-O19</f>
        <v>0</v>
      </c>
      <c r="P20" s="20">
        <f>O20+P18-P19</f>
        <v>0</v>
      </c>
      <c r="Q20" s="20">
        <f>P20+Q18-Q19</f>
        <v>0</v>
      </c>
      <c r="R20" s="20">
        <f>Q20+R18-R19</f>
        <v>0</v>
      </c>
      <c r="S20" s="20">
        <f>R20+S18-S19</f>
        <v>0</v>
      </c>
      <c r="T20" s="20">
        <f>S20+T18-T19</f>
        <v>0</v>
      </c>
      <c r="U20" s="20">
        <f>T20+U18-U19</f>
        <v>0</v>
      </c>
      <c r="V20" s="20">
        <f>U20+V18-V19</f>
        <v>0</v>
      </c>
      <c r="W20" s="20">
        <f>V20+W18-W19</f>
        <v>0</v>
      </c>
      <c r="X20" s="20">
        <f>W20+X18-X19</f>
        <v>0</v>
      </c>
      <c r="Y20" s="20">
        <f>X20+Y18-Y19</f>
        <v>0</v>
      </c>
      <c r="Z20" s="20">
        <f>Y20+Z18-Z19</f>
        <v>0</v>
      </c>
      <c r="AA20" s="20">
        <f>Z20+AA18-AA19</f>
        <v>0</v>
      </c>
      <c r="AB20" s="20">
        <f>AA20+AB18-AB19</f>
        <v>0</v>
      </c>
      <c r="AC20" s="20">
        <f>AB20+AC18-AC19</f>
        <v>0</v>
      </c>
      <c r="AD20" s="20">
        <f>AC20+AD18-AD19</f>
        <v>0</v>
      </c>
      <c r="AE20" s="20">
        <f>AD20+AE18-AE19</f>
        <v>0</v>
      </c>
      <c r="AF20" s="20">
        <f>AE20+AF18-AF19</f>
        <v>0</v>
      </c>
      <c r="AG20" s="20">
        <f>AF20+AG18-AG19</f>
        <v>0</v>
      </c>
      <c r="AH20" s="20">
        <f>AG20+AH18-AH19</f>
        <v>0</v>
      </c>
      <c r="AI20" s="20">
        <f>AH20+AI18-AI19</f>
        <v>0</v>
      </c>
      <c r="AJ20" s="20">
        <f>AI20+AJ18-AJ19</f>
        <v>0</v>
      </c>
      <c r="AK20" s="20">
        <f>AJ20+AK18-AK19</f>
        <v>0</v>
      </c>
      <c r="AL20" s="20">
        <f>AK20+AL18-AL19</f>
        <v>0</v>
      </c>
      <c r="AN20" s="20">
        <f>E20</f>
        <v>0</v>
      </c>
      <c r="AO20" s="20">
        <f>H20</f>
        <v>0</v>
      </c>
      <c r="AP20" s="20">
        <f>K20</f>
        <v>0</v>
      </c>
      <c r="AQ20" s="20">
        <f>N20</f>
        <v>0</v>
      </c>
      <c r="AR20" s="20">
        <f>Q20</f>
        <v>0</v>
      </c>
      <c r="AS20" s="20">
        <f>T20</f>
        <v>0</v>
      </c>
      <c r="AT20" s="20">
        <f>W20</f>
        <v>0</v>
      </c>
      <c r="AU20" s="20">
        <f>Z20</f>
        <v>0</v>
      </c>
      <c r="AV20" s="20">
        <f>AC20</f>
        <v>0</v>
      </c>
      <c r="AW20" s="20">
        <f>AF20</f>
        <v>0</v>
      </c>
      <c r="AX20" s="20">
        <f>AI20</f>
        <v>0</v>
      </c>
      <c r="AY20" s="20">
        <f>AL20</f>
        <v>0</v>
      </c>
      <c r="BA20" s="20">
        <f>N20</f>
        <v>0</v>
      </c>
      <c r="BB20" s="20">
        <f>Z20</f>
        <v>0</v>
      </c>
      <c r="BC20" s="20">
        <f>AL20</f>
        <v>0</v>
      </c>
    </row>
    <row r="21" spans="1:55" ht="5" customHeight="1"/>
    <row r="22" spans="1:55" ht="16" customHeight="1">
      <c r="A22" s="14" t="s">
        <v>251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</row>
    <row r="23" spans="1:55">
      <c r="A23" s="18" t="s">
        <v>252</v>
      </c>
      <c r="B23" s="16" t="s">
        <v>253</v>
      </c>
      <c r="C23" s="20">
        <f>0</f>
        <v>0</v>
      </c>
      <c r="D23" s="20">
        <f>0</f>
        <v>0</v>
      </c>
      <c r="E23" s="20">
        <f>0</f>
        <v>0</v>
      </c>
      <c r="F23" s="20">
        <f>0</f>
        <v>0</v>
      </c>
      <c r="G23" s="20">
        <f>0</f>
        <v>0</v>
      </c>
      <c r="H23" s="20">
        <f>0</f>
        <v>0</v>
      </c>
      <c r="I23" s="20">
        <f>0</f>
        <v>0</v>
      </c>
      <c r="J23" s="20">
        <f>0</f>
        <v>0</v>
      </c>
      <c r="K23" s="20">
        <f>0</f>
        <v>0</v>
      </c>
      <c r="L23" s="20">
        <f>0</f>
        <v>0</v>
      </c>
      <c r="M23" s="20">
        <f>0</f>
        <v>0</v>
      </c>
      <c r="N23" s="20">
        <f>0</f>
        <v>0</v>
      </c>
      <c r="O23" s="20">
        <f>'Assumptions'!$F$68</f>
        <v>0</v>
      </c>
      <c r="P23" s="20">
        <f>0</f>
        <v>0</v>
      </c>
      <c r="Q23" s="20">
        <f>0</f>
        <v>0</v>
      </c>
      <c r="R23" s="20">
        <f>0</f>
        <v>0</v>
      </c>
      <c r="S23" s="20">
        <f>0</f>
        <v>0</v>
      </c>
      <c r="T23" s="20">
        <f>0</f>
        <v>0</v>
      </c>
      <c r="U23" s="20">
        <f>0</f>
        <v>0</v>
      </c>
      <c r="V23" s="20">
        <f>0</f>
        <v>0</v>
      </c>
      <c r="W23" s="20">
        <f>0</f>
        <v>0</v>
      </c>
      <c r="X23" s="20">
        <f>0</f>
        <v>0</v>
      </c>
      <c r="Y23" s="20">
        <f>0</f>
        <v>0</v>
      </c>
      <c r="Z23" s="20">
        <f>0</f>
        <v>0</v>
      </c>
      <c r="AA23" s="20">
        <f>0</f>
        <v>0</v>
      </c>
      <c r="AB23" s="20">
        <f>0</f>
        <v>0</v>
      </c>
      <c r="AC23" s="20">
        <f>0</f>
        <v>0</v>
      </c>
      <c r="AD23" s="20">
        <f>0</f>
        <v>0</v>
      </c>
      <c r="AE23" s="20">
        <f>0</f>
        <v>0</v>
      </c>
      <c r="AF23" s="20">
        <f>0</f>
        <v>0</v>
      </c>
      <c r="AG23" s="20">
        <f>0</f>
        <v>0</v>
      </c>
      <c r="AH23" s="20">
        <f>0</f>
        <v>0</v>
      </c>
      <c r="AI23" s="20">
        <f>0</f>
        <v>0</v>
      </c>
      <c r="AJ23" s="20">
        <f>0</f>
        <v>0</v>
      </c>
      <c r="AK23" s="20">
        <f>0</f>
        <v>0</v>
      </c>
      <c r="AL23" s="20">
        <f>0</f>
        <v>0</v>
      </c>
      <c r="AN23" s="20">
        <f>SUM(C23:E23)</f>
        <v>0</v>
      </c>
      <c r="AO23" s="20">
        <f>SUM(F23:H23)</f>
        <v>0</v>
      </c>
      <c r="AP23" s="20">
        <f>SUM(I23:K23)</f>
        <v>0</v>
      </c>
      <c r="AQ23" s="20">
        <f>SUM(L23:N23)</f>
        <v>0</v>
      </c>
      <c r="AR23" s="20">
        <f>SUM(O23:Q23)</f>
        <v>0</v>
      </c>
      <c r="AS23" s="20">
        <f>SUM(R23:T23)</f>
        <v>0</v>
      </c>
      <c r="AT23" s="20">
        <f>SUM(U23:W23)</f>
        <v>0</v>
      </c>
      <c r="AU23" s="20">
        <f>SUM(X23:Z23)</f>
        <v>0</v>
      </c>
      <c r="AV23" s="20">
        <f>SUM(AA23:AC23)</f>
        <v>0</v>
      </c>
      <c r="AW23" s="20">
        <f>SUM(AD23:AF23)</f>
        <v>0</v>
      </c>
      <c r="AX23" s="20">
        <f>SUM(AG23:AI23)</f>
        <v>0</v>
      </c>
      <c r="AY23" s="20">
        <f>SUM(AJ23:AL23)</f>
        <v>0</v>
      </c>
      <c r="BA23" s="20">
        <f>SUM(C23:N23)</f>
        <v>0</v>
      </c>
      <c r="BB23" s="20">
        <f>SUM(O23:Z23)</f>
        <v>0</v>
      </c>
      <c r="BC23" s="20">
        <f>SUM(AA23:AL23)</f>
        <v>0</v>
      </c>
    </row>
    <row r="24" spans="1:55">
      <c r="A24" s="18" t="s">
        <v>254</v>
      </c>
      <c r="B24" s="16" t="s">
        <v>255</v>
      </c>
      <c r="C24" s="20">
        <f>0</f>
        <v>0</v>
      </c>
      <c r="D24" s="20">
        <f>0</f>
        <v>0</v>
      </c>
      <c r="E24" s="20">
        <f>0</f>
        <v>0</v>
      </c>
      <c r="F24" s="20">
        <f>0</f>
        <v>0</v>
      </c>
      <c r="G24" s="20">
        <f>0</f>
        <v>0</v>
      </c>
      <c r="H24" s="20">
        <f>0</f>
        <v>0</v>
      </c>
      <c r="I24" s="20">
        <f>0</f>
        <v>0</v>
      </c>
      <c r="J24" s="20">
        <f>0</f>
        <v>0</v>
      </c>
      <c r="K24" s="20">
        <f>0</f>
        <v>0</v>
      </c>
      <c r="L24" s="20">
        <f>0</f>
        <v>0</v>
      </c>
      <c r="M24" s="20">
        <f>0</f>
        <v>0</v>
      </c>
      <c r="N24" s="20">
        <f>0</f>
        <v>0</v>
      </c>
      <c r="O24" s="20">
        <f>0</f>
        <v>0</v>
      </c>
      <c r="P24" s="20">
        <f>0</f>
        <v>0</v>
      </c>
      <c r="Q24" s="20">
        <f>0</f>
        <v>0</v>
      </c>
      <c r="R24" s="20">
        <f>0</f>
        <v>0</v>
      </c>
      <c r="S24" s="20">
        <f>0</f>
        <v>0</v>
      </c>
      <c r="T24" s="20">
        <f>0</f>
        <v>0</v>
      </c>
      <c r="U24" s="20">
        <f>0</f>
        <v>0</v>
      </c>
      <c r="V24" s="20">
        <f>0</f>
        <v>0</v>
      </c>
      <c r="W24" s="20">
        <f>0</f>
        <v>0</v>
      </c>
      <c r="X24" s="20">
        <f>0</f>
        <v>0</v>
      </c>
      <c r="Y24" s="20">
        <f>0</f>
        <v>0</v>
      </c>
      <c r="Z24" s="20">
        <f>0</f>
        <v>0</v>
      </c>
      <c r="AA24" s="20">
        <f>MIN(Z25,'Assumptions'!$F$69)</f>
        <v>0</v>
      </c>
      <c r="AB24" s="20">
        <f>MIN(AA25,'Assumptions'!$F$69)</f>
        <v>0</v>
      </c>
      <c r="AC24" s="20">
        <f>MIN(AB25,'Assumptions'!$F$69)</f>
        <v>0</v>
      </c>
      <c r="AD24" s="20">
        <f>MIN(AC25,'Assumptions'!$F$69)</f>
        <v>0</v>
      </c>
      <c r="AE24" s="20">
        <f>MIN(AD25,'Assumptions'!$F$69)</f>
        <v>0</v>
      </c>
      <c r="AF24" s="20">
        <f>MIN(AE25,'Assumptions'!$F$69)</f>
        <v>0</v>
      </c>
      <c r="AG24" s="20">
        <f>MIN(AF25,'Assumptions'!$F$69)</f>
        <v>0</v>
      </c>
      <c r="AH24" s="20">
        <f>MIN(AG25,'Assumptions'!$F$69)</f>
        <v>0</v>
      </c>
      <c r="AI24" s="20">
        <f>MIN(AH25,'Assumptions'!$F$69)</f>
        <v>0</v>
      </c>
      <c r="AJ24" s="20">
        <f>MIN(AI25,'Assumptions'!$F$69)</f>
        <v>0</v>
      </c>
      <c r="AK24" s="20">
        <f>MIN(AJ25,'Assumptions'!$F$69)</f>
        <v>0</v>
      </c>
      <c r="AL24" s="20">
        <f>MIN(AK25,'Assumptions'!$F$69)</f>
        <v>0</v>
      </c>
      <c r="AN24" s="20">
        <f>SUM(C24:E24)</f>
        <v>0</v>
      </c>
      <c r="AO24" s="20">
        <f>SUM(F24:H24)</f>
        <v>0</v>
      </c>
      <c r="AP24" s="20">
        <f>SUM(I24:K24)</f>
        <v>0</v>
      </c>
      <c r="AQ24" s="20">
        <f>SUM(L24:N24)</f>
        <v>0</v>
      </c>
      <c r="AR24" s="20">
        <f>SUM(O24:Q24)</f>
        <v>0</v>
      </c>
      <c r="AS24" s="20">
        <f>SUM(R24:T24)</f>
        <v>0</v>
      </c>
      <c r="AT24" s="20">
        <f>SUM(U24:W24)</f>
        <v>0</v>
      </c>
      <c r="AU24" s="20">
        <f>SUM(X24:Z24)</f>
        <v>0</v>
      </c>
      <c r="AV24" s="20">
        <f>SUM(AA24:AC24)</f>
        <v>0</v>
      </c>
      <c r="AW24" s="20">
        <f>SUM(AD24:AF24)</f>
        <v>0</v>
      </c>
      <c r="AX24" s="20">
        <f>SUM(AG24:AI24)</f>
        <v>0</v>
      </c>
      <c r="AY24" s="20">
        <f>SUM(AJ24:AL24)</f>
        <v>0</v>
      </c>
      <c r="BA24" s="20">
        <f>SUM(C24:N24)</f>
        <v>0</v>
      </c>
      <c r="BB24" s="20">
        <f>SUM(O24:Z24)</f>
        <v>0</v>
      </c>
      <c r="BC24" s="20">
        <f>SUM(AA24:AL24)</f>
        <v>0</v>
      </c>
    </row>
    <row r="25" spans="1:55">
      <c r="A25" s="28" t="s">
        <v>256</v>
      </c>
      <c r="B25" s="16" t="s">
        <v>257</v>
      </c>
      <c r="C25" s="29">
        <f>C23-C24</f>
        <v>0</v>
      </c>
      <c r="D25" s="29">
        <f>C25+D23-D24</f>
        <v>0</v>
      </c>
      <c r="E25" s="29">
        <f>D25+E23-E24</f>
        <v>0</v>
      </c>
      <c r="F25" s="29">
        <f>E25+F23-F24</f>
        <v>0</v>
      </c>
      <c r="G25" s="29">
        <f>F25+G23-G24</f>
        <v>0</v>
      </c>
      <c r="H25" s="29">
        <f>G25+H23-H24</f>
        <v>0</v>
      </c>
      <c r="I25" s="29">
        <f>H25+I23-I24</f>
        <v>0</v>
      </c>
      <c r="J25" s="29">
        <f>I25+J23-J24</f>
        <v>0</v>
      </c>
      <c r="K25" s="29">
        <f>J25+K23-K24</f>
        <v>0</v>
      </c>
      <c r="L25" s="29">
        <f>K25+L23-L24</f>
        <v>0</v>
      </c>
      <c r="M25" s="29">
        <f>L25+M23-M24</f>
        <v>0</v>
      </c>
      <c r="N25" s="29">
        <f>M25+N23-N24</f>
        <v>0</v>
      </c>
      <c r="O25" s="29">
        <f>N25+O23-O24</f>
        <v>0</v>
      </c>
      <c r="P25" s="29">
        <f>O25+P23-P24</f>
        <v>0</v>
      </c>
      <c r="Q25" s="29">
        <f>P25+Q23-Q24</f>
        <v>0</v>
      </c>
      <c r="R25" s="29">
        <f>Q25+R23-R24</f>
        <v>0</v>
      </c>
      <c r="S25" s="29">
        <f>R25+S23-S24</f>
        <v>0</v>
      </c>
      <c r="T25" s="29">
        <f>S25+T23-T24</f>
        <v>0</v>
      </c>
      <c r="U25" s="29">
        <f>T25+U23-U24</f>
        <v>0</v>
      </c>
      <c r="V25" s="29">
        <f>U25+V23-V24</f>
        <v>0</v>
      </c>
      <c r="W25" s="29">
        <f>V25+W23-W24</f>
        <v>0</v>
      </c>
      <c r="X25" s="29">
        <f>W25+X23-X24</f>
        <v>0</v>
      </c>
      <c r="Y25" s="29">
        <f>X25+Y23-Y24</f>
        <v>0</v>
      </c>
      <c r="Z25" s="29">
        <f>Y25+Z23-Z24</f>
        <v>0</v>
      </c>
      <c r="AA25" s="29">
        <f>Z25+AA23-AA24</f>
        <v>0</v>
      </c>
      <c r="AB25" s="29">
        <f>AA25+AB23-AB24</f>
        <v>0</v>
      </c>
      <c r="AC25" s="29">
        <f>AB25+AC23-AC24</f>
        <v>0</v>
      </c>
      <c r="AD25" s="29">
        <f>AC25+AD23-AD24</f>
        <v>0</v>
      </c>
      <c r="AE25" s="29">
        <f>AD25+AE23-AE24</f>
        <v>0</v>
      </c>
      <c r="AF25" s="29">
        <f>AE25+AF23-AF24</f>
        <v>0</v>
      </c>
      <c r="AG25" s="29">
        <f>AF25+AG23-AG24</f>
        <v>0</v>
      </c>
      <c r="AH25" s="29">
        <f>AG25+AH23-AH24</f>
        <v>0</v>
      </c>
      <c r="AI25" s="29">
        <f>AH25+AI23-AI24</f>
        <v>0</v>
      </c>
      <c r="AJ25" s="29">
        <f>AI25+AJ23-AJ24</f>
        <v>0</v>
      </c>
      <c r="AK25" s="29">
        <f>AJ25+AK23-AK24</f>
        <v>0</v>
      </c>
      <c r="AL25" s="29">
        <f>AK25+AL23-AL24</f>
        <v>0</v>
      </c>
      <c r="AN25" s="29">
        <f>E25</f>
        <v>0</v>
      </c>
      <c r="AO25" s="29">
        <f>H25</f>
        <v>0</v>
      </c>
      <c r="AP25" s="29">
        <f>K25</f>
        <v>0</v>
      </c>
      <c r="AQ25" s="29">
        <f>N25</f>
        <v>0</v>
      </c>
      <c r="AR25" s="29">
        <f>Q25</f>
        <v>0</v>
      </c>
      <c r="AS25" s="29">
        <f>T25</f>
        <v>0</v>
      </c>
      <c r="AT25" s="29">
        <f>W25</f>
        <v>0</v>
      </c>
      <c r="AU25" s="29">
        <f>Z25</f>
        <v>0</v>
      </c>
      <c r="AV25" s="29">
        <f>AC25</f>
        <v>0</v>
      </c>
      <c r="AW25" s="29">
        <f>AF25</f>
        <v>0</v>
      </c>
      <c r="AX25" s="29">
        <f>AI25</f>
        <v>0</v>
      </c>
      <c r="AY25" s="29">
        <f>AL25</f>
        <v>0</v>
      </c>
      <c r="BA25" s="29">
        <f>N25</f>
        <v>0</v>
      </c>
      <c r="BB25" s="29">
        <f>Z25</f>
        <v>0</v>
      </c>
      <c r="BC25" s="29">
        <f>AL25</f>
        <v>0</v>
      </c>
    </row>
    <row r="26" spans="1:55">
      <c r="A26" s="18" t="s">
        <v>258</v>
      </c>
      <c r="B26" s="16" t="s">
        <v>259</v>
      </c>
      <c r="C26" s="20">
        <f>C23*'Assumptions'!$F$67/12/2</f>
        <v>0</v>
      </c>
      <c r="D26" s="20">
        <f>C25*'Assumptions'!$F$67/12</f>
        <v>0</v>
      </c>
      <c r="E26" s="20">
        <f>D25*'Assumptions'!$F$67/12</f>
        <v>0</v>
      </c>
      <c r="F26" s="20">
        <f>E25*'Assumptions'!$F$67/12</f>
        <v>0</v>
      </c>
      <c r="G26" s="20">
        <f>F25*'Assumptions'!$F$67/12</f>
        <v>0</v>
      </c>
      <c r="H26" s="20">
        <f>G25*'Assumptions'!$F$67/12</f>
        <v>0</v>
      </c>
      <c r="I26" s="20">
        <f>H25*'Assumptions'!$F$67/12</f>
        <v>0</v>
      </c>
      <c r="J26" s="20">
        <f>I25*'Assumptions'!$F$67/12</f>
        <v>0</v>
      </c>
      <c r="K26" s="20">
        <f>J25*'Assumptions'!$F$67/12</f>
        <v>0</v>
      </c>
      <c r="L26" s="20">
        <f>K25*'Assumptions'!$F$67/12</f>
        <v>0</v>
      </c>
      <c r="M26" s="20">
        <f>L25*'Assumptions'!$F$67/12</f>
        <v>0</v>
      </c>
      <c r="N26" s="20">
        <f>M25*'Assumptions'!$F$67/12</f>
        <v>0</v>
      </c>
      <c r="O26" s="20">
        <f>N25*'Assumptions'!$F$67/12</f>
        <v>0</v>
      </c>
      <c r="P26" s="20">
        <f>O25*'Assumptions'!$F$67/12</f>
        <v>0</v>
      </c>
      <c r="Q26" s="20">
        <f>P25*'Assumptions'!$F$67/12</f>
        <v>0</v>
      </c>
      <c r="R26" s="20">
        <f>Q25*'Assumptions'!$F$67/12</f>
        <v>0</v>
      </c>
      <c r="S26" s="20">
        <f>R25*'Assumptions'!$F$67/12</f>
        <v>0</v>
      </c>
      <c r="T26" s="20">
        <f>S25*'Assumptions'!$F$67/12</f>
        <v>0</v>
      </c>
      <c r="U26" s="20">
        <f>T25*'Assumptions'!$F$67/12</f>
        <v>0</v>
      </c>
      <c r="V26" s="20">
        <f>U25*'Assumptions'!$F$67/12</f>
        <v>0</v>
      </c>
      <c r="W26" s="20">
        <f>V25*'Assumptions'!$F$67/12</f>
        <v>0</v>
      </c>
      <c r="X26" s="20">
        <f>W25*'Assumptions'!$F$67/12</f>
        <v>0</v>
      </c>
      <c r="Y26" s="20">
        <f>X25*'Assumptions'!$F$67/12</f>
        <v>0</v>
      </c>
      <c r="Z26" s="20">
        <f>Y25*'Assumptions'!$F$67/12</f>
        <v>0</v>
      </c>
      <c r="AA26" s="20">
        <f>Z25*'Assumptions'!$F$67/12</f>
        <v>0</v>
      </c>
      <c r="AB26" s="20">
        <f>AA25*'Assumptions'!$F$67/12</f>
        <v>0</v>
      </c>
      <c r="AC26" s="20">
        <f>AB25*'Assumptions'!$F$67/12</f>
        <v>0</v>
      </c>
      <c r="AD26" s="20">
        <f>AC25*'Assumptions'!$F$67/12</f>
        <v>0</v>
      </c>
      <c r="AE26" s="20">
        <f>AD25*'Assumptions'!$F$67/12</f>
        <v>0</v>
      </c>
      <c r="AF26" s="20">
        <f>AE25*'Assumptions'!$F$67/12</f>
        <v>0</v>
      </c>
      <c r="AG26" s="20">
        <f>AF25*'Assumptions'!$F$67/12</f>
        <v>0</v>
      </c>
      <c r="AH26" s="20">
        <f>AG25*'Assumptions'!$F$67/12</f>
        <v>0</v>
      </c>
      <c r="AI26" s="20">
        <f>AH25*'Assumptions'!$F$67/12</f>
        <v>0</v>
      </c>
      <c r="AJ26" s="20">
        <f>AI25*'Assumptions'!$F$67/12</f>
        <v>0</v>
      </c>
      <c r="AK26" s="20">
        <f>AJ25*'Assumptions'!$F$67/12</f>
        <v>0</v>
      </c>
      <c r="AL26" s="20">
        <f>AK25*'Assumptions'!$F$67/12</f>
        <v>0</v>
      </c>
      <c r="AN26" s="20">
        <f>SUM(C26:E26)</f>
        <v>0</v>
      </c>
      <c r="AO26" s="20">
        <f>SUM(F26:H26)</f>
        <v>0</v>
      </c>
      <c r="AP26" s="20">
        <f>SUM(I26:K26)</f>
        <v>0</v>
      </c>
      <c r="AQ26" s="20">
        <f>SUM(L26:N26)</f>
        <v>0</v>
      </c>
      <c r="AR26" s="20">
        <f>SUM(O26:Q26)</f>
        <v>0</v>
      </c>
      <c r="AS26" s="20">
        <f>SUM(R26:T26)</f>
        <v>0</v>
      </c>
      <c r="AT26" s="20">
        <f>SUM(U26:W26)</f>
        <v>0</v>
      </c>
      <c r="AU26" s="20">
        <f>SUM(X26:Z26)</f>
        <v>0</v>
      </c>
      <c r="AV26" s="20">
        <f>SUM(AA26:AC26)</f>
        <v>0</v>
      </c>
      <c r="AW26" s="20">
        <f>SUM(AD26:AF26)</f>
        <v>0</v>
      </c>
      <c r="AX26" s="20">
        <f>SUM(AG26:AI26)</f>
        <v>0</v>
      </c>
      <c r="AY26" s="20">
        <f>SUM(AJ26:AL26)</f>
        <v>0</v>
      </c>
      <c r="BA26" s="20">
        <f>SUM(C26:N26)</f>
        <v>0</v>
      </c>
      <c r="BB26" s="20">
        <f>SUM(O26:Z26)</f>
        <v>0</v>
      </c>
      <c r="BC26" s="20">
        <f>SUM(AA26:AL26)</f>
        <v>0</v>
      </c>
    </row>
    <row r="27" spans="1:55" ht="5" customHeight="1"/>
    <row r="28" spans="1:55" ht="16" customHeight="1">
      <c r="A28" s="14" t="s">
        <v>260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</row>
    <row r="29" spans="1:55">
      <c r="A29" s="18" t="s">
        <v>261</v>
      </c>
      <c r="B29" s="16" t="s">
        <v>262</v>
      </c>
      <c r="C29" s="20">
        <f>0</f>
        <v>0</v>
      </c>
      <c r="D29" s="20">
        <f>0</f>
        <v>0</v>
      </c>
      <c r="E29" s="20">
        <f>0</f>
        <v>0</v>
      </c>
      <c r="F29" s="20">
        <f>'Assumptions'!$F$70</f>
        <v>0</v>
      </c>
      <c r="G29" s="20">
        <f>0</f>
        <v>0</v>
      </c>
      <c r="H29" s="20">
        <f>0</f>
        <v>0</v>
      </c>
      <c r="I29" s="20">
        <f>0</f>
        <v>0</v>
      </c>
      <c r="J29" s="20">
        <f>0</f>
        <v>0</v>
      </c>
      <c r="K29" s="20">
        <f>0</f>
        <v>0</v>
      </c>
      <c r="L29" s="20">
        <f>0</f>
        <v>0</v>
      </c>
      <c r="M29" s="20">
        <f>0</f>
        <v>0</v>
      </c>
      <c r="N29" s="20">
        <f>0</f>
        <v>0</v>
      </c>
      <c r="O29" s="20">
        <f>0</f>
        <v>0</v>
      </c>
      <c r="P29" s="20">
        <f>0</f>
        <v>0</v>
      </c>
      <c r="Q29" s="20">
        <f>0</f>
        <v>0</v>
      </c>
      <c r="R29" s="20">
        <f>0</f>
        <v>0</v>
      </c>
      <c r="S29" s="20">
        <f>0</f>
        <v>0</v>
      </c>
      <c r="T29" s="20">
        <f>0</f>
        <v>0</v>
      </c>
      <c r="U29" s="20">
        <f>0</f>
        <v>0</v>
      </c>
      <c r="V29" s="20">
        <f>0</f>
        <v>0</v>
      </c>
      <c r="W29" s="20">
        <f>0</f>
        <v>0</v>
      </c>
      <c r="X29" s="20">
        <f>'Assumptions'!$F$71</f>
        <v>0</v>
      </c>
      <c r="Y29" s="20">
        <f>0</f>
        <v>0</v>
      </c>
      <c r="Z29" s="20">
        <f>0</f>
        <v>0</v>
      </c>
      <c r="AA29" s="20">
        <f>0</f>
        <v>0</v>
      </c>
      <c r="AB29" s="20">
        <f>0</f>
        <v>0</v>
      </c>
      <c r="AC29" s="20">
        <f>0</f>
        <v>0</v>
      </c>
      <c r="AD29" s="20">
        <f>0</f>
        <v>0</v>
      </c>
      <c r="AE29" s="20">
        <f>0</f>
        <v>0</v>
      </c>
      <c r="AF29" s="20">
        <f>0</f>
        <v>0</v>
      </c>
      <c r="AG29" s="20">
        <f>0</f>
        <v>0</v>
      </c>
      <c r="AH29" s="20">
        <f>0</f>
        <v>0</v>
      </c>
      <c r="AI29" s="20">
        <f>0</f>
        <v>0</v>
      </c>
      <c r="AJ29" s="20">
        <f>0</f>
        <v>0</v>
      </c>
      <c r="AK29" s="20">
        <f>0</f>
        <v>0</v>
      </c>
      <c r="AL29" s="20">
        <f>0</f>
        <v>0</v>
      </c>
      <c r="AN29" s="20">
        <f>SUM(C29:E29)</f>
        <v>0</v>
      </c>
      <c r="AO29" s="20">
        <f>SUM(F29:H29)</f>
        <v>0</v>
      </c>
      <c r="AP29" s="20">
        <f>SUM(I29:K29)</f>
        <v>0</v>
      </c>
      <c r="AQ29" s="20">
        <f>SUM(L29:N29)</f>
        <v>0</v>
      </c>
      <c r="AR29" s="20">
        <f>SUM(O29:Q29)</f>
        <v>0</v>
      </c>
      <c r="AS29" s="20">
        <f>SUM(R29:T29)</f>
        <v>0</v>
      </c>
      <c r="AT29" s="20">
        <f>SUM(U29:W29)</f>
        <v>0</v>
      </c>
      <c r="AU29" s="20">
        <f>SUM(X29:Z29)</f>
        <v>0</v>
      </c>
      <c r="AV29" s="20">
        <f>SUM(AA29:AC29)</f>
        <v>0</v>
      </c>
      <c r="AW29" s="20">
        <f>SUM(AD29:AF29)</f>
        <v>0</v>
      </c>
      <c r="AX29" s="20">
        <f>SUM(AG29:AI29)</f>
        <v>0</v>
      </c>
      <c r="AY29" s="20">
        <f>SUM(AJ29:AL29)</f>
        <v>0</v>
      </c>
      <c r="BA29" s="20">
        <f>SUM(C29:N29)</f>
        <v>0</v>
      </c>
      <c r="BB29" s="20">
        <f>SUM(O29:Z29)</f>
        <v>0</v>
      </c>
      <c r="BC29" s="20">
        <f>SUM(AA29:AL29)</f>
        <v>0</v>
      </c>
    </row>
    <row r="30" spans="1:55">
      <c r="A30" s="18" t="s">
        <v>263</v>
      </c>
      <c r="B30" s="16"/>
      <c r="C30" s="29">
        <f>C29</f>
        <v>0</v>
      </c>
      <c r="D30" s="29">
        <f>C30+D29</f>
        <v>0</v>
      </c>
      <c r="E30" s="29">
        <f>D30+E29</f>
        <v>0</v>
      </c>
      <c r="F30" s="29">
        <f>E30+F29</f>
        <v>0</v>
      </c>
      <c r="G30" s="29">
        <f>F30+G29</f>
        <v>0</v>
      </c>
      <c r="H30" s="29">
        <f>G30+H29</f>
        <v>0</v>
      </c>
      <c r="I30" s="29">
        <f>H30+I29</f>
        <v>0</v>
      </c>
      <c r="J30" s="29">
        <f>I30+J29</f>
        <v>0</v>
      </c>
      <c r="K30" s="29">
        <f>J30+K29</f>
        <v>0</v>
      </c>
      <c r="L30" s="29">
        <f>K30+L29</f>
        <v>0</v>
      </c>
      <c r="M30" s="29">
        <f>L30+M29</f>
        <v>0</v>
      </c>
      <c r="N30" s="29">
        <f>M30+N29</f>
        <v>0</v>
      </c>
      <c r="O30" s="29">
        <f>N30+O29</f>
        <v>0</v>
      </c>
      <c r="P30" s="29">
        <f>O30+P29</f>
        <v>0</v>
      </c>
      <c r="Q30" s="29">
        <f>P30+Q29</f>
        <v>0</v>
      </c>
      <c r="R30" s="29">
        <f>Q30+R29</f>
        <v>0</v>
      </c>
      <c r="S30" s="29">
        <f>R30+S29</f>
        <v>0</v>
      </c>
      <c r="T30" s="29">
        <f>S30+T29</f>
        <v>0</v>
      </c>
      <c r="U30" s="29">
        <f>T30+U29</f>
        <v>0</v>
      </c>
      <c r="V30" s="29">
        <f>U30+V29</f>
        <v>0</v>
      </c>
      <c r="W30" s="29">
        <f>V30+W29</f>
        <v>0</v>
      </c>
      <c r="X30" s="29">
        <f>W30+X29</f>
        <v>0</v>
      </c>
      <c r="Y30" s="29">
        <f>X30+Y29</f>
        <v>0</v>
      </c>
      <c r="Z30" s="29">
        <f>Y30+Z29</f>
        <v>0</v>
      </c>
      <c r="AA30" s="29">
        <f>Z30+AA29</f>
        <v>0</v>
      </c>
      <c r="AB30" s="29">
        <f>AA30+AB29</f>
        <v>0</v>
      </c>
      <c r="AC30" s="29">
        <f>AB30+AC29</f>
        <v>0</v>
      </c>
      <c r="AD30" s="29">
        <f>AC30+AD29</f>
        <v>0</v>
      </c>
      <c r="AE30" s="29">
        <f>AD30+AE29</f>
        <v>0</v>
      </c>
      <c r="AF30" s="29">
        <f>AE30+AF29</f>
        <v>0</v>
      </c>
      <c r="AG30" s="29">
        <f>AF30+AG29</f>
        <v>0</v>
      </c>
      <c r="AH30" s="29">
        <f>AG30+AH29</f>
        <v>0</v>
      </c>
      <c r="AI30" s="29">
        <f>AH30+AI29</f>
        <v>0</v>
      </c>
      <c r="AJ30" s="29">
        <f>AI30+AJ29</f>
        <v>0</v>
      </c>
      <c r="AK30" s="29">
        <f>AJ30+AK29</f>
        <v>0</v>
      </c>
      <c r="AL30" s="29">
        <f>AK30+AL29</f>
        <v>0</v>
      </c>
      <c r="AN30" s="29">
        <f>E30</f>
        <v>0</v>
      </c>
      <c r="AO30" s="29">
        <f>H30</f>
        <v>0</v>
      </c>
      <c r="AP30" s="29">
        <f>K30</f>
        <v>0</v>
      </c>
      <c r="AQ30" s="29">
        <f>N30</f>
        <v>0</v>
      </c>
      <c r="AR30" s="29">
        <f>Q30</f>
        <v>0</v>
      </c>
      <c r="AS30" s="29">
        <f>T30</f>
        <v>0</v>
      </c>
      <c r="AT30" s="29">
        <f>W30</f>
        <v>0</v>
      </c>
      <c r="AU30" s="29">
        <f>Z30</f>
        <v>0</v>
      </c>
      <c r="AV30" s="29">
        <f>AC30</f>
        <v>0</v>
      </c>
      <c r="AW30" s="29">
        <f>AF30</f>
        <v>0</v>
      </c>
      <c r="AX30" s="29">
        <f>AI30</f>
        <v>0</v>
      </c>
      <c r="AY30" s="29">
        <f>AL30</f>
        <v>0</v>
      </c>
      <c r="BA30" s="29">
        <f>N30</f>
        <v>0</v>
      </c>
      <c r="BB30" s="29">
        <f>Z30</f>
        <v>0</v>
      </c>
      <c r="BC30" s="29">
        <f>AL30</f>
        <v>0</v>
      </c>
    </row>
  </sheetData>
  <mergeCells count="9">
    <mergeCell ref="A1:BC1"/>
    <mergeCell ref="A2:BC2"/>
    <mergeCell ref="C5:AL5"/>
    <mergeCell ref="AN5:AY5"/>
    <mergeCell ref="BA5:BC5"/>
    <mergeCell ref="A7:BC7"/>
    <mergeCell ref="A17:BC17"/>
    <mergeCell ref="A22:BC22"/>
    <mergeCell ref="A28:BC28"/>
  </mergeCells>
  <pageMargins left="0.7" right="0.7" top="0.75" bottom="0.75" header="0.3" footer="0.3"/>
  <pageSetup paperSize="9" scale="5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BC24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264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265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130</v>
      </c>
      <c r="B5" s="14" t="s">
        <v>131</v>
      </c>
      <c r="C5" s="14" t="s">
        <v>127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128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129</v>
      </c>
      <c r="BB5" s="14"/>
      <c r="BC5" s="14"/>
    </row>
    <row r="6" spans="1:55">
      <c r="A6" s="17"/>
      <c r="B6" s="17"/>
      <c r="C6" s="26">
        <v>46023</v>
      </c>
      <c r="D6" s="26">
        <v>46054</v>
      </c>
      <c r="E6" s="26">
        <v>46082</v>
      </c>
      <c r="F6" s="26">
        <v>46113</v>
      </c>
      <c r="G6" s="26">
        <v>46143</v>
      </c>
      <c r="H6" s="26">
        <v>46174</v>
      </c>
      <c r="I6" s="26">
        <v>46204</v>
      </c>
      <c r="J6" s="26">
        <v>46235</v>
      </c>
      <c r="K6" s="26">
        <v>46266</v>
      </c>
      <c r="L6" s="26">
        <v>46296</v>
      </c>
      <c r="M6" s="26">
        <v>46327</v>
      </c>
      <c r="N6" s="26">
        <v>46357</v>
      </c>
      <c r="O6" s="26">
        <v>46388</v>
      </c>
      <c r="P6" s="26">
        <v>46419</v>
      </c>
      <c r="Q6" s="26">
        <v>46447</v>
      </c>
      <c r="R6" s="26">
        <v>46478</v>
      </c>
      <c r="S6" s="26">
        <v>46508</v>
      </c>
      <c r="T6" s="26">
        <v>46539</v>
      </c>
      <c r="U6" s="26">
        <v>46569</v>
      </c>
      <c r="V6" s="26">
        <v>46600</v>
      </c>
      <c r="W6" s="26">
        <v>46631</v>
      </c>
      <c r="X6" s="26">
        <v>46661</v>
      </c>
      <c r="Y6" s="26">
        <v>46692</v>
      </c>
      <c r="Z6" s="26">
        <v>46722</v>
      </c>
      <c r="AA6" s="26">
        <v>46753</v>
      </c>
      <c r="AB6" s="26">
        <v>46784</v>
      </c>
      <c r="AC6" s="26">
        <v>46813</v>
      </c>
      <c r="AD6" s="26">
        <v>46844</v>
      </c>
      <c r="AE6" s="26">
        <v>46874</v>
      </c>
      <c r="AF6" s="26">
        <v>46905</v>
      </c>
      <c r="AG6" s="26">
        <v>46935</v>
      </c>
      <c r="AH6" s="26">
        <v>46966</v>
      </c>
      <c r="AI6" s="26">
        <v>46997</v>
      </c>
      <c r="AJ6" s="26">
        <v>47027</v>
      </c>
      <c r="AK6" s="26">
        <v>47058</v>
      </c>
      <c r="AL6" s="26">
        <v>47088</v>
      </c>
      <c r="AN6" s="17" t="s">
        <v>132</v>
      </c>
      <c r="AO6" s="17" t="s">
        <v>133</v>
      </c>
      <c r="AP6" s="17" t="s">
        <v>134</v>
      </c>
      <c r="AQ6" s="17" t="s">
        <v>135</v>
      </c>
      <c r="AR6" s="17" t="s">
        <v>136</v>
      </c>
      <c r="AS6" s="17" t="s">
        <v>137</v>
      </c>
      <c r="AT6" s="17" t="s">
        <v>138</v>
      </c>
      <c r="AU6" s="17" t="s">
        <v>139</v>
      </c>
      <c r="AV6" s="17" t="s">
        <v>140</v>
      </c>
      <c r="AW6" s="17" t="s">
        <v>141</v>
      </c>
      <c r="AX6" s="17" t="s">
        <v>142</v>
      </c>
      <c r="AY6" s="17" t="s">
        <v>143</v>
      </c>
      <c r="BA6" s="17" t="s">
        <v>144</v>
      </c>
      <c r="BB6" s="17" t="s">
        <v>145</v>
      </c>
      <c r="BC6" s="17" t="s">
        <v>146</v>
      </c>
    </row>
    <row r="7" spans="1:55">
      <c r="A7" s="18" t="s">
        <v>266</v>
      </c>
      <c r="B7" s="16"/>
      <c r="C7" s="20">
        <f>'Revenue'!$C$27</f>
        <v>0</v>
      </c>
      <c r="D7" s="20">
        <f>'Revenue'!$D$27</f>
        <v>0</v>
      </c>
      <c r="E7" s="20">
        <f>'Revenue'!$E$27</f>
        <v>0</v>
      </c>
      <c r="F7" s="20">
        <f>'Revenue'!$F$27</f>
        <v>0</v>
      </c>
      <c r="G7" s="20">
        <f>'Revenue'!$G$27</f>
        <v>0</v>
      </c>
      <c r="H7" s="20">
        <f>'Revenue'!$H$27</f>
        <v>0</v>
      </c>
      <c r="I7" s="20">
        <f>'Revenue'!$I$27</f>
        <v>0</v>
      </c>
      <c r="J7" s="20">
        <f>'Revenue'!$J$27</f>
        <v>0</v>
      </c>
      <c r="K7" s="20">
        <f>'Revenue'!$K$27</f>
        <v>0</v>
      </c>
      <c r="L7" s="20">
        <f>'Revenue'!$L$27</f>
        <v>0</v>
      </c>
      <c r="M7" s="20">
        <f>'Revenue'!$M$27</f>
        <v>0</v>
      </c>
      <c r="N7" s="20">
        <f>'Revenue'!$N$27</f>
        <v>0</v>
      </c>
      <c r="O7" s="20">
        <f>'Revenue'!$O$27</f>
        <v>0</v>
      </c>
      <c r="P7" s="20">
        <f>'Revenue'!$P$27</f>
        <v>0</v>
      </c>
      <c r="Q7" s="20">
        <f>'Revenue'!$Q$27</f>
        <v>0</v>
      </c>
      <c r="R7" s="20">
        <f>'Revenue'!$R$27</f>
        <v>0</v>
      </c>
      <c r="S7" s="20">
        <f>'Revenue'!$S$27</f>
        <v>0</v>
      </c>
      <c r="T7" s="20">
        <f>'Revenue'!$T$27</f>
        <v>0</v>
      </c>
      <c r="U7" s="20">
        <f>'Revenue'!$U$27</f>
        <v>0</v>
      </c>
      <c r="V7" s="20">
        <f>'Revenue'!$V$27</f>
        <v>0</v>
      </c>
      <c r="W7" s="20">
        <f>'Revenue'!$W$27</f>
        <v>0</v>
      </c>
      <c r="X7" s="20">
        <f>'Revenue'!$X$27</f>
        <v>0</v>
      </c>
      <c r="Y7" s="20">
        <f>'Revenue'!$Y$27</f>
        <v>0</v>
      </c>
      <c r="Z7" s="20">
        <f>'Revenue'!$Z$27</f>
        <v>0</v>
      </c>
      <c r="AA7" s="20">
        <f>'Revenue'!$AA$27</f>
        <v>0</v>
      </c>
      <c r="AB7" s="20">
        <f>'Revenue'!$AB$27</f>
        <v>0</v>
      </c>
      <c r="AC7" s="20">
        <f>'Revenue'!$AC$27</f>
        <v>0</v>
      </c>
      <c r="AD7" s="20">
        <f>'Revenue'!$AD$27</f>
        <v>0</v>
      </c>
      <c r="AE7" s="20">
        <f>'Revenue'!$AE$27</f>
        <v>0</v>
      </c>
      <c r="AF7" s="20">
        <f>'Revenue'!$AF$27</f>
        <v>0</v>
      </c>
      <c r="AG7" s="20">
        <f>'Revenue'!$AG$27</f>
        <v>0</v>
      </c>
      <c r="AH7" s="20">
        <f>'Revenue'!$AH$27</f>
        <v>0</v>
      </c>
      <c r="AI7" s="20">
        <f>'Revenue'!$AI$27</f>
        <v>0</v>
      </c>
      <c r="AJ7" s="20">
        <f>'Revenue'!$AJ$27</f>
        <v>0</v>
      </c>
      <c r="AK7" s="20">
        <f>'Revenue'!$AK$27</f>
        <v>0</v>
      </c>
      <c r="AL7" s="20">
        <f>'Revenue'!$AL$27</f>
        <v>0</v>
      </c>
      <c r="AN7" s="20">
        <f>SUM(C7:E7)</f>
        <v>0</v>
      </c>
      <c r="AO7" s="20">
        <f>SUM(F7:H7)</f>
        <v>0</v>
      </c>
      <c r="AP7" s="20">
        <f>SUM(I7:K7)</f>
        <v>0</v>
      </c>
      <c r="AQ7" s="20">
        <f>SUM(L7:N7)</f>
        <v>0</v>
      </c>
      <c r="AR7" s="20">
        <f>SUM(O7:Q7)</f>
        <v>0</v>
      </c>
      <c r="AS7" s="20">
        <f>SUM(R7:T7)</f>
        <v>0</v>
      </c>
      <c r="AT7" s="20">
        <f>SUM(U7:W7)</f>
        <v>0</v>
      </c>
      <c r="AU7" s="20">
        <f>SUM(X7:Z7)</f>
        <v>0</v>
      </c>
      <c r="AV7" s="20">
        <f>SUM(AA7:AC7)</f>
        <v>0</v>
      </c>
      <c r="AW7" s="20">
        <f>SUM(AD7:AF7)</f>
        <v>0</v>
      </c>
      <c r="AX7" s="20">
        <f>SUM(AG7:AI7)</f>
        <v>0</v>
      </c>
      <c r="AY7" s="20">
        <f>SUM(AJ7:AL7)</f>
        <v>0</v>
      </c>
      <c r="BA7" s="20">
        <f>SUM(C7:N7)</f>
        <v>0</v>
      </c>
      <c r="BB7" s="20">
        <f>SUM(O7:Z7)</f>
        <v>0</v>
      </c>
      <c r="BC7" s="20">
        <f>SUM(AA7:AL7)</f>
        <v>0</v>
      </c>
    </row>
    <row r="8" spans="1:55">
      <c r="A8" s="18" t="s">
        <v>267</v>
      </c>
      <c r="B8" s="16"/>
      <c r="C8" s="20">
        <f>'COGS &amp; GM'!$C$12</f>
        <v>0</v>
      </c>
      <c r="D8" s="20">
        <f>'COGS &amp; GM'!$D$12</f>
        <v>0</v>
      </c>
      <c r="E8" s="20">
        <f>'COGS &amp; GM'!$E$12</f>
        <v>0</v>
      </c>
      <c r="F8" s="20">
        <f>'COGS &amp; GM'!$F$12</f>
        <v>0</v>
      </c>
      <c r="G8" s="20">
        <f>'COGS &amp; GM'!$G$12</f>
        <v>0</v>
      </c>
      <c r="H8" s="20">
        <f>'COGS &amp; GM'!$H$12</f>
        <v>0</v>
      </c>
      <c r="I8" s="20">
        <f>'COGS &amp; GM'!$I$12</f>
        <v>0</v>
      </c>
      <c r="J8" s="20">
        <f>'COGS &amp; GM'!$J$12</f>
        <v>0</v>
      </c>
      <c r="K8" s="20">
        <f>'COGS &amp; GM'!$K$12</f>
        <v>0</v>
      </c>
      <c r="L8" s="20">
        <f>'COGS &amp; GM'!$L$12</f>
        <v>0</v>
      </c>
      <c r="M8" s="20">
        <f>'COGS &amp; GM'!$M$12</f>
        <v>0</v>
      </c>
      <c r="N8" s="20">
        <f>'COGS &amp; GM'!$N$12</f>
        <v>0</v>
      </c>
      <c r="O8" s="20">
        <f>'COGS &amp; GM'!$O$12</f>
        <v>0</v>
      </c>
      <c r="P8" s="20">
        <f>'COGS &amp; GM'!$P$12</f>
        <v>0</v>
      </c>
      <c r="Q8" s="20">
        <f>'COGS &amp; GM'!$Q$12</f>
        <v>0</v>
      </c>
      <c r="R8" s="20">
        <f>'COGS &amp; GM'!$R$12</f>
        <v>0</v>
      </c>
      <c r="S8" s="20">
        <f>'COGS &amp; GM'!$S$12</f>
        <v>0</v>
      </c>
      <c r="T8" s="20">
        <f>'COGS &amp; GM'!$T$12</f>
        <v>0</v>
      </c>
      <c r="U8" s="20">
        <f>'COGS &amp; GM'!$U$12</f>
        <v>0</v>
      </c>
      <c r="V8" s="20">
        <f>'COGS &amp; GM'!$V$12</f>
        <v>0</v>
      </c>
      <c r="W8" s="20">
        <f>'COGS &amp; GM'!$W$12</f>
        <v>0</v>
      </c>
      <c r="X8" s="20">
        <f>'COGS &amp; GM'!$X$12</f>
        <v>0</v>
      </c>
      <c r="Y8" s="20">
        <f>'COGS &amp; GM'!$Y$12</f>
        <v>0</v>
      </c>
      <c r="Z8" s="20">
        <f>'COGS &amp; GM'!$Z$12</f>
        <v>0</v>
      </c>
      <c r="AA8" s="20">
        <f>'COGS &amp; GM'!$AA$12</f>
        <v>0</v>
      </c>
      <c r="AB8" s="20">
        <f>'COGS &amp; GM'!$AB$12</f>
        <v>0</v>
      </c>
      <c r="AC8" s="20">
        <f>'COGS &amp; GM'!$AC$12</f>
        <v>0</v>
      </c>
      <c r="AD8" s="20">
        <f>'COGS &amp; GM'!$AD$12</f>
        <v>0</v>
      </c>
      <c r="AE8" s="20">
        <f>'COGS &amp; GM'!$AE$12</f>
        <v>0</v>
      </c>
      <c r="AF8" s="20">
        <f>'COGS &amp; GM'!$AF$12</f>
        <v>0</v>
      </c>
      <c r="AG8" s="20">
        <f>'COGS &amp; GM'!$AG$12</f>
        <v>0</v>
      </c>
      <c r="AH8" s="20">
        <f>'COGS &amp; GM'!$AH$12</f>
        <v>0</v>
      </c>
      <c r="AI8" s="20">
        <f>'COGS &amp; GM'!$AI$12</f>
        <v>0</v>
      </c>
      <c r="AJ8" s="20">
        <f>'COGS &amp; GM'!$AJ$12</f>
        <v>0</v>
      </c>
      <c r="AK8" s="20">
        <f>'COGS &amp; GM'!$AK$12</f>
        <v>0</v>
      </c>
      <c r="AL8" s="20">
        <f>'COGS &amp; GM'!$AL$12</f>
        <v>0</v>
      </c>
      <c r="AN8" s="20">
        <f>SUM(C8:E8)</f>
        <v>0</v>
      </c>
      <c r="AO8" s="20">
        <f>SUM(F8:H8)</f>
        <v>0</v>
      </c>
      <c r="AP8" s="20">
        <f>SUM(I8:K8)</f>
        <v>0</v>
      </c>
      <c r="AQ8" s="20">
        <f>SUM(L8:N8)</f>
        <v>0</v>
      </c>
      <c r="AR8" s="20">
        <f>SUM(O8:Q8)</f>
        <v>0</v>
      </c>
      <c r="AS8" s="20">
        <f>SUM(R8:T8)</f>
        <v>0</v>
      </c>
      <c r="AT8" s="20">
        <f>SUM(U8:W8)</f>
        <v>0</v>
      </c>
      <c r="AU8" s="20">
        <f>SUM(X8:Z8)</f>
        <v>0</v>
      </c>
      <c r="AV8" s="20">
        <f>SUM(AA8:AC8)</f>
        <v>0</v>
      </c>
      <c r="AW8" s="20">
        <f>SUM(AD8:AF8)</f>
        <v>0</v>
      </c>
      <c r="AX8" s="20">
        <f>SUM(AG8:AI8)</f>
        <v>0</v>
      </c>
      <c r="AY8" s="20">
        <f>SUM(AJ8:AL8)</f>
        <v>0</v>
      </c>
      <c r="BA8" s="20">
        <f>SUM(C8:N8)</f>
        <v>0</v>
      </c>
      <c r="BB8" s="20">
        <f>SUM(O8:Z8)</f>
        <v>0</v>
      </c>
      <c r="BC8" s="20">
        <f>SUM(AA8:AL8)</f>
        <v>0</v>
      </c>
    </row>
    <row r="9" spans="1:55">
      <c r="A9" s="28" t="s">
        <v>207</v>
      </c>
      <c r="B9" s="16"/>
      <c r="C9" s="29">
        <f>C7-C8</f>
        <v>0</v>
      </c>
      <c r="D9" s="29">
        <f>D7-D8</f>
        <v>0</v>
      </c>
      <c r="E9" s="29">
        <f>E7-E8</f>
        <v>0</v>
      </c>
      <c r="F9" s="29">
        <f>F7-F8</f>
        <v>0</v>
      </c>
      <c r="G9" s="29">
        <f>G7-G8</f>
        <v>0</v>
      </c>
      <c r="H9" s="29">
        <f>H7-H8</f>
        <v>0</v>
      </c>
      <c r="I9" s="29">
        <f>I7-I8</f>
        <v>0</v>
      </c>
      <c r="J9" s="29">
        <f>J7-J8</f>
        <v>0</v>
      </c>
      <c r="K9" s="29">
        <f>K7-K8</f>
        <v>0</v>
      </c>
      <c r="L9" s="29">
        <f>L7-L8</f>
        <v>0</v>
      </c>
      <c r="M9" s="29">
        <f>M7-M8</f>
        <v>0</v>
      </c>
      <c r="N9" s="29">
        <f>N7-N8</f>
        <v>0</v>
      </c>
      <c r="O9" s="29">
        <f>O7-O8</f>
        <v>0</v>
      </c>
      <c r="P9" s="29">
        <f>P7-P8</f>
        <v>0</v>
      </c>
      <c r="Q9" s="29">
        <f>Q7-Q8</f>
        <v>0</v>
      </c>
      <c r="R9" s="29">
        <f>R7-R8</f>
        <v>0</v>
      </c>
      <c r="S9" s="29">
        <f>S7-S8</f>
        <v>0</v>
      </c>
      <c r="T9" s="29">
        <f>T7-T8</f>
        <v>0</v>
      </c>
      <c r="U9" s="29">
        <f>U7-U8</f>
        <v>0</v>
      </c>
      <c r="V9" s="29">
        <f>V7-V8</f>
        <v>0</v>
      </c>
      <c r="W9" s="29">
        <f>W7-W8</f>
        <v>0</v>
      </c>
      <c r="X9" s="29">
        <f>X7-X8</f>
        <v>0</v>
      </c>
      <c r="Y9" s="29">
        <f>Y7-Y8</f>
        <v>0</v>
      </c>
      <c r="Z9" s="29">
        <f>Z7-Z8</f>
        <v>0</v>
      </c>
      <c r="AA9" s="29">
        <f>AA7-AA8</f>
        <v>0</v>
      </c>
      <c r="AB9" s="29">
        <f>AB7-AB8</f>
        <v>0</v>
      </c>
      <c r="AC9" s="29">
        <f>AC7-AC8</f>
        <v>0</v>
      </c>
      <c r="AD9" s="29">
        <f>AD7-AD8</f>
        <v>0</v>
      </c>
      <c r="AE9" s="29">
        <f>AE7-AE8</f>
        <v>0</v>
      </c>
      <c r="AF9" s="29">
        <f>AF7-AF8</f>
        <v>0</v>
      </c>
      <c r="AG9" s="29">
        <f>AG7-AG8</f>
        <v>0</v>
      </c>
      <c r="AH9" s="29">
        <f>AH7-AH8</f>
        <v>0</v>
      </c>
      <c r="AI9" s="29">
        <f>AI7-AI8</f>
        <v>0</v>
      </c>
      <c r="AJ9" s="29">
        <f>AJ7-AJ8</f>
        <v>0</v>
      </c>
      <c r="AK9" s="29">
        <f>AK7-AK8</f>
        <v>0</v>
      </c>
      <c r="AL9" s="29">
        <f>AL7-AL8</f>
        <v>0</v>
      </c>
      <c r="AN9" s="29">
        <f>SUM(C9:E9)</f>
        <v>0</v>
      </c>
      <c r="AO9" s="29">
        <f>SUM(F9:H9)</f>
        <v>0</v>
      </c>
      <c r="AP9" s="29">
        <f>SUM(I9:K9)</f>
        <v>0</v>
      </c>
      <c r="AQ9" s="29">
        <f>SUM(L9:N9)</f>
        <v>0</v>
      </c>
      <c r="AR9" s="29">
        <f>SUM(O9:Q9)</f>
        <v>0</v>
      </c>
      <c r="AS9" s="29">
        <f>SUM(R9:T9)</f>
        <v>0</v>
      </c>
      <c r="AT9" s="29">
        <f>SUM(U9:W9)</f>
        <v>0</v>
      </c>
      <c r="AU9" s="29">
        <f>SUM(X9:Z9)</f>
        <v>0</v>
      </c>
      <c r="AV9" s="29">
        <f>SUM(AA9:AC9)</f>
        <v>0</v>
      </c>
      <c r="AW9" s="29">
        <f>SUM(AD9:AF9)</f>
        <v>0</v>
      </c>
      <c r="AX9" s="29">
        <f>SUM(AG9:AI9)</f>
        <v>0</v>
      </c>
      <c r="AY9" s="29">
        <f>SUM(AJ9:AL9)</f>
        <v>0</v>
      </c>
      <c r="BA9" s="29">
        <f>SUM(C9:N9)</f>
        <v>0</v>
      </c>
      <c r="BB9" s="29">
        <f>SUM(O9:Z9)</f>
        <v>0</v>
      </c>
      <c r="BC9" s="29">
        <f>SUM(AA9:AL9)</f>
        <v>0</v>
      </c>
    </row>
    <row r="10" spans="1:55">
      <c r="A10" s="18" t="s">
        <v>208</v>
      </c>
      <c r="B10" s="16"/>
      <c r="C10" s="25">
        <f>IFERROR(C9/C7,0)</f>
        <v>0</v>
      </c>
      <c r="D10" s="25">
        <f>IFERROR(D9/D7,0)</f>
        <v>0</v>
      </c>
      <c r="E10" s="25">
        <f>IFERROR(E9/E7,0)</f>
        <v>0</v>
      </c>
      <c r="F10" s="25">
        <f>IFERROR(F9/F7,0)</f>
        <v>0</v>
      </c>
      <c r="G10" s="25">
        <f>IFERROR(G9/G7,0)</f>
        <v>0</v>
      </c>
      <c r="H10" s="25">
        <f>IFERROR(H9/H7,0)</f>
        <v>0</v>
      </c>
      <c r="I10" s="25">
        <f>IFERROR(I9/I7,0)</f>
        <v>0</v>
      </c>
      <c r="J10" s="25">
        <f>IFERROR(J9/J7,0)</f>
        <v>0</v>
      </c>
      <c r="K10" s="25">
        <f>IFERROR(K9/K7,0)</f>
        <v>0</v>
      </c>
      <c r="L10" s="25">
        <f>IFERROR(L9/L7,0)</f>
        <v>0</v>
      </c>
      <c r="M10" s="25">
        <f>IFERROR(M9/M7,0)</f>
        <v>0</v>
      </c>
      <c r="N10" s="25">
        <f>IFERROR(N9/N7,0)</f>
        <v>0</v>
      </c>
      <c r="O10" s="25">
        <f>IFERROR(O9/O7,0)</f>
        <v>0</v>
      </c>
      <c r="P10" s="25">
        <f>IFERROR(P9/P7,0)</f>
        <v>0</v>
      </c>
      <c r="Q10" s="25">
        <f>IFERROR(Q9/Q7,0)</f>
        <v>0</v>
      </c>
      <c r="R10" s="25">
        <f>IFERROR(R9/R7,0)</f>
        <v>0</v>
      </c>
      <c r="S10" s="25">
        <f>IFERROR(S9/S7,0)</f>
        <v>0</v>
      </c>
      <c r="T10" s="25">
        <f>IFERROR(T9/T7,0)</f>
        <v>0</v>
      </c>
      <c r="U10" s="25">
        <f>IFERROR(U9/U7,0)</f>
        <v>0</v>
      </c>
      <c r="V10" s="25">
        <f>IFERROR(V9/V7,0)</f>
        <v>0</v>
      </c>
      <c r="W10" s="25">
        <f>IFERROR(W9/W7,0)</f>
        <v>0</v>
      </c>
      <c r="X10" s="25">
        <f>IFERROR(X9/X7,0)</f>
        <v>0</v>
      </c>
      <c r="Y10" s="25">
        <f>IFERROR(Y9/Y7,0)</f>
        <v>0</v>
      </c>
      <c r="Z10" s="25">
        <f>IFERROR(Z9/Z7,0)</f>
        <v>0</v>
      </c>
      <c r="AA10" s="25">
        <f>IFERROR(AA9/AA7,0)</f>
        <v>0</v>
      </c>
      <c r="AB10" s="25">
        <f>IFERROR(AB9/AB7,0)</f>
        <v>0</v>
      </c>
      <c r="AC10" s="25">
        <f>IFERROR(AC9/AC7,0)</f>
        <v>0</v>
      </c>
      <c r="AD10" s="25">
        <f>IFERROR(AD9/AD7,0)</f>
        <v>0</v>
      </c>
      <c r="AE10" s="25">
        <f>IFERROR(AE9/AE7,0)</f>
        <v>0</v>
      </c>
      <c r="AF10" s="25">
        <f>IFERROR(AF9/AF7,0)</f>
        <v>0</v>
      </c>
      <c r="AG10" s="25">
        <f>IFERROR(AG9/AG7,0)</f>
        <v>0</v>
      </c>
      <c r="AH10" s="25">
        <f>IFERROR(AH9/AH7,0)</f>
        <v>0</v>
      </c>
      <c r="AI10" s="25">
        <f>IFERROR(AI9/AI7,0)</f>
        <v>0</v>
      </c>
      <c r="AJ10" s="25">
        <f>IFERROR(AJ9/AJ7,0)</f>
        <v>0</v>
      </c>
      <c r="AK10" s="25">
        <f>IFERROR(AK9/AK7,0)</f>
        <v>0</v>
      </c>
      <c r="AL10" s="25">
        <f>IFERROR(AL9/AL7,0)</f>
        <v>0</v>
      </c>
      <c r="AN10" s="25">
        <f>AVERAGE(C10:E10)</f>
        <v>0</v>
      </c>
      <c r="AO10" s="25">
        <f>AVERAGE(F10:H10)</f>
        <v>0</v>
      </c>
      <c r="AP10" s="25">
        <f>AVERAGE(I10:K10)</f>
        <v>0</v>
      </c>
      <c r="AQ10" s="25">
        <f>AVERAGE(L10:N10)</f>
        <v>0</v>
      </c>
      <c r="AR10" s="25">
        <f>AVERAGE(O10:Q10)</f>
        <v>0</v>
      </c>
      <c r="AS10" s="25">
        <f>AVERAGE(R10:T10)</f>
        <v>0</v>
      </c>
      <c r="AT10" s="25">
        <f>AVERAGE(U10:W10)</f>
        <v>0</v>
      </c>
      <c r="AU10" s="25">
        <f>AVERAGE(X10:Z10)</f>
        <v>0</v>
      </c>
      <c r="AV10" s="25">
        <f>AVERAGE(AA10:AC10)</f>
        <v>0</v>
      </c>
      <c r="AW10" s="25">
        <f>AVERAGE(AD10:AF10)</f>
        <v>0</v>
      </c>
      <c r="AX10" s="25">
        <f>AVERAGE(AG10:AI10)</f>
        <v>0</v>
      </c>
      <c r="AY10" s="25">
        <f>AVERAGE(AJ10:AL10)</f>
        <v>0</v>
      </c>
      <c r="BA10" s="25">
        <f>AVERAGE(C10:N10)</f>
        <v>0</v>
      </c>
      <c r="BB10" s="25">
        <f>AVERAGE(O10:Z10)</f>
        <v>0</v>
      </c>
      <c r="BC10" s="25">
        <f>AVERAGE(AA10:AL10)</f>
        <v>0</v>
      </c>
    </row>
    <row r="11" spans="1:55" ht="5" customHeight="1"/>
    <row r="12" spans="1:55" ht="16" customHeight="1">
      <c r="A12" s="14" t="s">
        <v>268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</row>
    <row r="13" spans="1:55">
      <c r="A13" s="18" t="s">
        <v>269</v>
      </c>
      <c r="B13" s="16"/>
      <c r="C13" s="20">
        <f>'Opex'!$C$11</f>
        <v>0</v>
      </c>
      <c r="D13" s="20">
        <f>'Opex'!$D$11</f>
        <v>0</v>
      </c>
      <c r="E13" s="20">
        <f>'Opex'!$E$11</f>
        <v>0</v>
      </c>
      <c r="F13" s="20">
        <f>'Opex'!$F$11</f>
        <v>0</v>
      </c>
      <c r="G13" s="20">
        <f>'Opex'!$G$11</f>
        <v>0</v>
      </c>
      <c r="H13" s="20">
        <f>'Opex'!$H$11</f>
        <v>0</v>
      </c>
      <c r="I13" s="20">
        <f>'Opex'!$I$11</f>
        <v>0</v>
      </c>
      <c r="J13" s="20">
        <f>'Opex'!$J$11</f>
        <v>0</v>
      </c>
      <c r="K13" s="20">
        <f>'Opex'!$K$11</f>
        <v>0</v>
      </c>
      <c r="L13" s="20">
        <f>'Opex'!$L$11</f>
        <v>0</v>
      </c>
      <c r="M13" s="20">
        <f>'Opex'!$M$11</f>
        <v>0</v>
      </c>
      <c r="N13" s="20">
        <f>'Opex'!$N$11</f>
        <v>0</v>
      </c>
      <c r="O13" s="20">
        <f>'Opex'!$O$11</f>
        <v>0</v>
      </c>
      <c r="P13" s="20">
        <f>'Opex'!$P$11</f>
        <v>0</v>
      </c>
      <c r="Q13" s="20">
        <f>'Opex'!$Q$11</f>
        <v>0</v>
      </c>
      <c r="R13" s="20">
        <f>'Opex'!$R$11</f>
        <v>0</v>
      </c>
      <c r="S13" s="20">
        <f>'Opex'!$S$11</f>
        <v>0</v>
      </c>
      <c r="T13" s="20">
        <f>'Opex'!$T$11</f>
        <v>0</v>
      </c>
      <c r="U13" s="20">
        <f>'Opex'!$U$11</f>
        <v>0</v>
      </c>
      <c r="V13" s="20">
        <f>'Opex'!$V$11</f>
        <v>0</v>
      </c>
      <c r="W13" s="20">
        <f>'Opex'!$W$11</f>
        <v>0</v>
      </c>
      <c r="X13" s="20">
        <f>'Opex'!$X$11</f>
        <v>0</v>
      </c>
      <c r="Y13" s="20">
        <f>'Opex'!$Y$11</f>
        <v>0</v>
      </c>
      <c r="Z13" s="20">
        <f>'Opex'!$Z$11</f>
        <v>0</v>
      </c>
      <c r="AA13" s="20">
        <f>'Opex'!$AA$11</f>
        <v>0</v>
      </c>
      <c r="AB13" s="20">
        <f>'Opex'!$AB$11</f>
        <v>0</v>
      </c>
      <c r="AC13" s="20">
        <f>'Opex'!$AC$11</f>
        <v>0</v>
      </c>
      <c r="AD13" s="20">
        <f>'Opex'!$AD$11</f>
        <v>0</v>
      </c>
      <c r="AE13" s="20">
        <f>'Opex'!$AE$11</f>
        <v>0</v>
      </c>
      <c r="AF13" s="20">
        <f>'Opex'!$AF$11</f>
        <v>0</v>
      </c>
      <c r="AG13" s="20">
        <f>'Opex'!$AG$11</f>
        <v>0</v>
      </c>
      <c r="AH13" s="20">
        <f>'Opex'!$AH$11</f>
        <v>0</v>
      </c>
      <c r="AI13" s="20">
        <f>'Opex'!$AI$11</f>
        <v>0</v>
      </c>
      <c r="AJ13" s="20">
        <f>'Opex'!$AJ$11</f>
        <v>0</v>
      </c>
      <c r="AK13" s="20">
        <f>'Opex'!$AK$11</f>
        <v>0</v>
      </c>
      <c r="AL13" s="20">
        <f>'Opex'!$AL$11</f>
        <v>0</v>
      </c>
      <c r="AN13" s="20">
        <f>SUM(C13:E13)</f>
        <v>0</v>
      </c>
      <c r="AO13" s="20">
        <f>SUM(F13:H13)</f>
        <v>0</v>
      </c>
      <c r="AP13" s="20">
        <f>SUM(I13:K13)</f>
        <v>0</v>
      </c>
      <c r="AQ13" s="20">
        <f>SUM(L13:N13)</f>
        <v>0</v>
      </c>
      <c r="AR13" s="20">
        <f>SUM(O13:Q13)</f>
        <v>0</v>
      </c>
      <c r="AS13" s="20">
        <f>SUM(R13:T13)</f>
        <v>0</v>
      </c>
      <c r="AT13" s="20">
        <f>SUM(U13:W13)</f>
        <v>0</v>
      </c>
      <c r="AU13" s="20">
        <f>SUM(X13:Z13)</f>
        <v>0</v>
      </c>
      <c r="AV13" s="20">
        <f>SUM(AA13:AC13)</f>
        <v>0</v>
      </c>
      <c r="AW13" s="20">
        <f>SUM(AD13:AF13)</f>
        <v>0</v>
      </c>
      <c r="AX13" s="20">
        <f>SUM(AG13:AI13)</f>
        <v>0</v>
      </c>
      <c r="AY13" s="20">
        <f>SUM(AJ13:AL13)</f>
        <v>0</v>
      </c>
      <c r="BA13" s="20">
        <f>SUM(C13:N13)</f>
        <v>0</v>
      </c>
      <c r="BB13" s="20">
        <f>SUM(O13:Z13)</f>
        <v>0</v>
      </c>
      <c r="BC13" s="20">
        <f>SUM(AA13:AL13)</f>
        <v>0</v>
      </c>
    </row>
    <row r="14" spans="1:55">
      <c r="A14" s="18" t="s">
        <v>270</v>
      </c>
      <c r="B14" s="16"/>
      <c r="C14" s="20">
        <f>'Opex'!$C$15</f>
        <v>0</v>
      </c>
      <c r="D14" s="20">
        <f>'Opex'!$D$15</f>
        <v>0</v>
      </c>
      <c r="E14" s="20">
        <f>'Opex'!$E$15</f>
        <v>0</v>
      </c>
      <c r="F14" s="20">
        <f>'Opex'!$F$15</f>
        <v>0</v>
      </c>
      <c r="G14" s="20">
        <f>'Opex'!$G$15</f>
        <v>0</v>
      </c>
      <c r="H14" s="20">
        <f>'Opex'!$H$15</f>
        <v>0</v>
      </c>
      <c r="I14" s="20">
        <f>'Opex'!$I$15</f>
        <v>0</v>
      </c>
      <c r="J14" s="20">
        <f>'Opex'!$J$15</f>
        <v>0</v>
      </c>
      <c r="K14" s="20">
        <f>'Opex'!$K$15</f>
        <v>0</v>
      </c>
      <c r="L14" s="20">
        <f>'Opex'!$L$15</f>
        <v>0</v>
      </c>
      <c r="M14" s="20">
        <f>'Opex'!$M$15</f>
        <v>0</v>
      </c>
      <c r="N14" s="20">
        <f>'Opex'!$N$15</f>
        <v>0</v>
      </c>
      <c r="O14" s="20">
        <f>'Opex'!$O$15</f>
        <v>0</v>
      </c>
      <c r="P14" s="20">
        <f>'Opex'!$P$15</f>
        <v>0</v>
      </c>
      <c r="Q14" s="20">
        <f>'Opex'!$Q$15</f>
        <v>0</v>
      </c>
      <c r="R14" s="20">
        <f>'Opex'!$R$15</f>
        <v>0</v>
      </c>
      <c r="S14" s="20">
        <f>'Opex'!$S$15</f>
        <v>0</v>
      </c>
      <c r="T14" s="20">
        <f>'Opex'!$T$15</f>
        <v>0</v>
      </c>
      <c r="U14" s="20">
        <f>'Opex'!$U$15</f>
        <v>0</v>
      </c>
      <c r="V14" s="20">
        <f>'Opex'!$V$15</f>
        <v>0</v>
      </c>
      <c r="W14" s="20">
        <f>'Opex'!$W$15</f>
        <v>0</v>
      </c>
      <c r="X14" s="20">
        <f>'Opex'!$X$15</f>
        <v>0</v>
      </c>
      <c r="Y14" s="20">
        <f>'Opex'!$Y$15</f>
        <v>0</v>
      </c>
      <c r="Z14" s="20">
        <f>'Opex'!$Z$15</f>
        <v>0</v>
      </c>
      <c r="AA14" s="20">
        <f>'Opex'!$AA$15</f>
        <v>0</v>
      </c>
      <c r="AB14" s="20">
        <f>'Opex'!$AB$15</f>
        <v>0</v>
      </c>
      <c r="AC14" s="20">
        <f>'Opex'!$AC$15</f>
        <v>0</v>
      </c>
      <c r="AD14" s="20">
        <f>'Opex'!$AD$15</f>
        <v>0</v>
      </c>
      <c r="AE14" s="20">
        <f>'Opex'!$AE$15</f>
        <v>0</v>
      </c>
      <c r="AF14" s="20">
        <f>'Opex'!$AF$15</f>
        <v>0</v>
      </c>
      <c r="AG14" s="20">
        <f>'Opex'!$AG$15</f>
        <v>0</v>
      </c>
      <c r="AH14" s="20">
        <f>'Opex'!$AH$15</f>
        <v>0</v>
      </c>
      <c r="AI14" s="20">
        <f>'Opex'!$AI$15</f>
        <v>0</v>
      </c>
      <c r="AJ14" s="20">
        <f>'Opex'!$AJ$15</f>
        <v>0</v>
      </c>
      <c r="AK14" s="20">
        <f>'Opex'!$AK$15</f>
        <v>0</v>
      </c>
      <c r="AL14" s="20">
        <f>'Opex'!$AL$15</f>
        <v>0</v>
      </c>
      <c r="AN14" s="20">
        <f>SUM(C14:E14)</f>
        <v>0</v>
      </c>
      <c r="AO14" s="20">
        <f>SUM(F14:H14)</f>
        <v>0</v>
      </c>
      <c r="AP14" s="20">
        <f>SUM(I14:K14)</f>
        <v>0</v>
      </c>
      <c r="AQ14" s="20">
        <f>SUM(L14:N14)</f>
        <v>0</v>
      </c>
      <c r="AR14" s="20">
        <f>SUM(O14:Q14)</f>
        <v>0</v>
      </c>
      <c r="AS14" s="20">
        <f>SUM(R14:T14)</f>
        <v>0</v>
      </c>
      <c r="AT14" s="20">
        <f>SUM(U14:W14)</f>
        <v>0</v>
      </c>
      <c r="AU14" s="20">
        <f>SUM(X14:Z14)</f>
        <v>0</v>
      </c>
      <c r="AV14" s="20">
        <f>SUM(AA14:AC14)</f>
        <v>0</v>
      </c>
      <c r="AW14" s="20">
        <f>SUM(AD14:AF14)</f>
        <v>0</v>
      </c>
      <c r="AX14" s="20">
        <f>SUM(AG14:AI14)</f>
        <v>0</v>
      </c>
      <c r="AY14" s="20">
        <f>SUM(AJ14:AL14)</f>
        <v>0</v>
      </c>
      <c r="BA14" s="20">
        <f>SUM(C14:N14)</f>
        <v>0</v>
      </c>
      <c r="BB14" s="20">
        <f>SUM(O14:Z14)</f>
        <v>0</v>
      </c>
      <c r="BC14" s="20">
        <f>SUM(AA14:AL14)</f>
        <v>0</v>
      </c>
    </row>
    <row r="15" spans="1:55">
      <c r="A15" s="18" t="s">
        <v>271</v>
      </c>
      <c r="B15" s="16"/>
      <c r="C15" s="20">
        <f>'Opex'!$C$21</f>
        <v>0</v>
      </c>
      <c r="D15" s="20">
        <f>'Opex'!$D$21</f>
        <v>0</v>
      </c>
      <c r="E15" s="20">
        <f>'Opex'!$E$21</f>
        <v>0</v>
      </c>
      <c r="F15" s="20">
        <f>'Opex'!$F$21</f>
        <v>0</v>
      </c>
      <c r="G15" s="20">
        <f>'Opex'!$G$21</f>
        <v>0</v>
      </c>
      <c r="H15" s="20">
        <f>'Opex'!$H$21</f>
        <v>0</v>
      </c>
      <c r="I15" s="20">
        <f>'Opex'!$I$21</f>
        <v>0</v>
      </c>
      <c r="J15" s="20">
        <f>'Opex'!$J$21</f>
        <v>0</v>
      </c>
      <c r="K15" s="20">
        <f>'Opex'!$K$21</f>
        <v>0</v>
      </c>
      <c r="L15" s="20">
        <f>'Opex'!$L$21</f>
        <v>0</v>
      </c>
      <c r="M15" s="20">
        <f>'Opex'!$M$21</f>
        <v>0</v>
      </c>
      <c r="N15" s="20">
        <f>'Opex'!$N$21</f>
        <v>0</v>
      </c>
      <c r="O15" s="20">
        <f>'Opex'!$O$21</f>
        <v>0</v>
      </c>
      <c r="P15" s="20">
        <f>'Opex'!$P$21</f>
        <v>0</v>
      </c>
      <c r="Q15" s="20">
        <f>'Opex'!$Q$21</f>
        <v>0</v>
      </c>
      <c r="R15" s="20">
        <f>'Opex'!$R$21</f>
        <v>0</v>
      </c>
      <c r="S15" s="20">
        <f>'Opex'!$S$21</f>
        <v>0</v>
      </c>
      <c r="T15" s="20">
        <f>'Opex'!$T$21</f>
        <v>0</v>
      </c>
      <c r="U15" s="20">
        <f>'Opex'!$U$21</f>
        <v>0</v>
      </c>
      <c r="V15" s="20">
        <f>'Opex'!$V$21</f>
        <v>0</v>
      </c>
      <c r="W15" s="20">
        <f>'Opex'!$W$21</f>
        <v>0</v>
      </c>
      <c r="X15" s="20">
        <f>'Opex'!$X$21</f>
        <v>0</v>
      </c>
      <c r="Y15" s="20">
        <f>'Opex'!$Y$21</f>
        <v>0</v>
      </c>
      <c r="Z15" s="20">
        <f>'Opex'!$Z$21</f>
        <v>0</v>
      </c>
      <c r="AA15" s="20">
        <f>'Opex'!$AA$21</f>
        <v>0</v>
      </c>
      <c r="AB15" s="20">
        <f>'Opex'!$AB$21</f>
        <v>0</v>
      </c>
      <c r="AC15" s="20">
        <f>'Opex'!$AC$21</f>
        <v>0</v>
      </c>
      <c r="AD15" s="20">
        <f>'Opex'!$AD$21</f>
        <v>0</v>
      </c>
      <c r="AE15" s="20">
        <f>'Opex'!$AE$21</f>
        <v>0</v>
      </c>
      <c r="AF15" s="20">
        <f>'Opex'!$AF$21</f>
        <v>0</v>
      </c>
      <c r="AG15" s="20">
        <f>'Opex'!$AG$21</f>
        <v>0</v>
      </c>
      <c r="AH15" s="20">
        <f>'Opex'!$AH$21</f>
        <v>0</v>
      </c>
      <c r="AI15" s="20">
        <f>'Opex'!$AI$21</f>
        <v>0</v>
      </c>
      <c r="AJ15" s="20">
        <f>'Opex'!$AJ$21</f>
        <v>0</v>
      </c>
      <c r="AK15" s="20">
        <f>'Opex'!$AK$21</f>
        <v>0</v>
      </c>
      <c r="AL15" s="20">
        <f>'Opex'!$AL$21</f>
        <v>0</v>
      </c>
      <c r="AN15" s="20">
        <f>SUM(C15:E15)</f>
        <v>0</v>
      </c>
      <c r="AO15" s="20">
        <f>SUM(F15:H15)</f>
        <v>0</v>
      </c>
      <c r="AP15" s="20">
        <f>SUM(I15:K15)</f>
        <v>0</v>
      </c>
      <c r="AQ15" s="20">
        <f>SUM(L15:N15)</f>
        <v>0</v>
      </c>
      <c r="AR15" s="20">
        <f>SUM(O15:Q15)</f>
        <v>0</v>
      </c>
      <c r="AS15" s="20">
        <f>SUM(R15:T15)</f>
        <v>0</v>
      </c>
      <c r="AT15" s="20">
        <f>SUM(U15:W15)</f>
        <v>0</v>
      </c>
      <c r="AU15" s="20">
        <f>SUM(X15:Z15)</f>
        <v>0</v>
      </c>
      <c r="AV15" s="20">
        <f>SUM(AA15:AC15)</f>
        <v>0</v>
      </c>
      <c r="AW15" s="20">
        <f>SUM(AD15:AF15)</f>
        <v>0</v>
      </c>
      <c r="AX15" s="20">
        <f>SUM(AG15:AI15)</f>
        <v>0</v>
      </c>
      <c r="AY15" s="20">
        <f>SUM(AJ15:AL15)</f>
        <v>0</v>
      </c>
      <c r="BA15" s="20">
        <f>SUM(C15:N15)</f>
        <v>0</v>
      </c>
      <c r="BB15" s="20">
        <f>SUM(O15:Z15)</f>
        <v>0</v>
      </c>
      <c r="BC15" s="20">
        <f>SUM(AA15:AL15)</f>
        <v>0</v>
      </c>
    </row>
    <row r="16" spans="1:55">
      <c r="A16" s="28" t="s">
        <v>272</v>
      </c>
      <c r="B16" s="16"/>
      <c r="C16" s="29">
        <f>C13+C14+C15</f>
        <v>0</v>
      </c>
      <c r="D16" s="29">
        <f>D13+D14+D15</f>
        <v>0</v>
      </c>
      <c r="E16" s="29">
        <f>E13+E14+E15</f>
        <v>0</v>
      </c>
      <c r="F16" s="29">
        <f>F13+F14+F15</f>
        <v>0</v>
      </c>
      <c r="G16" s="29">
        <f>G13+G14+G15</f>
        <v>0</v>
      </c>
      <c r="H16" s="29">
        <f>H13+H14+H15</f>
        <v>0</v>
      </c>
      <c r="I16" s="29">
        <f>I13+I14+I15</f>
        <v>0</v>
      </c>
      <c r="J16" s="29">
        <f>J13+J14+J15</f>
        <v>0</v>
      </c>
      <c r="K16" s="29">
        <f>K13+K14+K15</f>
        <v>0</v>
      </c>
      <c r="L16" s="29">
        <f>L13+L14+L15</f>
        <v>0</v>
      </c>
      <c r="M16" s="29">
        <f>M13+M14+M15</f>
        <v>0</v>
      </c>
      <c r="N16" s="29">
        <f>N13+N14+N15</f>
        <v>0</v>
      </c>
      <c r="O16" s="29">
        <f>O13+O14+O15</f>
        <v>0</v>
      </c>
      <c r="P16" s="29">
        <f>P13+P14+P15</f>
        <v>0</v>
      </c>
      <c r="Q16" s="29">
        <f>Q13+Q14+Q15</f>
        <v>0</v>
      </c>
      <c r="R16" s="29">
        <f>R13+R14+R15</f>
        <v>0</v>
      </c>
      <c r="S16" s="29">
        <f>S13+S14+S15</f>
        <v>0</v>
      </c>
      <c r="T16" s="29">
        <f>T13+T14+T15</f>
        <v>0</v>
      </c>
      <c r="U16" s="29">
        <f>U13+U14+U15</f>
        <v>0</v>
      </c>
      <c r="V16" s="29">
        <f>V13+V14+V15</f>
        <v>0</v>
      </c>
      <c r="W16" s="29">
        <f>W13+W14+W15</f>
        <v>0</v>
      </c>
      <c r="X16" s="29">
        <f>X13+X14+X15</f>
        <v>0</v>
      </c>
      <c r="Y16" s="29">
        <f>Y13+Y14+Y15</f>
        <v>0</v>
      </c>
      <c r="Z16" s="29">
        <f>Z13+Z14+Z15</f>
        <v>0</v>
      </c>
      <c r="AA16" s="29">
        <f>AA13+AA14+AA15</f>
        <v>0</v>
      </c>
      <c r="AB16" s="29">
        <f>AB13+AB14+AB15</f>
        <v>0</v>
      </c>
      <c r="AC16" s="29">
        <f>AC13+AC14+AC15</f>
        <v>0</v>
      </c>
      <c r="AD16" s="29">
        <f>AD13+AD14+AD15</f>
        <v>0</v>
      </c>
      <c r="AE16" s="29">
        <f>AE13+AE14+AE15</f>
        <v>0</v>
      </c>
      <c r="AF16" s="29">
        <f>AF13+AF14+AF15</f>
        <v>0</v>
      </c>
      <c r="AG16" s="29">
        <f>AG13+AG14+AG15</f>
        <v>0</v>
      </c>
      <c r="AH16" s="29">
        <f>AH13+AH14+AH15</f>
        <v>0</v>
      </c>
      <c r="AI16" s="29">
        <f>AI13+AI14+AI15</f>
        <v>0</v>
      </c>
      <c r="AJ16" s="29">
        <f>AJ13+AJ14+AJ15</f>
        <v>0</v>
      </c>
      <c r="AK16" s="29">
        <f>AK13+AK14+AK15</f>
        <v>0</v>
      </c>
      <c r="AL16" s="29">
        <f>AL13+AL14+AL15</f>
        <v>0</v>
      </c>
      <c r="AN16" s="29">
        <f>SUM(C16:E16)</f>
        <v>0</v>
      </c>
      <c r="AO16" s="29">
        <f>SUM(F16:H16)</f>
        <v>0</v>
      </c>
      <c r="AP16" s="29">
        <f>SUM(I16:K16)</f>
        <v>0</v>
      </c>
      <c r="AQ16" s="29">
        <f>SUM(L16:N16)</f>
        <v>0</v>
      </c>
      <c r="AR16" s="29">
        <f>SUM(O16:Q16)</f>
        <v>0</v>
      </c>
      <c r="AS16" s="29">
        <f>SUM(R16:T16)</f>
        <v>0</v>
      </c>
      <c r="AT16" s="29">
        <f>SUM(U16:W16)</f>
        <v>0</v>
      </c>
      <c r="AU16" s="29">
        <f>SUM(X16:Z16)</f>
        <v>0</v>
      </c>
      <c r="AV16" s="29">
        <f>SUM(AA16:AC16)</f>
        <v>0</v>
      </c>
      <c r="AW16" s="29">
        <f>SUM(AD16:AF16)</f>
        <v>0</v>
      </c>
      <c r="AX16" s="29">
        <f>SUM(AG16:AI16)</f>
        <v>0</v>
      </c>
      <c r="AY16" s="29">
        <f>SUM(AJ16:AL16)</f>
        <v>0</v>
      </c>
      <c r="BA16" s="29">
        <f>SUM(C16:N16)</f>
        <v>0</v>
      </c>
      <c r="BB16" s="29">
        <f>SUM(O16:Z16)</f>
        <v>0</v>
      </c>
      <c r="BC16" s="29">
        <f>SUM(AA16:AL16)</f>
        <v>0</v>
      </c>
    </row>
    <row r="17" spans="1:55" ht="5" customHeight="1"/>
    <row r="18" spans="1:55">
      <c r="A18" s="28" t="s">
        <v>273</v>
      </c>
      <c r="B18" s="16"/>
      <c r="C18" s="29">
        <f>C9-C16</f>
        <v>0</v>
      </c>
      <c r="D18" s="29">
        <f>D9-D16</f>
        <v>0</v>
      </c>
      <c r="E18" s="29">
        <f>E9-E16</f>
        <v>0</v>
      </c>
      <c r="F18" s="29">
        <f>F9-F16</f>
        <v>0</v>
      </c>
      <c r="G18" s="29">
        <f>G9-G16</f>
        <v>0</v>
      </c>
      <c r="H18" s="29">
        <f>H9-H16</f>
        <v>0</v>
      </c>
      <c r="I18" s="29">
        <f>I9-I16</f>
        <v>0</v>
      </c>
      <c r="J18" s="29">
        <f>J9-J16</f>
        <v>0</v>
      </c>
      <c r="K18" s="29">
        <f>K9-K16</f>
        <v>0</v>
      </c>
      <c r="L18" s="29">
        <f>L9-L16</f>
        <v>0</v>
      </c>
      <c r="M18" s="29">
        <f>M9-M16</f>
        <v>0</v>
      </c>
      <c r="N18" s="29">
        <f>N9-N16</f>
        <v>0</v>
      </c>
      <c r="O18" s="29">
        <f>O9-O16</f>
        <v>0</v>
      </c>
      <c r="P18" s="29">
        <f>P9-P16</f>
        <v>0</v>
      </c>
      <c r="Q18" s="29">
        <f>Q9-Q16</f>
        <v>0</v>
      </c>
      <c r="R18" s="29">
        <f>R9-R16</f>
        <v>0</v>
      </c>
      <c r="S18" s="29">
        <f>S9-S16</f>
        <v>0</v>
      </c>
      <c r="T18" s="29">
        <f>T9-T16</f>
        <v>0</v>
      </c>
      <c r="U18" s="29">
        <f>U9-U16</f>
        <v>0</v>
      </c>
      <c r="V18" s="29">
        <f>V9-V16</f>
        <v>0</v>
      </c>
      <c r="W18" s="29">
        <f>W9-W16</f>
        <v>0</v>
      </c>
      <c r="X18" s="29">
        <f>X9-X16</f>
        <v>0</v>
      </c>
      <c r="Y18" s="29">
        <f>Y9-Y16</f>
        <v>0</v>
      </c>
      <c r="Z18" s="29">
        <f>Z9-Z16</f>
        <v>0</v>
      </c>
      <c r="AA18" s="29">
        <f>AA9-AA16</f>
        <v>0</v>
      </c>
      <c r="AB18" s="29">
        <f>AB9-AB16</f>
        <v>0</v>
      </c>
      <c r="AC18" s="29">
        <f>AC9-AC16</f>
        <v>0</v>
      </c>
      <c r="AD18" s="29">
        <f>AD9-AD16</f>
        <v>0</v>
      </c>
      <c r="AE18" s="29">
        <f>AE9-AE16</f>
        <v>0</v>
      </c>
      <c r="AF18" s="29">
        <f>AF9-AF16</f>
        <v>0</v>
      </c>
      <c r="AG18" s="29">
        <f>AG9-AG16</f>
        <v>0</v>
      </c>
      <c r="AH18" s="29">
        <f>AH9-AH16</f>
        <v>0</v>
      </c>
      <c r="AI18" s="29">
        <f>AI9-AI16</f>
        <v>0</v>
      </c>
      <c r="AJ18" s="29">
        <f>AJ9-AJ16</f>
        <v>0</v>
      </c>
      <c r="AK18" s="29">
        <f>AK9-AK16</f>
        <v>0</v>
      </c>
      <c r="AL18" s="29">
        <f>AL9-AL16</f>
        <v>0</v>
      </c>
      <c r="AN18" s="29">
        <f>SUM(C18:E18)</f>
        <v>0</v>
      </c>
      <c r="AO18" s="29">
        <f>SUM(F18:H18)</f>
        <v>0</v>
      </c>
      <c r="AP18" s="29">
        <f>SUM(I18:K18)</f>
        <v>0</v>
      </c>
      <c r="AQ18" s="29">
        <f>SUM(L18:N18)</f>
        <v>0</v>
      </c>
      <c r="AR18" s="29">
        <f>SUM(O18:Q18)</f>
        <v>0</v>
      </c>
      <c r="AS18" s="29">
        <f>SUM(R18:T18)</f>
        <v>0</v>
      </c>
      <c r="AT18" s="29">
        <f>SUM(U18:W18)</f>
        <v>0</v>
      </c>
      <c r="AU18" s="29">
        <f>SUM(X18:Z18)</f>
        <v>0</v>
      </c>
      <c r="AV18" s="29">
        <f>SUM(AA18:AC18)</f>
        <v>0</v>
      </c>
      <c r="AW18" s="29">
        <f>SUM(AD18:AF18)</f>
        <v>0</v>
      </c>
      <c r="AX18" s="29">
        <f>SUM(AG18:AI18)</f>
        <v>0</v>
      </c>
      <c r="AY18" s="29">
        <f>SUM(AJ18:AL18)</f>
        <v>0</v>
      </c>
      <c r="BA18" s="29">
        <f>SUM(C18:N18)</f>
        <v>0</v>
      </c>
      <c r="BB18" s="29">
        <f>SUM(O18:Z18)</f>
        <v>0</v>
      </c>
      <c r="BC18" s="29">
        <f>SUM(AA18:AL18)</f>
        <v>0</v>
      </c>
    </row>
    <row r="19" spans="1:55">
      <c r="A19" s="18" t="s">
        <v>274</v>
      </c>
      <c r="B19" s="16"/>
      <c r="C19" s="20">
        <f>'Working Capital'!$C$19</f>
        <v>0</v>
      </c>
      <c r="D19" s="20">
        <f>'Working Capital'!$D$19</f>
        <v>0</v>
      </c>
      <c r="E19" s="20">
        <f>'Working Capital'!$E$19</f>
        <v>0</v>
      </c>
      <c r="F19" s="20">
        <f>'Working Capital'!$F$19</f>
        <v>0</v>
      </c>
      <c r="G19" s="20">
        <f>'Working Capital'!$G$19</f>
        <v>0</v>
      </c>
      <c r="H19" s="20">
        <f>'Working Capital'!$H$19</f>
        <v>0</v>
      </c>
      <c r="I19" s="20">
        <f>'Working Capital'!$I$19</f>
        <v>0</v>
      </c>
      <c r="J19" s="20">
        <f>'Working Capital'!$J$19</f>
        <v>0</v>
      </c>
      <c r="K19" s="20">
        <f>'Working Capital'!$K$19</f>
        <v>0</v>
      </c>
      <c r="L19" s="20">
        <f>'Working Capital'!$L$19</f>
        <v>0</v>
      </c>
      <c r="M19" s="20">
        <f>'Working Capital'!$M$19</f>
        <v>0</v>
      </c>
      <c r="N19" s="20">
        <f>'Working Capital'!$N$19</f>
        <v>0</v>
      </c>
      <c r="O19" s="20">
        <f>'Working Capital'!$O$19</f>
        <v>0</v>
      </c>
      <c r="P19" s="20">
        <f>'Working Capital'!$P$19</f>
        <v>0</v>
      </c>
      <c r="Q19" s="20">
        <f>'Working Capital'!$Q$19</f>
        <v>0</v>
      </c>
      <c r="R19" s="20">
        <f>'Working Capital'!$R$19</f>
        <v>0</v>
      </c>
      <c r="S19" s="20">
        <f>'Working Capital'!$S$19</f>
        <v>0</v>
      </c>
      <c r="T19" s="20">
        <f>'Working Capital'!$T$19</f>
        <v>0</v>
      </c>
      <c r="U19" s="20">
        <f>'Working Capital'!$U$19</f>
        <v>0</v>
      </c>
      <c r="V19" s="20">
        <f>'Working Capital'!$V$19</f>
        <v>0</v>
      </c>
      <c r="W19" s="20">
        <f>'Working Capital'!$W$19</f>
        <v>0</v>
      </c>
      <c r="X19" s="20">
        <f>'Working Capital'!$X$19</f>
        <v>0</v>
      </c>
      <c r="Y19" s="20">
        <f>'Working Capital'!$Y$19</f>
        <v>0</v>
      </c>
      <c r="Z19" s="20">
        <f>'Working Capital'!$Z$19</f>
        <v>0</v>
      </c>
      <c r="AA19" s="20">
        <f>'Working Capital'!$AA$19</f>
        <v>0</v>
      </c>
      <c r="AB19" s="20">
        <f>'Working Capital'!$AB$19</f>
        <v>0</v>
      </c>
      <c r="AC19" s="20">
        <f>'Working Capital'!$AC$19</f>
        <v>0</v>
      </c>
      <c r="AD19" s="20">
        <f>'Working Capital'!$AD$19</f>
        <v>0</v>
      </c>
      <c r="AE19" s="20">
        <f>'Working Capital'!$AE$19</f>
        <v>0</v>
      </c>
      <c r="AF19" s="20">
        <f>'Working Capital'!$AF$19</f>
        <v>0</v>
      </c>
      <c r="AG19" s="20">
        <f>'Working Capital'!$AG$19</f>
        <v>0</v>
      </c>
      <c r="AH19" s="20">
        <f>'Working Capital'!$AH$19</f>
        <v>0</v>
      </c>
      <c r="AI19" s="20">
        <f>'Working Capital'!$AI$19</f>
        <v>0</v>
      </c>
      <c r="AJ19" s="20">
        <f>'Working Capital'!$AJ$19</f>
        <v>0</v>
      </c>
      <c r="AK19" s="20">
        <f>'Working Capital'!$AK$19</f>
        <v>0</v>
      </c>
      <c r="AL19" s="20">
        <f>'Working Capital'!$AL$19</f>
        <v>0</v>
      </c>
      <c r="AN19" s="20">
        <f>SUM(C19:E19)</f>
        <v>0</v>
      </c>
      <c r="AO19" s="20">
        <f>SUM(F19:H19)</f>
        <v>0</v>
      </c>
      <c r="AP19" s="20">
        <f>SUM(I19:K19)</f>
        <v>0</v>
      </c>
      <c r="AQ19" s="20">
        <f>SUM(L19:N19)</f>
        <v>0</v>
      </c>
      <c r="AR19" s="20">
        <f>SUM(O19:Q19)</f>
        <v>0</v>
      </c>
      <c r="AS19" s="20">
        <f>SUM(R19:T19)</f>
        <v>0</v>
      </c>
      <c r="AT19" s="20">
        <f>SUM(U19:W19)</f>
        <v>0</v>
      </c>
      <c r="AU19" s="20">
        <f>SUM(X19:Z19)</f>
        <v>0</v>
      </c>
      <c r="AV19" s="20">
        <f>SUM(AA19:AC19)</f>
        <v>0</v>
      </c>
      <c r="AW19" s="20">
        <f>SUM(AD19:AF19)</f>
        <v>0</v>
      </c>
      <c r="AX19" s="20">
        <f>SUM(AG19:AI19)</f>
        <v>0</v>
      </c>
      <c r="AY19" s="20">
        <f>SUM(AJ19:AL19)</f>
        <v>0</v>
      </c>
      <c r="BA19" s="20">
        <f>SUM(C19:N19)</f>
        <v>0</v>
      </c>
      <c r="BB19" s="20">
        <f>SUM(O19:Z19)</f>
        <v>0</v>
      </c>
      <c r="BC19" s="20">
        <f>SUM(AA19:AL19)</f>
        <v>0</v>
      </c>
    </row>
    <row r="20" spans="1:55">
      <c r="A20" s="28" t="s">
        <v>275</v>
      </c>
      <c r="B20" s="16"/>
      <c r="C20" s="29">
        <f>C18-C19</f>
        <v>0</v>
      </c>
      <c r="D20" s="29">
        <f>D18-D19</f>
        <v>0</v>
      </c>
      <c r="E20" s="29">
        <f>E18-E19</f>
        <v>0</v>
      </c>
      <c r="F20" s="29">
        <f>F18-F19</f>
        <v>0</v>
      </c>
      <c r="G20" s="29">
        <f>G18-G19</f>
        <v>0</v>
      </c>
      <c r="H20" s="29">
        <f>H18-H19</f>
        <v>0</v>
      </c>
      <c r="I20" s="29">
        <f>I18-I19</f>
        <v>0</v>
      </c>
      <c r="J20" s="29">
        <f>J18-J19</f>
        <v>0</v>
      </c>
      <c r="K20" s="29">
        <f>K18-K19</f>
        <v>0</v>
      </c>
      <c r="L20" s="29">
        <f>L18-L19</f>
        <v>0</v>
      </c>
      <c r="M20" s="29">
        <f>M18-M19</f>
        <v>0</v>
      </c>
      <c r="N20" s="29">
        <f>N18-N19</f>
        <v>0</v>
      </c>
      <c r="O20" s="29">
        <f>O18-O19</f>
        <v>0</v>
      </c>
      <c r="P20" s="29">
        <f>P18-P19</f>
        <v>0</v>
      </c>
      <c r="Q20" s="29">
        <f>Q18-Q19</f>
        <v>0</v>
      </c>
      <c r="R20" s="29">
        <f>R18-R19</f>
        <v>0</v>
      </c>
      <c r="S20" s="29">
        <f>S18-S19</f>
        <v>0</v>
      </c>
      <c r="T20" s="29">
        <f>T18-T19</f>
        <v>0</v>
      </c>
      <c r="U20" s="29">
        <f>U18-U19</f>
        <v>0</v>
      </c>
      <c r="V20" s="29">
        <f>V18-V19</f>
        <v>0</v>
      </c>
      <c r="W20" s="29">
        <f>W18-W19</f>
        <v>0</v>
      </c>
      <c r="X20" s="29">
        <f>X18-X19</f>
        <v>0</v>
      </c>
      <c r="Y20" s="29">
        <f>Y18-Y19</f>
        <v>0</v>
      </c>
      <c r="Z20" s="29">
        <f>Z18-Z19</f>
        <v>0</v>
      </c>
      <c r="AA20" s="29">
        <f>AA18-AA19</f>
        <v>0</v>
      </c>
      <c r="AB20" s="29">
        <f>AB18-AB19</f>
        <v>0</v>
      </c>
      <c r="AC20" s="29">
        <f>AC18-AC19</f>
        <v>0</v>
      </c>
      <c r="AD20" s="29">
        <f>AD18-AD19</f>
        <v>0</v>
      </c>
      <c r="AE20" s="29">
        <f>AE18-AE19</f>
        <v>0</v>
      </c>
      <c r="AF20" s="29">
        <f>AF18-AF19</f>
        <v>0</v>
      </c>
      <c r="AG20" s="29">
        <f>AG18-AG19</f>
        <v>0</v>
      </c>
      <c r="AH20" s="29">
        <f>AH18-AH19</f>
        <v>0</v>
      </c>
      <c r="AI20" s="29">
        <f>AI18-AI19</f>
        <v>0</v>
      </c>
      <c r="AJ20" s="29">
        <f>AJ18-AJ19</f>
        <v>0</v>
      </c>
      <c r="AK20" s="29">
        <f>AK18-AK19</f>
        <v>0</v>
      </c>
      <c r="AL20" s="29">
        <f>AL18-AL19</f>
        <v>0</v>
      </c>
      <c r="AN20" s="29">
        <f>SUM(C20:E20)</f>
        <v>0</v>
      </c>
      <c r="AO20" s="29">
        <f>SUM(F20:H20)</f>
        <v>0</v>
      </c>
      <c r="AP20" s="29">
        <f>SUM(I20:K20)</f>
        <v>0</v>
      </c>
      <c r="AQ20" s="29">
        <f>SUM(L20:N20)</f>
        <v>0</v>
      </c>
      <c r="AR20" s="29">
        <f>SUM(O20:Q20)</f>
        <v>0</v>
      </c>
      <c r="AS20" s="29">
        <f>SUM(R20:T20)</f>
        <v>0</v>
      </c>
      <c r="AT20" s="29">
        <f>SUM(U20:W20)</f>
        <v>0</v>
      </c>
      <c r="AU20" s="29">
        <f>SUM(X20:Z20)</f>
        <v>0</v>
      </c>
      <c r="AV20" s="29">
        <f>SUM(AA20:AC20)</f>
        <v>0</v>
      </c>
      <c r="AW20" s="29">
        <f>SUM(AD20:AF20)</f>
        <v>0</v>
      </c>
      <c r="AX20" s="29">
        <f>SUM(AG20:AI20)</f>
        <v>0</v>
      </c>
      <c r="AY20" s="29">
        <f>SUM(AJ20:AL20)</f>
        <v>0</v>
      </c>
      <c r="BA20" s="29">
        <f>SUM(C20:N20)</f>
        <v>0</v>
      </c>
      <c r="BB20" s="29">
        <f>SUM(O20:Z20)</f>
        <v>0</v>
      </c>
      <c r="BC20" s="29">
        <f>SUM(AA20:AL20)</f>
        <v>0</v>
      </c>
    </row>
    <row r="21" spans="1:55">
      <c r="A21" s="18" t="s">
        <v>276</v>
      </c>
      <c r="B21" s="16"/>
      <c r="C21" s="20">
        <f>'Working Capital'!$C$26</f>
        <v>0</v>
      </c>
      <c r="D21" s="20">
        <f>'Working Capital'!$D$26</f>
        <v>0</v>
      </c>
      <c r="E21" s="20">
        <f>'Working Capital'!$E$26</f>
        <v>0</v>
      </c>
      <c r="F21" s="20">
        <f>'Working Capital'!$F$26</f>
        <v>0</v>
      </c>
      <c r="G21" s="20">
        <f>'Working Capital'!$G$26</f>
        <v>0</v>
      </c>
      <c r="H21" s="20">
        <f>'Working Capital'!$H$26</f>
        <v>0</v>
      </c>
      <c r="I21" s="20">
        <f>'Working Capital'!$I$26</f>
        <v>0</v>
      </c>
      <c r="J21" s="20">
        <f>'Working Capital'!$J$26</f>
        <v>0</v>
      </c>
      <c r="K21" s="20">
        <f>'Working Capital'!$K$26</f>
        <v>0</v>
      </c>
      <c r="L21" s="20">
        <f>'Working Capital'!$L$26</f>
        <v>0</v>
      </c>
      <c r="M21" s="20">
        <f>'Working Capital'!$M$26</f>
        <v>0</v>
      </c>
      <c r="N21" s="20">
        <f>'Working Capital'!$N$26</f>
        <v>0</v>
      </c>
      <c r="O21" s="20">
        <f>'Working Capital'!$O$26</f>
        <v>0</v>
      </c>
      <c r="P21" s="20">
        <f>'Working Capital'!$P$26</f>
        <v>0</v>
      </c>
      <c r="Q21" s="20">
        <f>'Working Capital'!$Q$26</f>
        <v>0</v>
      </c>
      <c r="R21" s="20">
        <f>'Working Capital'!$R$26</f>
        <v>0</v>
      </c>
      <c r="S21" s="20">
        <f>'Working Capital'!$S$26</f>
        <v>0</v>
      </c>
      <c r="T21" s="20">
        <f>'Working Capital'!$T$26</f>
        <v>0</v>
      </c>
      <c r="U21" s="20">
        <f>'Working Capital'!$U$26</f>
        <v>0</v>
      </c>
      <c r="V21" s="20">
        <f>'Working Capital'!$V$26</f>
        <v>0</v>
      </c>
      <c r="W21" s="20">
        <f>'Working Capital'!$W$26</f>
        <v>0</v>
      </c>
      <c r="X21" s="20">
        <f>'Working Capital'!$X$26</f>
        <v>0</v>
      </c>
      <c r="Y21" s="20">
        <f>'Working Capital'!$Y$26</f>
        <v>0</v>
      </c>
      <c r="Z21" s="20">
        <f>'Working Capital'!$Z$26</f>
        <v>0</v>
      </c>
      <c r="AA21" s="20">
        <f>'Working Capital'!$AA$26</f>
        <v>0</v>
      </c>
      <c r="AB21" s="20">
        <f>'Working Capital'!$AB$26</f>
        <v>0</v>
      </c>
      <c r="AC21" s="20">
        <f>'Working Capital'!$AC$26</f>
        <v>0</v>
      </c>
      <c r="AD21" s="20">
        <f>'Working Capital'!$AD$26</f>
        <v>0</v>
      </c>
      <c r="AE21" s="20">
        <f>'Working Capital'!$AE$26</f>
        <v>0</v>
      </c>
      <c r="AF21" s="20">
        <f>'Working Capital'!$AF$26</f>
        <v>0</v>
      </c>
      <c r="AG21" s="20">
        <f>'Working Capital'!$AG$26</f>
        <v>0</v>
      </c>
      <c r="AH21" s="20">
        <f>'Working Capital'!$AH$26</f>
        <v>0</v>
      </c>
      <c r="AI21" s="20">
        <f>'Working Capital'!$AI$26</f>
        <v>0</v>
      </c>
      <c r="AJ21" s="20">
        <f>'Working Capital'!$AJ$26</f>
        <v>0</v>
      </c>
      <c r="AK21" s="20">
        <f>'Working Capital'!$AK$26</f>
        <v>0</v>
      </c>
      <c r="AL21" s="20">
        <f>'Working Capital'!$AL$26</f>
        <v>0</v>
      </c>
      <c r="AN21" s="20">
        <f>SUM(C21:E21)</f>
        <v>0</v>
      </c>
      <c r="AO21" s="20">
        <f>SUM(F21:H21)</f>
        <v>0</v>
      </c>
      <c r="AP21" s="20">
        <f>SUM(I21:K21)</f>
        <v>0</v>
      </c>
      <c r="AQ21" s="20">
        <f>SUM(L21:N21)</f>
        <v>0</v>
      </c>
      <c r="AR21" s="20">
        <f>SUM(O21:Q21)</f>
        <v>0</v>
      </c>
      <c r="AS21" s="20">
        <f>SUM(R21:T21)</f>
        <v>0</v>
      </c>
      <c r="AT21" s="20">
        <f>SUM(U21:W21)</f>
        <v>0</v>
      </c>
      <c r="AU21" s="20">
        <f>SUM(X21:Z21)</f>
        <v>0</v>
      </c>
      <c r="AV21" s="20">
        <f>SUM(AA21:AC21)</f>
        <v>0</v>
      </c>
      <c r="AW21" s="20">
        <f>SUM(AD21:AF21)</f>
        <v>0</v>
      </c>
      <c r="AX21" s="20">
        <f>SUM(AG21:AI21)</f>
        <v>0</v>
      </c>
      <c r="AY21" s="20">
        <f>SUM(AJ21:AL21)</f>
        <v>0</v>
      </c>
      <c r="BA21" s="20">
        <f>SUM(C21:N21)</f>
        <v>0</v>
      </c>
      <c r="BB21" s="20">
        <f>SUM(O21:Z21)</f>
        <v>0</v>
      </c>
      <c r="BC21" s="20">
        <f>SUM(AA21:AL21)</f>
        <v>0</v>
      </c>
    </row>
    <row r="22" spans="1:55">
      <c r="A22" s="28" t="s">
        <v>277</v>
      </c>
      <c r="B22" s="16"/>
      <c r="C22" s="29">
        <f>C20-C21</f>
        <v>0</v>
      </c>
      <c r="D22" s="29">
        <f>D20-D21</f>
        <v>0</v>
      </c>
      <c r="E22" s="29">
        <f>E20-E21</f>
        <v>0</v>
      </c>
      <c r="F22" s="29">
        <f>F20-F21</f>
        <v>0</v>
      </c>
      <c r="G22" s="29">
        <f>G20-G21</f>
        <v>0</v>
      </c>
      <c r="H22" s="29">
        <f>H20-H21</f>
        <v>0</v>
      </c>
      <c r="I22" s="29">
        <f>I20-I21</f>
        <v>0</v>
      </c>
      <c r="J22" s="29">
        <f>J20-J21</f>
        <v>0</v>
      </c>
      <c r="K22" s="29">
        <f>K20-K21</f>
        <v>0</v>
      </c>
      <c r="L22" s="29">
        <f>L20-L21</f>
        <v>0</v>
      </c>
      <c r="M22" s="29">
        <f>M20-M21</f>
        <v>0</v>
      </c>
      <c r="N22" s="29">
        <f>N20-N21</f>
        <v>0</v>
      </c>
      <c r="O22" s="29">
        <f>O20-O21</f>
        <v>0</v>
      </c>
      <c r="P22" s="29">
        <f>P20-P21</f>
        <v>0</v>
      </c>
      <c r="Q22" s="29">
        <f>Q20-Q21</f>
        <v>0</v>
      </c>
      <c r="R22" s="29">
        <f>R20-R21</f>
        <v>0</v>
      </c>
      <c r="S22" s="29">
        <f>S20-S21</f>
        <v>0</v>
      </c>
      <c r="T22" s="29">
        <f>T20-T21</f>
        <v>0</v>
      </c>
      <c r="U22" s="29">
        <f>U20-U21</f>
        <v>0</v>
      </c>
      <c r="V22" s="29">
        <f>V20-V21</f>
        <v>0</v>
      </c>
      <c r="W22" s="29">
        <f>W20-W21</f>
        <v>0</v>
      </c>
      <c r="X22" s="29">
        <f>X20-X21</f>
        <v>0</v>
      </c>
      <c r="Y22" s="29">
        <f>Y20-Y21</f>
        <v>0</v>
      </c>
      <c r="Z22" s="29">
        <f>Z20-Z21</f>
        <v>0</v>
      </c>
      <c r="AA22" s="29">
        <f>AA20-AA21</f>
        <v>0</v>
      </c>
      <c r="AB22" s="29">
        <f>AB20-AB21</f>
        <v>0</v>
      </c>
      <c r="AC22" s="29">
        <f>AC20-AC21</f>
        <v>0</v>
      </c>
      <c r="AD22" s="29">
        <f>AD20-AD21</f>
        <v>0</v>
      </c>
      <c r="AE22" s="29">
        <f>AE20-AE21</f>
        <v>0</v>
      </c>
      <c r="AF22" s="29">
        <f>AF20-AF21</f>
        <v>0</v>
      </c>
      <c r="AG22" s="29">
        <f>AG20-AG21</f>
        <v>0</v>
      </c>
      <c r="AH22" s="29">
        <f>AH20-AH21</f>
        <v>0</v>
      </c>
      <c r="AI22" s="29">
        <f>AI20-AI21</f>
        <v>0</v>
      </c>
      <c r="AJ22" s="29">
        <f>AJ20-AJ21</f>
        <v>0</v>
      </c>
      <c r="AK22" s="29">
        <f>AK20-AK21</f>
        <v>0</v>
      </c>
      <c r="AL22" s="29">
        <f>AL20-AL21</f>
        <v>0</v>
      </c>
      <c r="AN22" s="29">
        <f>SUM(C22:E22)</f>
        <v>0</v>
      </c>
      <c r="AO22" s="29">
        <f>SUM(F22:H22)</f>
        <v>0</v>
      </c>
      <c r="AP22" s="29">
        <f>SUM(I22:K22)</f>
        <v>0</v>
      </c>
      <c r="AQ22" s="29">
        <f>SUM(L22:N22)</f>
        <v>0</v>
      </c>
      <c r="AR22" s="29">
        <f>SUM(O22:Q22)</f>
        <v>0</v>
      </c>
      <c r="AS22" s="29">
        <f>SUM(R22:T22)</f>
        <v>0</v>
      </c>
      <c r="AT22" s="29">
        <f>SUM(U22:W22)</f>
        <v>0</v>
      </c>
      <c r="AU22" s="29">
        <f>SUM(X22:Z22)</f>
        <v>0</v>
      </c>
      <c r="AV22" s="29">
        <f>SUM(AA22:AC22)</f>
        <v>0</v>
      </c>
      <c r="AW22" s="29">
        <f>SUM(AD22:AF22)</f>
        <v>0</v>
      </c>
      <c r="AX22" s="29">
        <f>SUM(AG22:AI22)</f>
        <v>0</v>
      </c>
      <c r="AY22" s="29">
        <f>SUM(AJ22:AL22)</f>
        <v>0</v>
      </c>
      <c r="BA22" s="29">
        <f>SUM(C22:N22)</f>
        <v>0</v>
      </c>
      <c r="BB22" s="29">
        <f>SUM(O22:Z22)</f>
        <v>0</v>
      </c>
      <c r="BC22" s="29">
        <f>SUM(AA22:AL22)</f>
        <v>0</v>
      </c>
    </row>
    <row r="23" spans="1:55">
      <c r="A23" s="18" t="s">
        <v>278</v>
      </c>
      <c r="B23" s="16" t="s">
        <v>279</v>
      </c>
      <c r="C23" s="20">
        <f>MAX(0,C22)*'Assumptions'!$F$10</f>
        <v>0</v>
      </c>
      <c r="D23" s="20">
        <f>MAX(0,D22)*'Assumptions'!$F$10</f>
        <v>0</v>
      </c>
      <c r="E23" s="20">
        <f>MAX(0,E22)*'Assumptions'!$F$10</f>
        <v>0</v>
      </c>
      <c r="F23" s="20">
        <f>MAX(0,F22)*'Assumptions'!$F$10</f>
        <v>0</v>
      </c>
      <c r="G23" s="20">
        <f>MAX(0,G22)*'Assumptions'!$F$10</f>
        <v>0</v>
      </c>
      <c r="H23" s="20">
        <f>MAX(0,H22)*'Assumptions'!$F$10</f>
        <v>0</v>
      </c>
      <c r="I23" s="20">
        <f>MAX(0,I22)*'Assumptions'!$F$10</f>
        <v>0</v>
      </c>
      <c r="J23" s="20">
        <f>MAX(0,J22)*'Assumptions'!$F$10</f>
        <v>0</v>
      </c>
      <c r="K23" s="20">
        <f>MAX(0,K22)*'Assumptions'!$F$10</f>
        <v>0</v>
      </c>
      <c r="L23" s="20">
        <f>MAX(0,L22)*'Assumptions'!$F$10</f>
        <v>0</v>
      </c>
      <c r="M23" s="20">
        <f>MAX(0,M22)*'Assumptions'!$F$10</f>
        <v>0</v>
      </c>
      <c r="N23" s="20">
        <f>MAX(0,N22)*'Assumptions'!$F$10</f>
        <v>0</v>
      </c>
      <c r="O23" s="20">
        <f>MAX(0,O22)*'Assumptions'!$F$10</f>
        <v>0</v>
      </c>
      <c r="P23" s="20">
        <f>MAX(0,P22)*'Assumptions'!$F$10</f>
        <v>0</v>
      </c>
      <c r="Q23" s="20">
        <f>MAX(0,Q22)*'Assumptions'!$F$10</f>
        <v>0</v>
      </c>
      <c r="R23" s="20">
        <f>MAX(0,R22)*'Assumptions'!$F$10</f>
        <v>0</v>
      </c>
      <c r="S23" s="20">
        <f>MAX(0,S22)*'Assumptions'!$F$10</f>
        <v>0</v>
      </c>
      <c r="T23" s="20">
        <f>MAX(0,T22)*'Assumptions'!$F$10</f>
        <v>0</v>
      </c>
      <c r="U23" s="20">
        <f>MAX(0,U22)*'Assumptions'!$F$10</f>
        <v>0</v>
      </c>
      <c r="V23" s="20">
        <f>MAX(0,V22)*'Assumptions'!$F$10</f>
        <v>0</v>
      </c>
      <c r="W23" s="20">
        <f>MAX(0,W22)*'Assumptions'!$F$10</f>
        <v>0</v>
      </c>
      <c r="X23" s="20">
        <f>MAX(0,X22)*'Assumptions'!$F$10</f>
        <v>0</v>
      </c>
      <c r="Y23" s="20">
        <f>MAX(0,Y22)*'Assumptions'!$F$10</f>
        <v>0</v>
      </c>
      <c r="Z23" s="20">
        <f>MAX(0,Z22)*'Assumptions'!$F$10</f>
        <v>0</v>
      </c>
      <c r="AA23" s="20">
        <f>MAX(0,AA22)*'Assumptions'!$F$10</f>
        <v>0</v>
      </c>
      <c r="AB23" s="20">
        <f>MAX(0,AB22)*'Assumptions'!$F$10</f>
        <v>0</v>
      </c>
      <c r="AC23" s="20">
        <f>MAX(0,AC22)*'Assumptions'!$F$10</f>
        <v>0</v>
      </c>
      <c r="AD23" s="20">
        <f>MAX(0,AD22)*'Assumptions'!$F$10</f>
        <v>0</v>
      </c>
      <c r="AE23" s="20">
        <f>MAX(0,AE22)*'Assumptions'!$F$10</f>
        <v>0</v>
      </c>
      <c r="AF23" s="20">
        <f>MAX(0,AF22)*'Assumptions'!$F$10</f>
        <v>0</v>
      </c>
      <c r="AG23" s="20">
        <f>MAX(0,AG22)*'Assumptions'!$F$10</f>
        <v>0</v>
      </c>
      <c r="AH23" s="20">
        <f>MAX(0,AH22)*'Assumptions'!$F$10</f>
        <v>0</v>
      </c>
      <c r="AI23" s="20">
        <f>MAX(0,AI22)*'Assumptions'!$F$10</f>
        <v>0</v>
      </c>
      <c r="AJ23" s="20">
        <f>MAX(0,AJ22)*'Assumptions'!$F$10</f>
        <v>0</v>
      </c>
      <c r="AK23" s="20">
        <f>MAX(0,AK22)*'Assumptions'!$F$10</f>
        <v>0</v>
      </c>
      <c r="AL23" s="20">
        <f>MAX(0,AL22)*'Assumptions'!$F$10</f>
        <v>0</v>
      </c>
      <c r="AN23" s="20">
        <f>SUM(C23:E23)</f>
        <v>0</v>
      </c>
      <c r="AO23" s="20">
        <f>SUM(F23:H23)</f>
        <v>0</v>
      </c>
      <c r="AP23" s="20">
        <f>SUM(I23:K23)</f>
        <v>0</v>
      </c>
      <c r="AQ23" s="20">
        <f>SUM(L23:N23)</f>
        <v>0</v>
      </c>
      <c r="AR23" s="20">
        <f>SUM(O23:Q23)</f>
        <v>0</v>
      </c>
      <c r="AS23" s="20">
        <f>SUM(R23:T23)</f>
        <v>0</v>
      </c>
      <c r="AT23" s="20">
        <f>SUM(U23:W23)</f>
        <v>0</v>
      </c>
      <c r="AU23" s="20">
        <f>SUM(X23:Z23)</f>
        <v>0</v>
      </c>
      <c r="AV23" s="20">
        <f>SUM(AA23:AC23)</f>
        <v>0</v>
      </c>
      <c r="AW23" s="20">
        <f>SUM(AD23:AF23)</f>
        <v>0</v>
      </c>
      <c r="AX23" s="20">
        <f>SUM(AG23:AI23)</f>
        <v>0</v>
      </c>
      <c r="AY23" s="20">
        <f>SUM(AJ23:AL23)</f>
        <v>0</v>
      </c>
      <c r="BA23" s="20">
        <f>SUM(C23:N23)</f>
        <v>0</v>
      </c>
      <c r="BB23" s="20">
        <f>SUM(O23:Z23)</f>
        <v>0</v>
      </c>
      <c r="BC23" s="20">
        <f>SUM(AA23:AL23)</f>
        <v>0</v>
      </c>
    </row>
    <row r="24" spans="1:55">
      <c r="A24" s="31" t="s">
        <v>280</v>
      </c>
      <c r="B24" s="16"/>
      <c r="C24" s="32">
        <f>C22-C23</f>
        <v>0</v>
      </c>
      <c r="D24" s="32">
        <f>D22-D23</f>
        <v>0</v>
      </c>
      <c r="E24" s="32">
        <f>E22-E23</f>
        <v>0</v>
      </c>
      <c r="F24" s="32">
        <f>F22-F23</f>
        <v>0</v>
      </c>
      <c r="G24" s="32">
        <f>G22-G23</f>
        <v>0</v>
      </c>
      <c r="H24" s="32">
        <f>H22-H23</f>
        <v>0</v>
      </c>
      <c r="I24" s="32">
        <f>I22-I23</f>
        <v>0</v>
      </c>
      <c r="J24" s="32">
        <f>J22-J23</f>
        <v>0</v>
      </c>
      <c r="K24" s="32">
        <f>K22-K23</f>
        <v>0</v>
      </c>
      <c r="L24" s="32">
        <f>L22-L23</f>
        <v>0</v>
      </c>
      <c r="M24" s="32">
        <f>M22-M23</f>
        <v>0</v>
      </c>
      <c r="N24" s="32">
        <f>N22-N23</f>
        <v>0</v>
      </c>
      <c r="O24" s="32">
        <f>O22-O23</f>
        <v>0</v>
      </c>
      <c r="P24" s="32">
        <f>P22-P23</f>
        <v>0</v>
      </c>
      <c r="Q24" s="32">
        <f>Q22-Q23</f>
        <v>0</v>
      </c>
      <c r="R24" s="32">
        <f>R22-R23</f>
        <v>0</v>
      </c>
      <c r="S24" s="32">
        <f>S22-S23</f>
        <v>0</v>
      </c>
      <c r="T24" s="32">
        <f>T22-T23</f>
        <v>0</v>
      </c>
      <c r="U24" s="32">
        <f>U22-U23</f>
        <v>0</v>
      </c>
      <c r="V24" s="32">
        <f>V22-V23</f>
        <v>0</v>
      </c>
      <c r="W24" s="32">
        <f>W22-W23</f>
        <v>0</v>
      </c>
      <c r="X24" s="32">
        <f>X22-X23</f>
        <v>0</v>
      </c>
      <c r="Y24" s="32">
        <f>Y22-Y23</f>
        <v>0</v>
      </c>
      <c r="Z24" s="32">
        <f>Z22-Z23</f>
        <v>0</v>
      </c>
      <c r="AA24" s="32">
        <f>AA22-AA23</f>
        <v>0</v>
      </c>
      <c r="AB24" s="32">
        <f>AB22-AB23</f>
        <v>0</v>
      </c>
      <c r="AC24" s="32">
        <f>AC22-AC23</f>
        <v>0</v>
      </c>
      <c r="AD24" s="32">
        <f>AD22-AD23</f>
        <v>0</v>
      </c>
      <c r="AE24" s="32">
        <f>AE22-AE23</f>
        <v>0</v>
      </c>
      <c r="AF24" s="32">
        <f>AF22-AF23</f>
        <v>0</v>
      </c>
      <c r="AG24" s="32">
        <f>AG22-AG23</f>
        <v>0</v>
      </c>
      <c r="AH24" s="32">
        <f>AH22-AH23</f>
        <v>0</v>
      </c>
      <c r="AI24" s="32">
        <f>AI22-AI23</f>
        <v>0</v>
      </c>
      <c r="AJ24" s="32">
        <f>AJ22-AJ23</f>
        <v>0</v>
      </c>
      <c r="AK24" s="32">
        <f>AK22-AK23</f>
        <v>0</v>
      </c>
      <c r="AL24" s="32">
        <f>AL22-AL23</f>
        <v>0</v>
      </c>
      <c r="AN24" s="32">
        <f>SUM(C24:E24)</f>
        <v>0</v>
      </c>
      <c r="AO24" s="32">
        <f>SUM(F24:H24)</f>
        <v>0</v>
      </c>
      <c r="AP24" s="32">
        <f>SUM(I24:K24)</f>
        <v>0</v>
      </c>
      <c r="AQ24" s="32">
        <f>SUM(L24:N24)</f>
        <v>0</v>
      </c>
      <c r="AR24" s="32">
        <f>SUM(O24:Q24)</f>
        <v>0</v>
      </c>
      <c r="AS24" s="32">
        <f>SUM(R24:T24)</f>
        <v>0</v>
      </c>
      <c r="AT24" s="32">
        <f>SUM(U24:W24)</f>
        <v>0</v>
      </c>
      <c r="AU24" s="32">
        <f>SUM(X24:Z24)</f>
        <v>0</v>
      </c>
      <c r="AV24" s="32">
        <f>SUM(AA24:AC24)</f>
        <v>0</v>
      </c>
      <c r="AW24" s="32">
        <f>SUM(AD24:AF24)</f>
        <v>0</v>
      </c>
      <c r="AX24" s="32">
        <f>SUM(AG24:AI24)</f>
        <v>0</v>
      </c>
      <c r="AY24" s="32">
        <f>SUM(AJ24:AL24)</f>
        <v>0</v>
      </c>
      <c r="BA24" s="32">
        <f>SUM(C24:N24)</f>
        <v>0</v>
      </c>
      <c r="BB24" s="32">
        <f>SUM(O24:Z24)</f>
        <v>0</v>
      </c>
      <c r="BC24" s="32">
        <f>SUM(AA24:AL24)</f>
        <v>0</v>
      </c>
    </row>
  </sheetData>
  <mergeCells count="6">
    <mergeCell ref="A1:BC1"/>
    <mergeCell ref="A2:BC2"/>
    <mergeCell ref="C5:AL5"/>
    <mergeCell ref="AN5:AY5"/>
    <mergeCell ref="BA5:BC5"/>
    <mergeCell ref="A12:BC12"/>
  </mergeCells>
  <pageMargins left="0.7" right="0.7" top="0.75" bottom="0.75" header="0.3" footer="0.3"/>
  <pageSetup paperSize="9" scale="5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BC28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281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130</v>
      </c>
      <c r="B5" s="14" t="s">
        <v>131</v>
      </c>
      <c r="C5" s="14" t="s">
        <v>127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128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129</v>
      </c>
      <c r="BB5" s="14"/>
      <c r="BC5" s="14"/>
    </row>
    <row r="6" spans="1:55">
      <c r="A6" s="17"/>
      <c r="B6" s="17"/>
      <c r="C6" s="26">
        <v>46023</v>
      </c>
      <c r="D6" s="26">
        <v>46054</v>
      </c>
      <c r="E6" s="26">
        <v>46082</v>
      </c>
      <c r="F6" s="26">
        <v>46113</v>
      </c>
      <c r="G6" s="26">
        <v>46143</v>
      </c>
      <c r="H6" s="26">
        <v>46174</v>
      </c>
      <c r="I6" s="26">
        <v>46204</v>
      </c>
      <c r="J6" s="26">
        <v>46235</v>
      </c>
      <c r="K6" s="26">
        <v>46266</v>
      </c>
      <c r="L6" s="26">
        <v>46296</v>
      </c>
      <c r="M6" s="26">
        <v>46327</v>
      </c>
      <c r="N6" s="26">
        <v>46357</v>
      </c>
      <c r="O6" s="26">
        <v>46388</v>
      </c>
      <c r="P6" s="26">
        <v>46419</v>
      </c>
      <c r="Q6" s="26">
        <v>46447</v>
      </c>
      <c r="R6" s="26">
        <v>46478</v>
      </c>
      <c r="S6" s="26">
        <v>46508</v>
      </c>
      <c r="T6" s="26">
        <v>46539</v>
      </c>
      <c r="U6" s="26">
        <v>46569</v>
      </c>
      <c r="V6" s="26">
        <v>46600</v>
      </c>
      <c r="W6" s="26">
        <v>46631</v>
      </c>
      <c r="X6" s="26">
        <v>46661</v>
      </c>
      <c r="Y6" s="26">
        <v>46692</v>
      </c>
      <c r="Z6" s="26">
        <v>46722</v>
      </c>
      <c r="AA6" s="26">
        <v>46753</v>
      </c>
      <c r="AB6" s="26">
        <v>46784</v>
      </c>
      <c r="AC6" s="26">
        <v>46813</v>
      </c>
      <c r="AD6" s="26">
        <v>46844</v>
      </c>
      <c r="AE6" s="26">
        <v>46874</v>
      </c>
      <c r="AF6" s="26">
        <v>46905</v>
      </c>
      <c r="AG6" s="26">
        <v>46935</v>
      </c>
      <c r="AH6" s="26">
        <v>46966</v>
      </c>
      <c r="AI6" s="26">
        <v>46997</v>
      </c>
      <c r="AJ6" s="26">
        <v>47027</v>
      </c>
      <c r="AK6" s="26">
        <v>47058</v>
      </c>
      <c r="AL6" s="26">
        <v>47088</v>
      </c>
      <c r="AN6" s="17" t="s">
        <v>132</v>
      </c>
      <c r="AO6" s="17" t="s">
        <v>133</v>
      </c>
      <c r="AP6" s="17" t="s">
        <v>134</v>
      </c>
      <c r="AQ6" s="17" t="s">
        <v>135</v>
      </c>
      <c r="AR6" s="17" t="s">
        <v>136</v>
      </c>
      <c r="AS6" s="17" t="s">
        <v>137</v>
      </c>
      <c r="AT6" s="17" t="s">
        <v>138</v>
      </c>
      <c r="AU6" s="17" t="s">
        <v>139</v>
      </c>
      <c r="AV6" s="17" t="s">
        <v>140</v>
      </c>
      <c r="AW6" s="17" t="s">
        <v>141</v>
      </c>
      <c r="AX6" s="17" t="s">
        <v>142</v>
      </c>
      <c r="AY6" s="17" t="s">
        <v>143</v>
      </c>
      <c r="BA6" s="17" t="s">
        <v>144</v>
      </c>
      <c r="BB6" s="17" t="s">
        <v>145</v>
      </c>
      <c r="BC6" s="17" t="s">
        <v>146</v>
      </c>
    </row>
    <row r="7" spans="1:55" ht="16" customHeight="1">
      <c r="A7" s="14" t="s">
        <v>283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280</v>
      </c>
      <c r="B8" s="16"/>
      <c r="C8" s="20">
        <f>'P&amp;L'!$C$24</f>
        <v>0</v>
      </c>
      <c r="D8" s="20">
        <f>'P&amp;L'!$D$24</f>
        <v>0</v>
      </c>
      <c r="E8" s="20">
        <f>'P&amp;L'!$E$24</f>
        <v>0</v>
      </c>
      <c r="F8" s="20">
        <f>'P&amp;L'!$F$24</f>
        <v>0</v>
      </c>
      <c r="G8" s="20">
        <f>'P&amp;L'!$G$24</f>
        <v>0</v>
      </c>
      <c r="H8" s="20">
        <f>'P&amp;L'!$H$24</f>
        <v>0</v>
      </c>
      <c r="I8" s="20">
        <f>'P&amp;L'!$I$24</f>
        <v>0</v>
      </c>
      <c r="J8" s="20">
        <f>'P&amp;L'!$J$24</f>
        <v>0</v>
      </c>
      <c r="K8" s="20">
        <f>'P&amp;L'!$K$24</f>
        <v>0</v>
      </c>
      <c r="L8" s="20">
        <f>'P&amp;L'!$L$24</f>
        <v>0</v>
      </c>
      <c r="M8" s="20">
        <f>'P&amp;L'!$M$24</f>
        <v>0</v>
      </c>
      <c r="N8" s="20">
        <f>'P&amp;L'!$N$24</f>
        <v>0</v>
      </c>
      <c r="O8" s="20">
        <f>'P&amp;L'!$O$24</f>
        <v>0</v>
      </c>
      <c r="P8" s="20">
        <f>'P&amp;L'!$P$24</f>
        <v>0</v>
      </c>
      <c r="Q8" s="20">
        <f>'P&amp;L'!$Q$24</f>
        <v>0</v>
      </c>
      <c r="R8" s="20">
        <f>'P&amp;L'!$R$24</f>
        <v>0</v>
      </c>
      <c r="S8" s="20">
        <f>'P&amp;L'!$S$24</f>
        <v>0</v>
      </c>
      <c r="T8" s="20">
        <f>'P&amp;L'!$T$24</f>
        <v>0</v>
      </c>
      <c r="U8" s="20">
        <f>'P&amp;L'!$U$24</f>
        <v>0</v>
      </c>
      <c r="V8" s="20">
        <f>'P&amp;L'!$V$24</f>
        <v>0</v>
      </c>
      <c r="W8" s="20">
        <f>'P&amp;L'!$W$24</f>
        <v>0</v>
      </c>
      <c r="X8" s="20">
        <f>'P&amp;L'!$X$24</f>
        <v>0</v>
      </c>
      <c r="Y8" s="20">
        <f>'P&amp;L'!$Y$24</f>
        <v>0</v>
      </c>
      <c r="Z8" s="20">
        <f>'P&amp;L'!$Z$24</f>
        <v>0</v>
      </c>
      <c r="AA8" s="20">
        <f>'P&amp;L'!$AA$24</f>
        <v>0</v>
      </c>
      <c r="AB8" s="20">
        <f>'P&amp;L'!$AB$24</f>
        <v>0</v>
      </c>
      <c r="AC8" s="20">
        <f>'P&amp;L'!$AC$24</f>
        <v>0</v>
      </c>
      <c r="AD8" s="20">
        <f>'P&amp;L'!$AD$24</f>
        <v>0</v>
      </c>
      <c r="AE8" s="20">
        <f>'P&amp;L'!$AE$24</f>
        <v>0</v>
      </c>
      <c r="AF8" s="20">
        <f>'P&amp;L'!$AF$24</f>
        <v>0</v>
      </c>
      <c r="AG8" s="20">
        <f>'P&amp;L'!$AG$24</f>
        <v>0</v>
      </c>
      <c r="AH8" s="20">
        <f>'P&amp;L'!$AH$24</f>
        <v>0</v>
      </c>
      <c r="AI8" s="20">
        <f>'P&amp;L'!$AI$24</f>
        <v>0</v>
      </c>
      <c r="AJ8" s="20">
        <f>'P&amp;L'!$AJ$24</f>
        <v>0</v>
      </c>
      <c r="AK8" s="20">
        <f>'P&amp;L'!$AK$24</f>
        <v>0</v>
      </c>
      <c r="AL8" s="20">
        <f>'P&amp;L'!$AL$24</f>
        <v>0</v>
      </c>
      <c r="AN8" s="20">
        <f>SUM(C8:E8)</f>
        <v>0</v>
      </c>
      <c r="AO8" s="20">
        <f>SUM(F8:H8)</f>
        <v>0</v>
      </c>
      <c r="AP8" s="20">
        <f>SUM(I8:K8)</f>
        <v>0</v>
      </c>
      <c r="AQ8" s="20">
        <f>SUM(L8:N8)</f>
        <v>0</v>
      </c>
      <c r="AR8" s="20">
        <f>SUM(O8:Q8)</f>
        <v>0</v>
      </c>
      <c r="AS8" s="20">
        <f>SUM(R8:T8)</f>
        <v>0</v>
      </c>
      <c r="AT8" s="20">
        <f>SUM(U8:W8)</f>
        <v>0</v>
      </c>
      <c r="AU8" s="20">
        <f>SUM(X8:Z8)</f>
        <v>0</v>
      </c>
      <c r="AV8" s="20">
        <f>SUM(AA8:AC8)</f>
        <v>0</v>
      </c>
      <c r="AW8" s="20">
        <f>SUM(AD8:AF8)</f>
        <v>0</v>
      </c>
      <c r="AX8" s="20">
        <f>SUM(AG8:AI8)</f>
        <v>0</v>
      </c>
      <c r="AY8" s="20">
        <f>SUM(AJ8:AL8)</f>
        <v>0</v>
      </c>
      <c r="BA8" s="20">
        <f>SUM(C8:N8)</f>
        <v>0</v>
      </c>
      <c r="BB8" s="20">
        <f>SUM(O8:Z8)</f>
        <v>0</v>
      </c>
      <c r="BC8" s="20">
        <f>SUM(AA8:AL8)</f>
        <v>0</v>
      </c>
    </row>
    <row r="9" spans="1:55">
      <c r="A9" s="18" t="s">
        <v>284</v>
      </c>
      <c r="B9" s="16"/>
      <c r="C9" s="20">
        <f>'P&amp;L'!$C$19</f>
        <v>0</v>
      </c>
      <c r="D9" s="20">
        <f>'P&amp;L'!$D$19</f>
        <v>0</v>
      </c>
      <c r="E9" s="20">
        <f>'P&amp;L'!$E$19</f>
        <v>0</v>
      </c>
      <c r="F9" s="20">
        <f>'P&amp;L'!$F$19</f>
        <v>0</v>
      </c>
      <c r="G9" s="20">
        <f>'P&amp;L'!$G$19</f>
        <v>0</v>
      </c>
      <c r="H9" s="20">
        <f>'P&amp;L'!$H$19</f>
        <v>0</v>
      </c>
      <c r="I9" s="20">
        <f>'P&amp;L'!$I$19</f>
        <v>0</v>
      </c>
      <c r="J9" s="20">
        <f>'P&amp;L'!$J$19</f>
        <v>0</v>
      </c>
      <c r="K9" s="20">
        <f>'P&amp;L'!$K$19</f>
        <v>0</v>
      </c>
      <c r="L9" s="20">
        <f>'P&amp;L'!$L$19</f>
        <v>0</v>
      </c>
      <c r="M9" s="20">
        <f>'P&amp;L'!$M$19</f>
        <v>0</v>
      </c>
      <c r="N9" s="20">
        <f>'P&amp;L'!$N$19</f>
        <v>0</v>
      </c>
      <c r="O9" s="20">
        <f>'P&amp;L'!$O$19</f>
        <v>0</v>
      </c>
      <c r="P9" s="20">
        <f>'P&amp;L'!$P$19</f>
        <v>0</v>
      </c>
      <c r="Q9" s="20">
        <f>'P&amp;L'!$Q$19</f>
        <v>0</v>
      </c>
      <c r="R9" s="20">
        <f>'P&amp;L'!$R$19</f>
        <v>0</v>
      </c>
      <c r="S9" s="20">
        <f>'P&amp;L'!$S$19</f>
        <v>0</v>
      </c>
      <c r="T9" s="20">
        <f>'P&amp;L'!$T$19</f>
        <v>0</v>
      </c>
      <c r="U9" s="20">
        <f>'P&amp;L'!$U$19</f>
        <v>0</v>
      </c>
      <c r="V9" s="20">
        <f>'P&amp;L'!$V$19</f>
        <v>0</v>
      </c>
      <c r="W9" s="20">
        <f>'P&amp;L'!$W$19</f>
        <v>0</v>
      </c>
      <c r="X9" s="20">
        <f>'P&amp;L'!$X$19</f>
        <v>0</v>
      </c>
      <c r="Y9" s="20">
        <f>'P&amp;L'!$Y$19</f>
        <v>0</v>
      </c>
      <c r="Z9" s="20">
        <f>'P&amp;L'!$Z$19</f>
        <v>0</v>
      </c>
      <c r="AA9" s="20">
        <f>'P&amp;L'!$AA$19</f>
        <v>0</v>
      </c>
      <c r="AB9" s="20">
        <f>'P&amp;L'!$AB$19</f>
        <v>0</v>
      </c>
      <c r="AC9" s="20">
        <f>'P&amp;L'!$AC$19</f>
        <v>0</v>
      </c>
      <c r="AD9" s="20">
        <f>'P&amp;L'!$AD$19</f>
        <v>0</v>
      </c>
      <c r="AE9" s="20">
        <f>'P&amp;L'!$AE$19</f>
        <v>0</v>
      </c>
      <c r="AF9" s="20">
        <f>'P&amp;L'!$AF$19</f>
        <v>0</v>
      </c>
      <c r="AG9" s="20">
        <f>'P&amp;L'!$AG$19</f>
        <v>0</v>
      </c>
      <c r="AH9" s="20">
        <f>'P&amp;L'!$AH$19</f>
        <v>0</v>
      </c>
      <c r="AI9" s="20">
        <f>'P&amp;L'!$AI$19</f>
        <v>0</v>
      </c>
      <c r="AJ9" s="20">
        <f>'P&amp;L'!$AJ$19</f>
        <v>0</v>
      </c>
      <c r="AK9" s="20">
        <f>'P&amp;L'!$AK$19</f>
        <v>0</v>
      </c>
      <c r="AL9" s="20">
        <f>'P&amp;L'!$AL$19</f>
        <v>0</v>
      </c>
      <c r="AN9" s="20">
        <f>SUM(C9:E9)</f>
        <v>0</v>
      </c>
      <c r="AO9" s="20">
        <f>SUM(F9:H9)</f>
        <v>0</v>
      </c>
      <c r="AP9" s="20">
        <f>SUM(I9:K9)</f>
        <v>0</v>
      </c>
      <c r="AQ9" s="20">
        <f>SUM(L9:N9)</f>
        <v>0</v>
      </c>
      <c r="AR9" s="20">
        <f>SUM(O9:Q9)</f>
        <v>0</v>
      </c>
      <c r="AS9" s="20">
        <f>SUM(R9:T9)</f>
        <v>0</v>
      </c>
      <c r="AT9" s="20">
        <f>SUM(U9:W9)</f>
        <v>0</v>
      </c>
      <c r="AU9" s="20">
        <f>SUM(X9:Z9)</f>
        <v>0</v>
      </c>
      <c r="AV9" s="20">
        <f>SUM(AA9:AC9)</f>
        <v>0</v>
      </c>
      <c r="AW9" s="20">
        <f>SUM(AD9:AF9)</f>
        <v>0</v>
      </c>
      <c r="AX9" s="20">
        <f>SUM(AG9:AI9)</f>
        <v>0</v>
      </c>
      <c r="AY9" s="20">
        <f>SUM(AJ9:AL9)</f>
        <v>0</v>
      </c>
      <c r="BA9" s="20">
        <f>SUM(C9:N9)</f>
        <v>0</v>
      </c>
      <c r="BB9" s="20">
        <f>SUM(O9:Z9)</f>
        <v>0</v>
      </c>
      <c r="BC9" s="20">
        <f>SUM(AA9:AL9)</f>
        <v>0</v>
      </c>
    </row>
    <row r="10" spans="1:55">
      <c r="A10" s="18" t="s">
        <v>285</v>
      </c>
      <c r="B10" s="16"/>
      <c r="C10" s="20">
        <f>-'Working Capital'!C12</f>
        <v>0</v>
      </c>
      <c r="D10" s="20">
        <f>-'Working Capital'!D12</f>
        <v>0</v>
      </c>
      <c r="E10" s="20">
        <f>-'Working Capital'!E12</f>
        <v>0</v>
      </c>
      <c r="F10" s="20">
        <f>-'Working Capital'!F12</f>
        <v>0</v>
      </c>
      <c r="G10" s="20">
        <f>-'Working Capital'!G12</f>
        <v>0</v>
      </c>
      <c r="H10" s="20">
        <f>-'Working Capital'!H12</f>
        <v>0</v>
      </c>
      <c r="I10" s="20">
        <f>-'Working Capital'!I12</f>
        <v>0</v>
      </c>
      <c r="J10" s="20">
        <f>-'Working Capital'!J12</f>
        <v>0</v>
      </c>
      <c r="K10" s="20">
        <f>-'Working Capital'!K12</f>
        <v>0</v>
      </c>
      <c r="L10" s="20">
        <f>-'Working Capital'!L12</f>
        <v>0</v>
      </c>
      <c r="M10" s="20">
        <f>-'Working Capital'!M12</f>
        <v>0</v>
      </c>
      <c r="N10" s="20">
        <f>-'Working Capital'!N12</f>
        <v>0</v>
      </c>
      <c r="O10" s="20">
        <f>-'Working Capital'!O12</f>
        <v>0</v>
      </c>
      <c r="P10" s="20">
        <f>-'Working Capital'!P12</f>
        <v>0</v>
      </c>
      <c r="Q10" s="20">
        <f>-'Working Capital'!Q12</f>
        <v>0</v>
      </c>
      <c r="R10" s="20">
        <f>-'Working Capital'!R12</f>
        <v>0</v>
      </c>
      <c r="S10" s="20">
        <f>-'Working Capital'!S12</f>
        <v>0</v>
      </c>
      <c r="T10" s="20">
        <f>-'Working Capital'!T12</f>
        <v>0</v>
      </c>
      <c r="U10" s="20">
        <f>-'Working Capital'!U12</f>
        <v>0</v>
      </c>
      <c r="V10" s="20">
        <f>-'Working Capital'!V12</f>
        <v>0</v>
      </c>
      <c r="W10" s="20">
        <f>-'Working Capital'!W12</f>
        <v>0</v>
      </c>
      <c r="X10" s="20">
        <f>-'Working Capital'!X12</f>
        <v>0</v>
      </c>
      <c r="Y10" s="20">
        <f>-'Working Capital'!Y12</f>
        <v>0</v>
      </c>
      <c r="Z10" s="20">
        <f>-'Working Capital'!Z12</f>
        <v>0</v>
      </c>
      <c r="AA10" s="20">
        <f>-'Working Capital'!AA12</f>
        <v>0</v>
      </c>
      <c r="AB10" s="20">
        <f>-'Working Capital'!AB12</f>
        <v>0</v>
      </c>
      <c r="AC10" s="20">
        <f>-'Working Capital'!AC12</f>
        <v>0</v>
      </c>
      <c r="AD10" s="20">
        <f>-'Working Capital'!AD12</f>
        <v>0</v>
      </c>
      <c r="AE10" s="20">
        <f>-'Working Capital'!AE12</f>
        <v>0</v>
      </c>
      <c r="AF10" s="20">
        <f>-'Working Capital'!AF12</f>
        <v>0</v>
      </c>
      <c r="AG10" s="20">
        <f>-'Working Capital'!AG12</f>
        <v>0</v>
      </c>
      <c r="AH10" s="20">
        <f>-'Working Capital'!AH12</f>
        <v>0</v>
      </c>
      <c r="AI10" s="20">
        <f>-'Working Capital'!AI12</f>
        <v>0</v>
      </c>
      <c r="AJ10" s="20">
        <f>-'Working Capital'!AJ12</f>
        <v>0</v>
      </c>
      <c r="AK10" s="20">
        <f>-'Working Capital'!AK12</f>
        <v>0</v>
      </c>
      <c r="AL10" s="20">
        <f>-'Working Capital'!AL12</f>
        <v>0</v>
      </c>
      <c r="AN10" s="20">
        <f>SUM(C10:E10)</f>
        <v>0</v>
      </c>
      <c r="AO10" s="20">
        <f>SUM(F10:H10)</f>
        <v>0</v>
      </c>
      <c r="AP10" s="20">
        <f>SUM(I10:K10)</f>
        <v>0</v>
      </c>
      <c r="AQ10" s="20">
        <f>SUM(L10:N10)</f>
        <v>0</v>
      </c>
      <c r="AR10" s="20">
        <f>SUM(O10:Q10)</f>
        <v>0</v>
      </c>
      <c r="AS10" s="20">
        <f>SUM(R10:T10)</f>
        <v>0</v>
      </c>
      <c r="AT10" s="20">
        <f>SUM(U10:W10)</f>
        <v>0</v>
      </c>
      <c r="AU10" s="20">
        <f>SUM(X10:Z10)</f>
        <v>0</v>
      </c>
      <c r="AV10" s="20">
        <f>SUM(AA10:AC10)</f>
        <v>0</v>
      </c>
      <c r="AW10" s="20">
        <f>SUM(AD10:AF10)</f>
        <v>0</v>
      </c>
      <c r="AX10" s="20">
        <f>SUM(AG10:AI10)</f>
        <v>0</v>
      </c>
      <c r="AY10" s="20">
        <f>SUM(AJ10:AL10)</f>
        <v>0</v>
      </c>
      <c r="BA10" s="20">
        <f>SUM(C10:N10)</f>
        <v>0</v>
      </c>
      <c r="BB10" s="20">
        <f>SUM(O10:Z10)</f>
        <v>0</v>
      </c>
      <c r="BC10" s="20">
        <f>SUM(AA10:AL10)</f>
        <v>0</v>
      </c>
    </row>
    <row r="11" spans="1:55">
      <c r="A11" s="18" t="s">
        <v>286</v>
      </c>
      <c r="B11" s="16"/>
      <c r="C11" s="20">
        <f>-'Working Capital'!C15</f>
        <v>0</v>
      </c>
      <c r="D11" s="20">
        <f>-'Working Capital'!D15</f>
        <v>0</v>
      </c>
      <c r="E11" s="20">
        <f>-'Working Capital'!E15</f>
        <v>0</v>
      </c>
      <c r="F11" s="20">
        <f>-'Working Capital'!F15</f>
        <v>0</v>
      </c>
      <c r="G11" s="20">
        <f>-'Working Capital'!G15</f>
        <v>0</v>
      </c>
      <c r="H11" s="20">
        <f>-'Working Capital'!H15</f>
        <v>0</v>
      </c>
      <c r="I11" s="20">
        <f>-'Working Capital'!I15</f>
        <v>0</v>
      </c>
      <c r="J11" s="20">
        <f>-'Working Capital'!J15</f>
        <v>0</v>
      </c>
      <c r="K11" s="20">
        <f>-'Working Capital'!K15</f>
        <v>0</v>
      </c>
      <c r="L11" s="20">
        <f>-'Working Capital'!L15</f>
        <v>0</v>
      </c>
      <c r="M11" s="20">
        <f>-'Working Capital'!M15</f>
        <v>0</v>
      </c>
      <c r="N11" s="20">
        <f>-'Working Capital'!N15</f>
        <v>0</v>
      </c>
      <c r="O11" s="20">
        <f>-'Working Capital'!O15</f>
        <v>0</v>
      </c>
      <c r="P11" s="20">
        <f>-'Working Capital'!P15</f>
        <v>0</v>
      </c>
      <c r="Q11" s="20">
        <f>-'Working Capital'!Q15</f>
        <v>0</v>
      </c>
      <c r="R11" s="20">
        <f>-'Working Capital'!R15</f>
        <v>0</v>
      </c>
      <c r="S11" s="20">
        <f>-'Working Capital'!S15</f>
        <v>0</v>
      </c>
      <c r="T11" s="20">
        <f>-'Working Capital'!T15</f>
        <v>0</v>
      </c>
      <c r="U11" s="20">
        <f>-'Working Capital'!U15</f>
        <v>0</v>
      </c>
      <c r="V11" s="20">
        <f>-'Working Capital'!V15</f>
        <v>0</v>
      </c>
      <c r="W11" s="20">
        <f>-'Working Capital'!W15</f>
        <v>0</v>
      </c>
      <c r="X11" s="20">
        <f>-'Working Capital'!X15</f>
        <v>0</v>
      </c>
      <c r="Y11" s="20">
        <f>-'Working Capital'!Y15</f>
        <v>0</v>
      </c>
      <c r="Z11" s="20">
        <f>-'Working Capital'!Z15</f>
        <v>0</v>
      </c>
      <c r="AA11" s="20">
        <f>-'Working Capital'!AA15</f>
        <v>0</v>
      </c>
      <c r="AB11" s="20">
        <f>-'Working Capital'!AB15</f>
        <v>0</v>
      </c>
      <c r="AC11" s="20">
        <f>-'Working Capital'!AC15</f>
        <v>0</v>
      </c>
      <c r="AD11" s="20">
        <f>-'Working Capital'!AD15</f>
        <v>0</v>
      </c>
      <c r="AE11" s="20">
        <f>-'Working Capital'!AE15</f>
        <v>0</v>
      </c>
      <c r="AF11" s="20">
        <f>-'Working Capital'!AF15</f>
        <v>0</v>
      </c>
      <c r="AG11" s="20">
        <f>-'Working Capital'!AG15</f>
        <v>0</v>
      </c>
      <c r="AH11" s="20">
        <f>-'Working Capital'!AH15</f>
        <v>0</v>
      </c>
      <c r="AI11" s="20">
        <f>-'Working Capital'!AI15</f>
        <v>0</v>
      </c>
      <c r="AJ11" s="20">
        <f>-'Working Capital'!AJ15</f>
        <v>0</v>
      </c>
      <c r="AK11" s="20">
        <f>-'Working Capital'!AK15</f>
        <v>0</v>
      </c>
      <c r="AL11" s="20">
        <f>-'Working Capital'!AL15</f>
        <v>0</v>
      </c>
      <c r="AN11" s="20">
        <f>SUM(C11:E11)</f>
        <v>0</v>
      </c>
      <c r="AO11" s="20">
        <f>SUM(F11:H11)</f>
        <v>0</v>
      </c>
      <c r="AP11" s="20">
        <f>SUM(I11:K11)</f>
        <v>0</v>
      </c>
      <c r="AQ11" s="20">
        <f>SUM(L11:N11)</f>
        <v>0</v>
      </c>
      <c r="AR11" s="20">
        <f>SUM(O11:Q11)</f>
        <v>0</v>
      </c>
      <c r="AS11" s="20">
        <f>SUM(R11:T11)</f>
        <v>0</v>
      </c>
      <c r="AT11" s="20">
        <f>SUM(U11:W11)</f>
        <v>0</v>
      </c>
      <c r="AU11" s="20">
        <f>SUM(X11:Z11)</f>
        <v>0</v>
      </c>
      <c r="AV11" s="20">
        <f>SUM(AA11:AC11)</f>
        <v>0</v>
      </c>
      <c r="AW11" s="20">
        <f>SUM(AD11:AF11)</f>
        <v>0</v>
      </c>
      <c r="AX11" s="20">
        <f>SUM(AG11:AI11)</f>
        <v>0</v>
      </c>
      <c r="AY11" s="20">
        <f>SUM(AJ11:AL11)</f>
        <v>0</v>
      </c>
      <c r="BA11" s="20">
        <f>SUM(C11:N11)</f>
        <v>0</v>
      </c>
      <c r="BB11" s="20">
        <f>SUM(O11:Z11)</f>
        <v>0</v>
      </c>
      <c r="BC11" s="20">
        <f>SUM(AA11:AL11)</f>
        <v>0</v>
      </c>
    </row>
    <row r="12" spans="1:55">
      <c r="A12" s="18" t="s">
        <v>287</v>
      </c>
      <c r="B12" s="16"/>
      <c r="C12" s="20">
        <f>'Working Capital'!C13</f>
        <v>0</v>
      </c>
      <c r="D12" s="20">
        <f>'Working Capital'!D13</f>
        <v>0</v>
      </c>
      <c r="E12" s="20">
        <f>'Working Capital'!E13</f>
        <v>0</v>
      </c>
      <c r="F12" s="20">
        <f>'Working Capital'!F13</f>
        <v>0</v>
      </c>
      <c r="G12" s="20">
        <f>'Working Capital'!G13</f>
        <v>0</v>
      </c>
      <c r="H12" s="20">
        <f>'Working Capital'!H13</f>
        <v>0</v>
      </c>
      <c r="I12" s="20">
        <f>'Working Capital'!I13</f>
        <v>0</v>
      </c>
      <c r="J12" s="20">
        <f>'Working Capital'!J13</f>
        <v>0</v>
      </c>
      <c r="K12" s="20">
        <f>'Working Capital'!K13</f>
        <v>0</v>
      </c>
      <c r="L12" s="20">
        <f>'Working Capital'!L13</f>
        <v>0</v>
      </c>
      <c r="M12" s="20">
        <f>'Working Capital'!M13</f>
        <v>0</v>
      </c>
      <c r="N12" s="20">
        <f>'Working Capital'!N13</f>
        <v>0</v>
      </c>
      <c r="O12" s="20">
        <f>'Working Capital'!O13</f>
        <v>0</v>
      </c>
      <c r="P12" s="20">
        <f>'Working Capital'!P13</f>
        <v>0</v>
      </c>
      <c r="Q12" s="20">
        <f>'Working Capital'!Q13</f>
        <v>0</v>
      </c>
      <c r="R12" s="20">
        <f>'Working Capital'!R13</f>
        <v>0</v>
      </c>
      <c r="S12" s="20">
        <f>'Working Capital'!S13</f>
        <v>0</v>
      </c>
      <c r="T12" s="20">
        <f>'Working Capital'!T13</f>
        <v>0</v>
      </c>
      <c r="U12" s="20">
        <f>'Working Capital'!U13</f>
        <v>0</v>
      </c>
      <c r="V12" s="20">
        <f>'Working Capital'!V13</f>
        <v>0</v>
      </c>
      <c r="W12" s="20">
        <f>'Working Capital'!W13</f>
        <v>0</v>
      </c>
      <c r="X12" s="20">
        <f>'Working Capital'!X13</f>
        <v>0</v>
      </c>
      <c r="Y12" s="20">
        <f>'Working Capital'!Y13</f>
        <v>0</v>
      </c>
      <c r="Z12" s="20">
        <f>'Working Capital'!Z13</f>
        <v>0</v>
      </c>
      <c r="AA12" s="20">
        <f>'Working Capital'!AA13</f>
        <v>0</v>
      </c>
      <c r="AB12" s="20">
        <f>'Working Capital'!AB13</f>
        <v>0</v>
      </c>
      <c r="AC12" s="20">
        <f>'Working Capital'!AC13</f>
        <v>0</v>
      </c>
      <c r="AD12" s="20">
        <f>'Working Capital'!AD13</f>
        <v>0</v>
      </c>
      <c r="AE12" s="20">
        <f>'Working Capital'!AE13</f>
        <v>0</v>
      </c>
      <c r="AF12" s="20">
        <f>'Working Capital'!AF13</f>
        <v>0</v>
      </c>
      <c r="AG12" s="20">
        <f>'Working Capital'!AG13</f>
        <v>0</v>
      </c>
      <c r="AH12" s="20">
        <f>'Working Capital'!AH13</f>
        <v>0</v>
      </c>
      <c r="AI12" s="20">
        <f>'Working Capital'!AI13</f>
        <v>0</v>
      </c>
      <c r="AJ12" s="20">
        <f>'Working Capital'!AJ13</f>
        <v>0</v>
      </c>
      <c r="AK12" s="20">
        <f>'Working Capital'!AK13</f>
        <v>0</v>
      </c>
      <c r="AL12" s="20">
        <f>'Working Capital'!AL13</f>
        <v>0</v>
      </c>
      <c r="AN12" s="20">
        <f>SUM(C12:E12)</f>
        <v>0</v>
      </c>
      <c r="AO12" s="20">
        <f>SUM(F12:H12)</f>
        <v>0</v>
      </c>
      <c r="AP12" s="20">
        <f>SUM(I12:K12)</f>
        <v>0</v>
      </c>
      <c r="AQ12" s="20">
        <f>SUM(L12:N12)</f>
        <v>0</v>
      </c>
      <c r="AR12" s="20">
        <f>SUM(O12:Q12)</f>
        <v>0</v>
      </c>
      <c r="AS12" s="20">
        <f>SUM(R12:T12)</f>
        <v>0</v>
      </c>
      <c r="AT12" s="20">
        <f>SUM(U12:W12)</f>
        <v>0</v>
      </c>
      <c r="AU12" s="20">
        <f>SUM(X12:Z12)</f>
        <v>0</v>
      </c>
      <c r="AV12" s="20">
        <f>SUM(AA12:AC12)</f>
        <v>0</v>
      </c>
      <c r="AW12" s="20">
        <f>SUM(AD12:AF12)</f>
        <v>0</v>
      </c>
      <c r="AX12" s="20">
        <f>SUM(AG12:AI12)</f>
        <v>0</v>
      </c>
      <c r="AY12" s="20">
        <f>SUM(AJ12:AL12)</f>
        <v>0</v>
      </c>
      <c r="BA12" s="20">
        <f>SUM(C12:N12)</f>
        <v>0</v>
      </c>
      <c r="BB12" s="20">
        <f>SUM(O12:Z12)</f>
        <v>0</v>
      </c>
      <c r="BC12" s="20">
        <f>SUM(AA12:AL12)</f>
        <v>0</v>
      </c>
    </row>
    <row r="13" spans="1:55">
      <c r="A13" s="18" t="s">
        <v>288</v>
      </c>
      <c r="B13" s="16"/>
      <c r="C13" s="20">
        <f>'Working Capital'!C14</f>
        <v>0</v>
      </c>
      <c r="D13" s="20">
        <f>'Working Capital'!D14</f>
        <v>0</v>
      </c>
      <c r="E13" s="20">
        <f>'Working Capital'!E14</f>
        <v>0</v>
      </c>
      <c r="F13" s="20">
        <f>'Working Capital'!F14</f>
        <v>0</v>
      </c>
      <c r="G13" s="20">
        <f>'Working Capital'!G14</f>
        <v>0</v>
      </c>
      <c r="H13" s="20">
        <f>'Working Capital'!H14</f>
        <v>0</v>
      </c>
      <c r="I13" s="20">
        <f>'Working Capital'!I14</f>
        <v>0</v>
      </c>
      <c r="J13" s="20">
        <f>'Working Capital'!J14</f>
        <v>0</v>
      </c>
      <c r="K13" s="20">
        <f>'Working Capital'!K14</f>
        <v>0</v>
      </c>
      <c r="L13" s="20">
        <f>'Working Capital'!L14</f>
        <v>0</v>
      </c>
      <c r="M13" s="20">
        <f>'Working Capital'!M14</f>
        <v>0</v>
      </c>
      <c r="N13" s="20">
        <f>'Working Capital'!N14</f>
        <v>0</v>
      </c>
      <c r="O13" s="20">
        <f>'Working Capital'!O14</f>
        <v>0</v>
      </c>
      <c r="P13" s="20">
        <f>'Working Capital'!P14</f>
        <v>0</v>
      </c>
      <c r="Q13" s="20">
        <f>'Working Capital'!Q14</f>
        <v>0</v>
      </c>
      <c r="R13" s="20">
        <f>'Working Capital'!R14</f>
        <v>0</v>
      </c>
      <c r="S13" s="20">
        <f>'Working Capital'!S14</f>
        <v>0</v>
      </c>
      <c r="T13" s="20">
        <f>'Working Capital'!T14</f>
        <v>0</v>
      </c>
      <c r="U13" s="20">
        <f>'Working Capital'!U14</f>
        <v>0</v>
      </c>
      <c r="V13" s="20">
        <f>'Working Capital'!V14</f>
        <v>0</v>
      </c>
      <c r="W13" s="20">
        <f>'Working Capital'!W14</f>
        <v>0</v>
      </c>
      <c r="X13" s="20">
        <f>'Working Capital'!X14</f>
        <v>0</v>
      </c>
      <c r="Y13" s="20">
        <f>'Working Capital'!Y14</f>
        <v>0</v>
      </c>
      <c r="Z13" s="20">
        <f>'Working Capital'!Z14</f>
        <v>0</v>
      </c>
      <c r="AA13" s="20">
        <f>'Working Capital'!AA14</f>
        <v>0</v>
      </c>
      <c r="AB13" s="20">
        <f>'Working Capital'!AB14</f>
        <v>0</v>
      </c>
      <c r="AC13" s="20">
        <f>'Working Capital'!AC14</f>
        <v>0</v>
      </c>
      <c r="AD13" s="20">
        <f>'Working Capital'!AD14</f>
        <v>0</v>
      </c>
      <c r="AE13" s="20">
        <f>'Working Capital'!AE14</f>
        <v>0</v>
      </c>
      <c r="AF13" s="20">
        <f>'Working Capital'!AF14</f>
        <v>0</v>
      </c>
      <c r="AG13" s="20">
        <f>'Working Capital'!AG14</f>
        <v>0</v>
      </c>
      <c r="AH13" s="20">
        <f>'Working Capital'!AH14</f>
        <v>0</v>
      </c>
      <c r="AI13" s="20">
        <f>'Working Capital'!AI14</f>
        <v>0</v>
      </c>
      <c r="AJ13" s="20">
        <f>'Working Capital'!AJ14</f>
        <v>0</v>
      </c>
      <c r="AK13" s="20">
        <f>'Working Capital'!AK14</f>
        <v>0</v>
      </c>
      <c r="AL13" s="20">
        <f>'Working Capital'!AL14</f>
        <v>0</v>
      </c>
      <c r="AN13" s="20">
        <f>SUM(C13:E13)</f>
        <v>0</v>
      </c>
      <c r="AO13" s="20">
        <f>SUM(F13:H13)</f>
        <v>0</v>
      </c>
      <c r="AP13" s="20">
        <f>SUM(I13:K13)</f>
        <v>0</v>
      </c>
      <c r="AQ13" s="20">
        <f>SUM(L13:N13)</f>
        <v>0</v>
      </c>
      <c r="AR13" s="20">
        <f>SUM(O13:Q13)</f>
        <v>0</v>
      </c>
      <c r="AS13" s="20">
        <f>SUM(R13:T13)</f>
        <v>0</v>
      </c>
      <c r="AT13" s="20">
        <f>SUM(U13:W13)</f>
        <v>0</v>
      </c>
      <c r="AU13" s="20">
        <f>SUM(X13:Z13)</f>
        <v>0</v>
      </c>
      <c r="AV13" s="20">
        <f>SUM(AA13:AC13)</f>
        <v>0</v>
      </c>
      <c r="AW13" s="20">
        <f>SUM(AD13:AF13)</f>
        <v>0</v>
      </c>
      <c r="AX13" s="20">
        <f>SUM(AG13:AI13)</f>
        <v>0</v>
      </c>
      <c r="AY13" s="20">
        <f>SUM(AJ13:AL13)</f>
        <v>0</v>
      </c>
      <c r="BA13" s="20">
        <f>SUM(C13:N13)</f>
        <v>0</v>
      </c>
      <c r="BB13" s="20">
        <f>SUM(O13:Z13)</f>
        <v>0</v>
      </c>
      <c r="BC13" s="20">
        <f>SUM(AA13:AL13)</f>
        <v>0</v>
      </c>
    </row>
    <row r="14" spans="1:55">
      <c r="A14" s="28" t="s">
        <v>289</v>
      </c>
      <c r="B14" s="16"/>
      <c r="C14" s="29">
        <f>C8+C9+C10+C11+C12+C13</f>
        <v>0</v>
      </c>
      <c r="D14" s="29">
        <f>D8+D9+D10+D11+D12+D13</f>
        <v>0</v>
      </c>
      <c r="E14" s="29">
        <f>E8+E9+E10+E11+E12+E13</f>
        <v>0</v>
      </c>
      <c r="F14" s="29">
        <f>F8+F9+F10+F11+F12+F13</f>
        <v>0</v>
      </c>
      <c r="G14" s="29">
        <f>G8+G9+G10+G11+G12+G13</f>
        <v>0</v>
      </c>
      <c r="H14" s="29">
        <f>H8+H9+H10+H11+H12+H13</f>
        <v>0</v>
      </c>
      <c r="I14" s="29">
        <f>I8+I9+I10+I11+I12+I13</f>
        <v>0</v>
      </c>
      <c r="J14" s="29">
        <f>J8+J9+J10+J11+J12+J13</f>
        <v>0</v>
      </c>
      <c r="K14" s="29">
        <f>K8+K9+K10+K11+K12+K13</f>
        <v>0</v>
      </c>
      <c r="L14" s="29">
        <f>L8+L9+L10+L11+L12+L13</f>
        <v>0</v>
      </c>
      <c r="M14" s="29">
        <f>M8+M9+M10+M11+M12+M13</f>
        <v>0</v>
      </c>
      <c r="N14" s="29">
        <f>N8+N9+N10+N11+N12+N13</f>
        <v>0</v>
      </c>
      <c r="O14" s="29">
        <f>O8+O9+O10+O11+O12+O13</f>
        <v>0</v>
      </c>
      <c r="P14" s="29">
        <f>P8+P9+P10+P11+P12+P13</f>
        <v>0</v>
      </c>
      <c r="Q14" s="29">
        <f>Q8+Q9+Q10+Q11+Q12+Q13</f>
        <v>0</v>
      </c>
      <c r="R14" s="29">
        <f>R8+R9+R10+R11+R12+R13</f>
        <v>0</v>
      </c>
      <c r="S14" s="29">
        <f>S8+S9+S10+S11+S12+S13</f>
        <v>0</v>
      </c>
      <c r="T14" s="29">
        <f>T8+T9+T10+T11+T12+T13</f>
        <v>0</v>
      </c>
      <c r="U14" s="29">
        <f>U8+U9+U10+U11+U12+U13</f>
        <v>0</v>
      </c>
      <c r="V14" s="29">
        <f>V8+V9+V10+V11+V12+V13</f>
        <v>0</v>
      </c>
      <c r="W14" s="29">
        <f>W8+W9+W10+W11+W12+W13</f>
        <v>0</v>
      </c>
      <c r="X14" s="29">
        <f>X8+X9+X10+X11+X12+X13</f>
        <v>0</v>
      </c>
      <c r="Y14" s="29">
        <f>Y8+Y9+Y10+Y11+Y12+Y13</f>
        <v>0</v>
      </c>
      <c r="Z14" s="29">
        <f>Z8+Z9+Z10+Z11+Z12+Z13</f>
        <v>0</v>
      </c>
      <c r="AA14" s="29">
        <f>AA8+AA9+AA10+AA11+AA12+AA13</f>
        <v>0</v>
      </c>
      <c r="AB14" s="29">
        <f>AB8+AB9+AB10+AB11+AB12+AB13</f>
        <v>0</v>
      </c>
      <c r="AC14" s="29">
        <f>AC8+AC9+AC10+AC11+AC12+AC13</f>
        <v>0</v>
      </c>
      <c r="AD14" s="29">
        <f>AD8+AD9+AD10+AD11+AD12+AD13</f>
        <v>0</v>
      </c>
      <c r="AE14" s="29">
        <f>AE8+AE9+AE10+AE11+AE12+AE13</f>
        <v>0</v>
      </c>
      <c r="AF14" s="29">
        <f>AF8+AF9+AF10+AF11+AF12+AF13</f>
        <v>0</v>
      </c>
      <c r="AG14" s="29">
        <f>AG8+AG9+AG10+AG11+AG12+AG13</f>
        <v>0</v>
      </c>
      <c r="AH14" s="29">
        <f>AH8+AH9+AH10+AH11+AH12+AH13</f>
        <v>0</v>
      </c>
      <c r="AI14" s="29">
        <f>AI8+AI9+AI10+AI11+AI12+AI13</f>
        <v>0</v>
      </c>
      <c r="AJ14" s="29">
        <f>AJ8+AJ9+AJ10+AJ11+AJ12+AJ13</f>
        <v>0</v>
      </c>
      <c r="AK14" s="29">
        <f>AK8+AK9+AK10+AK11+AK12+AK13</f>
        <v>0</v>
      </c>
      <c r="AL14" s="29">
        <f>AL8+AL9+AL10+AL11+AL12+AL13</f>
        <v>0</v>
      </c>
      <c r="AN14" s="29">
        <f>SUM(C14:E14)</f>
        <v>0</v>
      </c>
      <c r="AO14" s="29">
        <f>SUM(F14:H14)</f>
        <v>0</v>
      </c>
      <c r="AP14" s="29">
        <f>SUM(I14:K14)</f>
        <v>0</v>
      </c>
      <c r="AQ14" s="29">
        <f>SUM(L14:N14)</f>
        <v>0</v>
      </c>
      <c r="AR14" s="29">
        <f>SUM(O14:Q14)</f>
        <v>0</v>
      </c>
      <c r="AS14" s="29">
        <f>SUM(R14:T14)</f>
        <v>0</v>
      </c>
      <c r="AT14" s="29">
        <f>SUM(U14:W14)</f>
        <v>0</v>
      </c>
      <c r="AU14" s="29">
        <f>SUM(X14:Z14)</f>
        <v>0</v>
      </c>
      <c r="AV14" s="29">
        <f>SUM(AA14:AC14)</f>
        <v>0</v>
      </c>
      <c r="AW14" s="29">
        <f>SUM(AD14:AF14)</f>
        <v>0</v>
      </c>
      <c r="AX14" s="29">
        <f>SUM(AG14:AI14)</f>
        <v>0</v>
      </c>
      <c r="AY14" s="29">
        <f>SUM(AJ14:AL14)</f>
        <v>0</v>
      </c>
      <c r="BA14" s="29">
        <f>SUM(C14:N14)</f>
        <v>0</v>
      </c>
      <c r="BB14" s="29">
        <f>SUM(O14:Z14)</f>
        <v>0</v>
      </c>
      <c r="BC14" s="29">
        <f>SUM(AA14:AL14)</f>
        <v>0</v>
      </c>
    </row>
    <row r="15" spans="1:55" ht="5" customHeight="1"/>
    <row r="16" spans="1:55" ht="16" customHeight="1">
      <c r="A16" s="14" t="s">
        <v>290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</row>
    <row r="17" spans="1:55">
      <c r="A17" s="18" t="s">
        <v>291</v>
      </c>
      <c r="B17" s="16"/>
      <c r="C17" s="20">
        <f>-'Working Capital'!C18</f>
        <v>0</v>
      </c>
      <c r="D17" s="20">
        <f>-'Working Capital'!D18</f>
        <v>0</v>
      </c>
      <c r="E17" s="20">
        <f>-'Working Capital'!E18</f>
        <v>0</v>
      </c>
      <c r="F17" s="20">
        <f>-'Working Capital'!F18</f>
        <v>0</v>
      </c>
      <c r="G17" s="20">
        <f>-'Working Capital'!G18</f>
        <v>0</v>
      </c>
      <c r="H17" s="20">
        <f>-'Working Capital'!H18</f>
        <v>0</v>
      </c>
      <c r="I17" s="20">
        <f>-'Working Capital'!I18</f>
        <v>0</v>
      </c>
      <c r="J17" s="20">
        <f>-'Working Capital'!J18</f>
        <v>0</v>
      </c>
      <c r="K17" s="20">
        <f>-'Working Capital'!K18</f>
        <v>0</v>
      </c>
      <c r="L17" s="20">
        <f>-'Working Capital'!L18</f>
        <v>0</v>
      </c>
      <c r="M17" s="20">
        <f>-'Working Capital'!M18</f>
        <v>0</v>
      </c>
      <c r="N17" s="20">
        <f>-'Working Capital'!N18</f>
        <v>0</v>
      </c>
      <c r="O17" s="20">
        <f>-'Working Capital'!O18</f>
        <v>0</v>
      </c>
      <c r="P17" s="20">
        <f>-'Working Capital'!P18</f>
        <v>0</v>
      </c>
      <c r="Q17" s="20">
        <f>-'Working Capital'!Q18</f>
        <v>0</v>
      </c>
      <c r="R17" s="20">
        <f>-'Working Capital'!R18</f>
        <v>0</v>
      </c>
      <c r="S17" s="20">
        <f>-'Working Capital'!S18</f>
        <v>0</v>
      </c>
      <c r="T17" s="20">
        <f>-'Working Capital'!T18</f>
        <v>0</v>
      </c>
      <c r="U17" s="20">
        <f>-'Working Capital'!U18</f>
        <v>0</v>
      </c>
      <c r="V17" s="20">
        <f>-'Working Capital'!V18</f>
        <v>0</v>
      </c>
      <c r="W17" s="20">
        <f>-'Working Capital'!W18</f>
        <v>0</v>
      </c>
      <c r="X17" s="20">
        <f>-'Working Capital'!X18</f>
        <v>0</v>
      </c>
      <c r="Y17" s="20">
        <f>-'Working Capital'!Y18</f>
        <v>0</v>
      </c>
      <c r="Z17" s="20">
        <f>-'Working Capital'!Z18</f>
        <v>0</v>
      </c>
      <c r="AA17" s="20">
        <f>-'Working Capital'!AA18</f>
        <v>0</v>
      </c>
      <c r="AB17" s="20">
        <f>-'Working Capital'!AB18</f>
        <v>0</v>
      </c>
      <c r="AC17" s="20">
        <f>-'Working Capital'!AC18</f>
        <v>0</v>
      </c>
      <c r="AD17" s="20">
        <f>-'Working Capital'!AD18</f>
        <v>0</v>
      </c>
      <c r="AE17" s="20">
        <f>-'Working Capital'!AE18</f>
        <v>0</v>
      </c>
      <c r="AF17" s="20">
        <f>-'Working Capital'!AF18</f>
        <v>0</v>
      </c>
      <c r="AG17" s="20">
        <f>-'Working Capital'!AG18</f>
        <v>0</v>
      </c>
      <c r="AH17" s="20">
        <f>-'Working Capital'!AH18</f>
        <v>0</v>
      </c>
      <c r="AI17" s="20">
        <f>-'Working Capital'!AI18</f>
        <v>0</v>
      </c>
      <c r="AJ17" s="20">
        <f>-'Working Capital'!AJ18</f>
        <v>0</v>
      </c>
      <c r="AK17" s="20">
        <f>-'Working Capital'!AK18</f>
        <v>0</v>
      </c>
      <c r="AL17" s="20">
        <f>-'Working Capital'!AL18</f>
        <v>0</v>
      </c>
      <c r="AN17" s="20">
        <f>SUM(C17:E17)</f>
        <v>0</v>
      </c>
      <c r="AO17" s="20">
        <f>SUM(F17:H17)</f>
        <v>0</v>
      </c>
      <c r="AP17" s="20">
        <f>SUM(I17:K17)</f>
        <v>0</v>
      </c>
      <c r="AQ17" s="20">
        <f>SUM(L17:N17)</f>
        <v>0</v>
      </c>
      <c r="AR17" s="20">
        <f>SUM(O17:Q17)</f>
        <v>0</v>
      </c>
      <c r="AS17" s="20">
        <f>SUM(R17:T17)</f>
        <v>0</v>
      </c>
      <c r="AT17" s="20">
        <f>SUM(U17:W17)</f>
        <v>0</v>
      </c>
      <c r="AU17" s="20">
        <f>SUM(X17:Z17)</f>
        <v>0</v>
      </c>
      <c r="AV17" s="20">
        <f>SUM(AA17:AC17)</f>
        <v>0</v>
      </c>
      <c r="AW17" s="20">
        <f>SUM(AD17:AF17)</f>
        <v>0</v>
      </c>
      <c r="AX17" s="20">
        <f>SUM(AG17:AI17)</f>
        <v>0</v>
      </c>
      <c r="AY17" s="20">
        <f>SUM(AJ17:AL17)</f>
        <v>0</v>
      </c>
      <c r="BA17" s="20">
        <f>SUM(C17:N17)</f>
        <v>0</v>
      </c>
      <c r="BB17" s="20">
        <f>SUM(O17:Z17)</f>
        <v>0</v>
      </c>
      <c r="BC17" s="20">
        <f>SUM(AA17:AL17)</f>
        <v>0</v>
      </c>
    </row>
    <row r="18" spans="1:55">
      <c r="A18" s="28" t="s">
        <v>292</v>
      </c>
      <c r="B18" s="16"/>
      <c r="C18" s="29">
        <f>C17</f>
        <v>0</v>
      </c>
      <c r="D18" s="29">
        <f>D17</f>
        <v>0</v>
      </c>
      <c r="E18" s="29">
        <f>E17</f>
        <v>0</v>
      </c>
      <c r="F18" s="29">
        <f>F17</f>
        <v>0</v>
      </c>
      <c r="G18" s="29">
        <f>G17</f>
        <v>0</v>
      </c>
      <c r="H18" s="29">
        <f>H17</f>
        <v>0</v>
      </c>
      <c r="I18" s="29">
        <f>I17</f>
        <v>0</v>
      </c>
      <c r="J18" s="29">
        <f>J17</f>
        <v>0</v>
      </c>
      <c r="K18" s="29">
        <f>K17</f>
        <v>0</v>
      </c>
      <c r="L18" s="29">
        <f>L17</f>
        <v>0</v>
      </c>
      <c r="M18" s="29">
        <f>M17</f>
        <v>0</v>
      </c>
      <c r="N18" s="29">
        <f>N17</f>
        <v>0</v>
      </c>
      <c r="O18" s="29">
        <f>O17</f>
        <v>0</v>
      </c>
      <c r="P18" s="29">
        <f>P17</f>
        <v>0</v>
      </c>
      <c r="Q18" s="29">
        <f>Q17</f>
        <v>0</v>
      </c>
      <c r="R18" s="29">
        <f>R17</f>
        <v>0</v>
      </c>
      <c r="S18" s="29">
        <f>S17</f>
        <v>0</v>
      </c>
      <c r="T18" s="29">
        <f>T17</f>
        <v>0</v>
      </c>
      <c r="U18" s="29">
        <f>U17</f>
        <v>0</v>
      </c>
      <c r="V18" s="29">
        <f>V17</f>
        <v>0</v>
      </c>
      <c r="W18" s="29">
        <f>W17</f>
        <v>0</v>
      </c>
      <c r="X18" s="29">
        <f>X17</f>
        <v>0</v>
      </c>
      <c r="Y18" s="29">
        <f>Y17</f>
        <v>0</v>
      </c>
      <c r="Z18" s="29">
        <f>Z17</f>
        <v>0</v>
      </c>
      <c r="AA18" s="29">
        <f>AA17</f>
        <v>0</v>
      </c>
      <c r="AB18" s="29">
        <f>AB17</f>
        <v>0</v>
      </c>
      <c r="AC18" s="29">
        <f>AC17</f>
        <v>0</v>
      </c>
      <c r="AD18" s="29">
        <f>AD17</f>
        <v>0</v>
      </c>
      <c r="AE18" s="29">
        <f>AE17</f>
        <v>0</v>
      </c>
      <c r="AF18" s="29">
        <f>AF17</f>
        <v>0</v>
      </c>
      <c r="AG18" s="29">
        <f>AG17</f>
        <v>0</v>
      </c>
      <c r="AH18" s="29">
        <f>AH17</f>
        <v>0</v>
      </c>
      <c r="AI18" s="29">
        <f>AI17</f>
        <v>0</v>
      </c>
      <c r="AJ18" s="29">
        <f>AJ17</f>
        <v>0</v>
      </c>
      <c r="AK18" s="29">
        <f>AK17</f>
        <v>0</v>
      </c>
      <c r="AL18" s="29">
        <f>AL17</f>
        <v>0</v>
      </c>
      <c r="AN18" s="29">
        <f>SUM(C18:E18)</f>
        <v>0</v>
      </c>
      <c r="AO18" s="29">
        <f>SUM(F18:H18)</f>
        <v>0</v>
      </c>
      <c r="AP18" s="29">
        <f>SUM(I18:K18)</f>
        <v>0</v>
      </c>
      <c r="AQ18" s="29">
        <f>SUM(L18:N18)</f>
        <v>0</v>
      </c>
      <c r="AR18" s="29">
        <f>SUM(O18:Q18)</f>
        <v>0</v>
      </c>
      <c r="AS18" s="29">
        <f>SUM(R18:T18)</f>
        <v>0</v>
      </c>
      <c r="AT18" s="29">
        <f>SUM(U18:W18)</f>
        <v>0</v>
      </c>
      <c r="AU18" s="29">
        <f>SUM(X18:Z18)</f>
        <v>0</v>
      </c>
      <c r="AV18" s="29">
        <f>SUM(AA18:AC18)</f>
        <v>0</v>
      </c>
      <c r="AW18" s="29">
        <f>SUM(AD18:AF18)</f>
        <v>0</v>
      </c>
      <c r="AX18" s="29">
        <f>SUM(AG18:AI18)</f>
        <v>0</v>
      </c>
      <c r="AY18" s="29">
        <f>SUM(AJ18:AL18)</f>
        <v>0</v>
      </c>
      <c r="BA18" s="29">
        <f>SUM(C18:N18)</f>
        <v>0</v>
      </c>
      <c r="BB18" s="29">
        <f>SUM(O18:Z18)</f>
        <v>0</v>
      </c>
      <c r="BC18" s="29">
        <f>SUM(AA18:AL18)</f>
        <v>0</v>
      </c>
    </row>
    <row r="19" spans="1:55" ht="5" customHeight="1"/>
    <row r="20" spans="1:55" ht="16" customHeight="1">
      <c r="A20" s="14" t="s">
        <v>293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</row>
    <row r="21" spans="1:55">
      <c r="A21" s="18" t="s">
        <v>294</v>
      </c>
      <c r="B21" s="16"/>
      <c r="C21" s="20">
        <f>'Working Capital'!C23</f>
        <v>0</v>
      </c>
      <c r="D21" s="20">
        <f>'Working Capital'!D23</f>
        <v>0</v>
      </c>
      <c r="E21" s="20">
        <f>'Working Capital'!E23</f>
        <v>0</v>
      </c>
      <c r="F21" s="20">
        <f>'Working Capital'!F23</f>
        <v>0</v>
      </c>
      <c r="G21" s="20">
        <f>'Working Capital'!G23</f>
        <v>0</v>
      </c>
      <c r="H21" s="20">
        <f>'Working Capital'!H23</f>
        <v>0</v>
      </c>
      <c r="I21" s="20">
        <f>'Working Capital'!I23</f>
        <v>0</v>
      </c>
      <c r="J21" s="20">
        <f>'Working Capital'!J23</f>
        <v>0</v>
      </c>
      <c r="K21" s="20">
        <f>'Working Capital'!K23</f>
        <v>0</v>
      </c>
      <c r="L21" s="20">
        <f>'Working Capital'!L23</f>
        <v>0</v>
      </c>
      <c r="M21" s="20">
        <f>'Working Capital'!M23</f>
        <v>0</v>
      </c>
      <c r="N21" s="20">
        <f>'Working Capital'!N23</f>
        <v>0</v>
      </c>
      <c r="O21" s="20">
        <f>'Working Capital'!O23</f>
        <v>0</v>
      </c>
      <c r="P21" s="20">
        <f>'Working Capital'!P23</f>
        <v>0</v>
      </c>
      <c r="Q21" s="20">
        <f>'Working Capital'!Q23</f>
        <v>0</v>
      </c>
      <c r="R21" s="20">
        <f>'Working Capital'!R23</f>
        <v>0</v>
      </c>
      <c r="S21" s="20">
        <f>'Working Capital'!S23</f>
        <v>0</v>
      </c>
      <c r="T21" s="20">
        <f>'Working Capital'!T23</f>
        <v>0</v>
      </c>
      <c r="U21" s="20">
        <f>'Working Capital'!U23</f>
        <v>0</v>
      </c>
      <c r="V21" s="20">
        <f>'Working Capital'!V23</f>
        <v>0</v>
      </c>
      <c r="W21" s="20">
        <f>'Working Capital'!W23</f>
        <v>0</v>
      </c>
      <c r="X21" s="20">
        <f>'Working Capital'!X23</f>
        <v>0</v>
      </c>
      <c r="Y21" s="20">
        <f>'Working Capital'!Y23</f>
        <v>0</v>
      </c>
      <c r="Z21" s="20">
        <f>'Working Capital'!Z23</f>
        <v>0</v>
      </c>
      <c r="AA21" s="20">
        <f>'Working Capital'!AA23</f>
        <v>0</v>
      </c>
      <c r="AB21" s="20">
        <f>'Working Capital'!AB23</f>
        <v>0</v>
      </c>
      <c r="AC21" s="20">
        <f>'Working Capital'!AC23</f>
        <v>0</v>
      </c>
      <c r="AD21" s="20">
        <f>'Working Capital'!AD23</f>
        <v>0</v>
      </c>
      <c r="AE21" s="20">
        <f>'Working Capital'!AE23</f>
        <v>0</v>
      </c>
      <c r="AF21" s="20">
        <f>'Working Capital'!AF23</f>
        <v>0</v>
      </c>
      <c r="AG21" s="20">
        <f>'Working Capital'!AG23</f>
        <v>0</v>
      </c>
      <c r="AH21" s="20">
        <f>'Working Capital'!AH23</f>
        <v>0</v>
      </c>
      <c r="AI21" s="20">
        <f>'Working Capital'!AI23</f>
        <v>0</v>
      </c>
      <c r="AJ21" s="20">
        <f>'Working Capital'!AJ23</f>
        <v>0</v>
      </c>
      <c r="AK21" s="20">
        <f>'Working Capital'!AK23</f>
        <v>0</v>
      </c>
      <c r="AL21" s="20">
        <f>'Working Capital'!AL23</f>
        <v>0</v>
      </c>
      <c r="AN21" s="20">
        <f>SUM(C21:E21)</f>
        <v>0</v>
      </c>
      <c r="AO21" s="20">
        <f>SUM(F21:H21)</f>
        <v>0</v>
      </c>
      <c r="AP21" s="20">
        <f>SUM(I21:K21)</f>
        <v>0</v>
      </c>
      <c r="AQ21" s="20">
        <f>SUM(L21:N21)</f>
        <v>0</v>
      </c>
      <c r="AR21" s="20">
        <f>SUM(O21:Q21)</f>
        <v>0</v>
      </c>
      <c r="AS21" s="20">
        <f>SUM(R21:T21)</f>
        <v>0</v>
      </c>
      <c r="AT21" s="20">
        <f>SUM(U21:W21)</f>
        <v>0</v>
      </c>
      <c r="AU21" s="20">
        <f>SUM(X21:Z21)</f>
        <v>0</v>
      </c>
      <c r="AV21" s="20">
        <f>SUM(AA21:AC21)</f>
        <v>0</v>
      </c>
      <c r="AW21" s="20">
        <f>SUM(AD21:AF21)</f>
        <v>0</v>
      </c>
      <c r="AX21" s="20">
        <f>SUM(AG21:AI21)</f>
        <v>0</v>
      </c>
      <c r="AY21" s="20">
        <f>SUM(AJ21:AL21)</f>
        <v>0</v>
      </c>
      <c r="BA21" s="20">
        <f>SUM(C21:N21)</f>
        <v>0</v>
      </c>
      <c r="BB21" s="20">
        <f>SUM(O21:Z21)</f>
        <v>0</v>
      </c>
      <c r="BC21" s="20">
        <f>SUM(AA21:AL21)</f>
        <v>0</v>
      </c>
    </row>
    <row r="22" spans="1:55">
      <c r="A22" s="18" t="s">
        <v>295</v>
      </c>
      <c r="B22" s="16"/>
      <c r="C22" s="20">
        <f>-'Working Capital'!C24</f>
        <v>0</v>
      </c>
      <c r="D22" s="20">
        <f>-'Working Capital'!D24</f>
        <v>0</v>
      </c>
      <c r="E22" s="20">
        <f>-'Working Capital'!E24</f>
        <v>0</v>
      </c>
      <c r="F22" s="20">
        <f>-'Working Capital'!F24</f>
        <v>0</v>
      </c>
      <c r="G22" s="20">
        <f>-'Working Capital'!G24</f>
        <v>0</v>
      </c>
      <c r="H22" s="20">
        <f>-'Working Capital'!H24</f>
        <v>0</v>
      </c>
      <c r="I22" s="20">
        <f>-'Working Capital'!I24</f>
        <v>0</v>
      </c>
      <c r="J22" s="20">
        <f>-'Working Capital'!J24</f>
        <v>0</v>
      </c>
      <c r="K22" s="20">
        <f>-'Working Capital'!K24</f>
        <v>0</v>
      </c>
      <c r="L22" s="20">
        <f>-'Working Capital'!L24</f>
        <v>0</v>
      </c>
      <c r="M22" s="20">
        <f>-'Working Capital'!M24</f>
        <v>0</v>
      </c>
      <c r="N22" s="20">
        <f>-'Working Capital'!N24</f>
        <v>0</v>
      </c>
      <c r="O22" s="20">
        <f>-'Working Capital'!O24</f>
        <v>0</v>
      </c>
      <c r="P22" s="20">
        <f>-'Working Capital'!P24</f>
        <v>0</v>
      </c>
      <c r="Q22" s="20">
        <f>-'Working Capital'!Q24</f>
        <v>0</v>
      </c>
      <c r="R22" s="20">
        <f>-'Working Capital'!R24</f>
        <v>0</v>
      </c>
      <c r="S22" s="20">
        <f>-'Working Capital'!S24</f>
        <v>0</v>
      </c>
      <c r="T22" s="20">
        <f>-'Working Capital'!T24</f>
        <v>0</v>
      </c>
      <c r="U22" s="20">
        <f>-'Working Capital'!U24</f>
        <v>0</v>
      </c>
      <c r="V22" s="20">
        <f>-'Working Capital'!V24</f>
        <v>0</v>
      </c>
      <c r="W22" s="20">
        <f>-'Working Capital'!W24</f>
        <v>0</v>
      </c>
      <c r="X22" s="20">
        <f>-'Working Capital'!X24</f>
        <v>0</v>
      </c>
      <c r="Y22" s="20">
        <f>-'Working Capital'!Y24</f>
        <v>0</v>
      </c>
      <c r="Z22" s="20">
        <f>-'Working Capital'!Z24</f>
        <v>0</v>
      </c>
      <c r="AA22" s="20">
        <f>-'Working Capital'!AA24</f>
        <v>0</v>
      </c>
      <c r="AB22" s="20">
        <f>-'Working Capital'!AB24</f>
        <v>0</v>
      </c>
      <c r="AC22" s="20">
        <f>-'Working Capital'!AC24</f>
        <v>0</v>
      </c>
      <c r="AD22" s="20">
        <f>-'Working Capital'!AD24</f>
        <v>0</v>
      </c>
      <c r="AE22" s="20">
        <f>-'Working Capital'!AE24</f>
        <v>0</v>
      </c>
      <c r="AF22" s="20">
        <f>-'Working Capital'!AF24</f>
        <v>0</v>
      </c>
      <c r="AG22" s="20">
        <f>-'Working Capital'!AG24</f>
        <v>0</v>
      </c>
      <c r="AH22" s="20">
        <f>-'Working Capital'!AH24</f>
        <v>0</v>
      </c>
      <c r="AI22" s="20">
        <f>-'Working Capital'!AI24</f>
        <v>0</v>
      </c>
      <c r="AJ22" s="20">
        <f>-'Working Capital'!AJ24</f>
        <v>0</v>
      </c>
      <c r="AK22" s="20">
        <f>-'Working Capital'!AK24</f>
        <v>0</v>
      </c>
      <c r="AL22" s="20">
        <f>-'Working Capital'!AL24</f>
        <v>0</v>
      </c>
      <c r="AN22" s="20">
        <f>SUM(C22:E22)</f>
        <v>0</v>
      </c>
      <c r="AO22" s="20">
        <f>SUM(F22:H22)</f>
        <v>0</v>
      </c>
      <c r="AP22" s="20">
        <f>SUM(I22:K22)</f>
        <v>0</v>
      </c>
      <c r="AQ22" s="20">
        <f>SUM(L22:N22)</f>
        <v>0</v>
      </c>
      <c r="AR22" s="20">
        <f>SUM(O22:Q22)</f>
        <v>0</v>
      </c>
      <c r="AS22" s="20">
        <f>SUM(R22:T22)</f>
        <v>0</v>
      </c>
      <c r="AT22" s="20">
        <f>SUM(U22:W22)</f>
        <v>0</v>
      </c>
      <c r="AU22" s="20">
        <f>SUM(X22:Z22)</f>
        <v>0</v>
      </c>
      <c r="AV22" s="20">
        <f>SUM(AA22:AC22)</f>
        <v>0</v>
      </c>
      <c r="AW22" s="20">
        <f>SUM(AD22:AF22)</f>
        <v>0</v>
      </c>
      <c r="AX22" s="20">
        <f>SUM(AG22:AI22)</f>
        <v>0</v>
      </c>
      <c r="AY22" s="20">
        <f>SUM(AJ22:AL22)</f>
        <v>0</v>
      </c>
      <c r="BA22" s="20">
        <f>SUM(C22:N22)</f>
        <v>0</v>
      </c>
      <c r="BB22" s="20">
        <f>SUM(O22:Z22)</f>
        <v>0</v>
      </c>
      <c r="BC22" s="20">
        <f>SUM(AA22:AL22)</f>
        <v>0</v>
      </c>
    </row>
    <row r="23" spans="1:55">
      <c r="A23" s="18" t="s">
        <v>296</v>
      </c>
      <c r="B23" s="16"/>
      <c r="C23" s="20">
        <f>'Working Capital'!C29</f>
        <v>0</v>
      </c>
      <c r="D23" s="20">
        <f>'Working Capital'!D29</f>
        <v>0</v>
      </c>
      <c r="E23" s="20">
        <f>'Working Capital'!E29</f>
        <v>0</v>
      </c>
      <c r="F23" s="20">
        <f>'Working Capital'!F29</f>
        <v>0</v>
      </c>
      <c r="G23" s="20">
        <f>'Working Capital'!G29</f>
        <v>0</v>
      </c>
      <c r="H23" s="20">
        <f>'Working Capital'!H29</f>
        <v>0</v>
      </c>
      <c r="I23" s="20">
        <f>'Working Capital'!I29</f>
        <v>0</v>
      </c>
      <c r="J23" s="20">
        <f>'Working Capital'!J29</f>
        <v>0</v>
      </c>
      <c r="K23" s="20">
        <f>'Working Capital'!K29</f>
        <v>0</v>
      </c>
      <c r="L23" s="20">
        <f>'Working Capital'!L29</f>
        <v>0</v>
      </c>
      <c r="M23" s="20">
        <f>'Working Capital'!M29</f>
        <v>0</v>
      </c>
      <c r="N23" s="20">
        <f>'Working Capital'!N29</f>
        <v>0</v>
      </c>
      <c r="O23" s="20">
        <f>'Working Capital'!O29</f>
        <v>0</v>
      </c>
      <c r="P23" s="20">
        <f>'Working Capital'!P29</f>
        <v>0</v>
      </c>
      <c r="Q23" s="20">
        <f>'Working Capital'!Q29</f>
        <v>0</v>
      </c>
      <c r="R23" s="20">
        <f>'Working Capital'!R29</f>
        <v>0</v>
      </c>
      <c r="S23" s="20">
        <f>'Working Capital'!S29</f>
        <v>0</v>
      </c>
      <c r="T23" s="20">
        <f>'Working Capital'!T29</f>
        <v>0</v>
      </c>
      <c r="U23" s="20">
        <f>'Working Capital'!U29</f>
        <v>0</v>
      </c>
      <c r="V23" s="20">
        <f>'Working Capital'!V29</f>
        <v>0</v>
      </c>
      <c r="W23" s="20">
        <f>'Working Capital'!W29</f>
        <v>0</v>
      </c>
      <c r="X23" s="20">
        <f>'Working Capital'!X29</f>
        <v>0</v>
      </c>
      <c r="Y23" s="20">
        <f>'Working Capital'!Y29</f>
        <v>0</v>
      </c>
      <c r="Z23" s="20">
        <f>'Working Capital'!Z29</f>
        <v>0</v>
      </c>
      <c r="AA23" s="20">
        <f>'Working Capital'!AA29</f>
        <v>0</v>
      </c>
      <c r="AB23" s="20">
        <f>'Working Capital'!AB29</f>
        <v>0</v>
      </c>
      <c r="AC23" s="20">
        <f>'Working Capital'!AC29</f>
        <v>0</v>
      </c>
      <c r="AD23" s="20">
        <f>'Working Capital'!AD29</f>
        <v>0</v>
      </c>
      <c r="AE23" s="20">
        <f>'Working Capital'!AE29</f>
        <v>0</v>
      </c>
      <c r="AF23" s="20">
        <f>'Working Capital'!AF29</f>
        <v>0</v>
      </c>
      <c r="AG23" s="20">
        <f>'Working Capital'!AG29</f>
        <v>0</v>
      </c>
      <c r="AH23" s="20">
        <f>'Working Capital'!AH29</f>
        <v>0</v>
      </c>
      <c r="AI23" s="20">
        <f>'Working Capital'!AI29</f>
        <v>0</v>
      </c>
      <c r="AJ23" s="20">
        <f>'Working Capital'!AJ29</f>
        <v>0</v>
      </c>
      <c r="AK23" s="20">
        <f>'Working Capital'!AK29</f>
        <v>0</v>
      </c>
      <c r="AL23" s="20">
        <f>'Working Capital'!AL29</f>
        <v>0</v>
      </c>
      <c r="AN23" s="20">
        <f>SUM(C23:E23)</f>
        <v>0</v>
      </c>
      <c r="AO23" s="20">
        <f>SUM(F23:H23)</f>
        <v>0</v>
      </c>
      <c r="AP23" s="20">
        <f>SUM(I23:K23)</f>
        <v>0</v>
      </c>
      <c r="AQ23" s="20">
        <f>SUM(L23:N23)</f>
        <v>0</v>
      </c>
      <c r="AR23" s="20">
        <f>SUM(O23:Q23)</f>
        <v>0</v>
      </c>
      <c r="AS23" s="20">
        <f>SUM(R23:T23)</f>
        <v>0</v>
      </c>
      <c r="AT23" s="20">
        <f>SUM(U23:W23)</f>
        <v>0</v>
      </c>
      <c r="AU23" s="20">
        <f>SUM(X23:Z23)</f>
        <v>0</v>
      </c>
      <c r="AV23" s="20">
        <f>SUM(AA23:AC23)</f>
        <v>0</v>
      </c>
      <c r="AW23" s="20">
        <f>SUM(AD23:AF23)</f>
        <v>0</v>
      </c>
      <c r="AX23" s="20">
        <f>SUM(AG23:AI23)</f>
        <v>0</v>
      </c>
      <c r="AY23" s="20">
        <f>SUM(AJ23:AL23)</f>
        <v>0</v>
      </c>
      <c r="BA23" s="20">
        <f>SUM(C23:N23)</f>
        <v>0</v>
      </c>
      <c r="BB23" s="20">
        <f>SUM(O23:Z23)</f>
        <v>0</v>
      </c>
      <c r="BC23" s="20">
        <f>SUM(AA23:AL23)</f>
        <v>0</v>
      </c>
    </row>
    <row r="24" spans="1:55">
      <c r="A24" s="28" t="s">
        <v>297</v>
      </c>
      <c r="B24" s="16"/>
      <c r="C24" s="29">
        <f>C21+C22+C23</f>
        <v>0</v>
      </c>
      <c r="D24" s="29">
        <f>D21+D22+D23</f>
        <v>0</v>
      </c>
      <c r="E24" s="29">
        <f>E21+E22+E23</f>
        <v>0</v>
      </c>
      <c r="F24" s="29">
        <f>F21+F22+F23</f>
        <v>0</v>
      </c>
      <c r="G24" s="29">
        <f>G21+G22+G23</f>
        <v>0</v>
      </c>
      <c r="H24" s="29">
        <f>H21+H22+H23</f>
        <v>0</v>
      </c>
      <c r="I24" s="29">
        <f>I21+I22+I23</f>
        <v>0</v>
      </c>
      <c r="J24" s="29">
        <f>J21+J22+J23</f>
        <v>0</v>
      </c>
      <c r="K24" s="29">
        <f>K21+K22+K23</f>
        <v>0</v>
      </c>
      <c r="L24" s="29">
        <f>L21+L22+L23</f>
        <v>0</v>
      </c>
      <c r="M24" s="29">
        <f>M21+M22+M23</f>
        <v>0</v>
      </c>
      <c r="N24" s="29">
        <f>N21+N22+N23</f>
        <v>0</v>
      </c>
      <c r="O24" s="29">
        <f>O21+O22+O23</f>
        <v>0</v>
      </c>
      <c r="P24" s="29">
        <f>P21+P22+P23</f>
        <v>0</v>
      </c>
      <c r="Q24" s="29">
        <f>Q21+Q22+Q23</f>
        <v>0</v>
      </c>
      <c r="R24" s="29">
        <f>R21+R22+R23</f>
        <v>0</v>
      </c>
      <c r="S24" s="29">
        <f>S21+S22+S23</f>
        <v>0</v>
      </c>
      <c r="T24" s="29">
        <f>T21+T22+T23</f>
        <v>0</v>
      </c>
      <c r="U24" s="29">
        <f>U21+U22+U23</f>
        <v>0</v>
      </c>
      <c r="V24" s="29">
        <f>V21+V22+V23</f>
        <v>0</v>
      </c>
      <c r="W24" s="29">
        <f>W21+W22+W23</f>
        <v>0</v>
      </c>
      <c r="X24" s="29">
        <f>X21+X22+X23</f>
        <v>0</v>
      </c>
      <c r="Y24" s="29">
        <f>Y21+Y22+Y23</f>
        <v>0</v>
      </c>
      <c r="Z24" s="29">
        <f>Z21+Z22+Z23</f>
        <v>0</v>
      </c>
      <c r="AA24" s="29">
        <f>AA21+AA22+AA23</f>
        <v>0</v>
      </c>
      <c r="AB24" s="29">
        <f>AB21+AB22+AB23</f>
        <v>0</v>
      </c>
      <c r="AC24" s="29">
        <f>AC21+AC22+AC23</f>
        <v>0</v>
      </c>
      <c r="AD24" s="29">
        <f>AD21+AD22+AD23</f>
        <v>0</v>
      </c>
      <c r="AE24" s="29">
        <f>AE21+AE22+AE23</f>
        <v>0</v>
      </c>
      <c r="AF24" s="29">
        <f>AF21+AF22+AF23</f>
        <v>0</v>
      </c>
      <c r="AG24" s="29">
        <f>AG21+AG22+AG23</f>
        <v>0</v>
      </c>
      <c r="AH24" s="29">
        <f>AH21+AH22+AH23</f>
        <v>0</v>
      </c>
      <c r="AI24" s="29">
        <f>AI21+AI22+AI23</f>
        <v>0</v>
      </c>
      <c r="AJ24" s="29">
        <f>AJ21+AJ22+AJ23</f>
        <v>0</v>
      </c>
      <c r="AK24" s="29">
        <f>AK21+AK22+AK23</f>
        <v>0</v>
      </c>
      <c r="AL24" s="29">
        <f>AL21+AL22+AL23</f>
        <v>0</v>
      </c>
      <c r="AN24" s="29">
        <f>SUM(C24:E24)</f>
        <v>0</v>
      </c>
      <c r="AO24" s="29">
        <f>SUM(F24:H24)</f>
        <v>0</v>
      </c>
      <c r="AP24" s="29">
        <f>SUM(I24:K24)</f>
        <v>0</v>
      </c>
      <c r="AQ24" s="29">
        <f>SUM(L24:N24)</f>
        <v>0</v>
      </c>
      <c r="AR24" s="29">
        <f>SUM(O24:Q24)</f>
        <v>0</v>
      </c>
      <c r="AS24" s="29">
        <f>SUM(R24:T24)</f>
        <v>0</v>
      </c>
      <c r="AT24" s="29">
        <f>SUM(U24:W24)</f>
        <v>0</v>
      </c>
      <c r="AU24" s="29">
        <f>SUM(X24:Z24)</f>
        <v>0</v>
      </c>
      <c r="AV24" s="29">
        <f>SUM(AA24:AC24)</f>
        <v>0</v>
      </c>
      <c r="AW24" s="29">
        <f>SUM(AD24:AF24)</f>
        <v>0</v>
      </c>
      <c r="AX24" s="29">
        <f>SUM(AG24:AI24)</f>
        <v>0</v>
      </c>
      <c r="AY24" s="29">
        <f>SUM(AJ24:AL24)</f>
        <v>0</v>
      </c>
      <c r="BA24" s="29">
        <f>SUM(C24:N24)</f>
        <v>0</v>
      </c>
      <c r="BB24" s="29">
        <f>SUM(O24:Z24)</f>
        <v>0</v>
      </c>
      <c r="BC24" s="29">
        <f>SUM(AA24:AL24)</f>
        <v>0</v>
      </c>
    </row>
    <row r="25" spans="1:55" ht="5" customHeight="1"/>
    <row r="26" spans="1:55">
      <c r="A26" s="28" t="s">
        <v>298</v>
      </c>
      <c r="B26" s="16"/>
      <c r="C26" s="29">
        <f>C14+C18+C24</f>
        <v>0</v>
      </c>
      <c r="D26" s="29">
        <f>D14+D18+D24</f>
        <v>0</v>
      </c>
      <c r="E26" s="29">
        <f>E14+E18+E24</f>
        <v>0</v>
      </c>
      <c r="F26" s="29">
        <f>F14+F18+F24</f>
        <v>0</v>
      </c>
      <c r="G26" s="29">
        <f>G14+G18+G24</f>
        <v>0</v>
      </c>
      <c r="H26" s="29">
        <f>H14+H18+H24</f>
        <v>0</v>
      </c>
      <c r="I26" s="29">
        <f>I14+I18+I24</f>
        <v>0</v>
      </c>
      <c r="J26" s="29">
        <f>J14+J18+J24</f>
        <v>0</v>
      </c>
      <c r="K26" s="29">
        <f>K14+K18+K24</f>
        <v>0</v>
      </c>
      <c r="L26" s="29">
        <f>L14+L18+L24</f>
        <v>0</v>
      </c>
      <c r="M26" s="29">
        <f>M14+M18+M24</f>
        <v>0</v>
      </c>
      <c r="N26" s="29">
        <f>N14+N18+N24</f>
        <v>0</v>
      </c>
      <c r="O26" s="29">
        <f>O14+O18+O24</f>
        <v>0</v>
      </c>
      <c r="P26" s="29">
        <f>P14+P18+P24</f>
        <v>0</v>
      </c>
      <c r="Q26" s="29">
        <f>Q14+Q18+Q24</f>
        <v>0</v>
      </c>
      <c r="R26" s="29">
        <f>R14+R18+R24</f>
        <v>0</v>
      </c>
      <c r="S26" s="29">
        <f>S14+S18+S24</f>
        <v>0</v>
      </c>
      <c r="T26" s="29">
        <f>T14+T18+T24</f>
        <v>0</v>
      </c>
      <c r="U26" s="29">
        <f>U14+U18+U24</f>
        <v>0</v>
      </c>
      <c r="V26" s="29">
        <f>V14+V18+V24</f>
        <v>0</v>
      </c>
      <c r="W26" s="29">
        <f>W14+W18+W24</f>
        <v>0</v>
      </c>
      <c r="X26" s="29">
        <f>X14+X18+X24</f>
        <v>0</v>
      </c>
      <c r="Y26" s="29">
        <f>Y14+Y18+Y24</f>
        <v>0</v>
      </c>
      <c r="Z26" s="29">
        <f>Z14+Z18+Z24</f>
        <v>0</v>
      </c>
      <c r="AA26" s="29">
        <f>AA14+AA18+AA24</f>
        <v>0</v>
      </c>
      <c r="AB26" s="29">
        <f>AB14+AB18+AB24</f>
        <v>0</v>
      </c>
      <c r="AC26" s="29">
        <f>AC14+AC18+AC24</f>
        <v>0</v>
      </c>
      <c r="AD26" s="29">
        <f>AD14+AD18+AD24</f>
        <v>0</v>
      </c>
      <c r="AE26" s="29">
        <f>AE14+AE18+AE24</f>
        <v>0</v>
      </c>
      <c r="AF26" s="29">
        <f>AF14+AF18+AF24</f>
        <v>0</v>
      </c>
      <c r="AG26" s="29">
        <f>AG14+AG18+AG24</f>
        <v>0</v>
      </c>
      <c r="AH26" s="29">
        <f>AH14+AH18+AH24</f>
        <v>0</v>
      </c>
      <c r="AI26" s="29">
        <f>AI14+AI18+AI24</f>
        <v>0</v>
      </c>
      <c r="AJ26" s="29">
        <f>AJ14+AJ18+AJ24</f>
        <v>0</v>
      </c>
      <c r="AK26" s="29">
        <f>AK14+AK18+AK24</f>
        <v>0</v>
      </c>
      <c r="AL26" s="29">
        <f>AL14+AL18+AL24</f>
        <v>0</v>
      </c>
      <c r="AN26" s="29">
        <f>SUM(C26:E26)</f>
        <v>0</v>
      </c>
      <c r="AO26" s="29">
        <f>SUM(F26:H26)</f>
        <v>0</v>
      </c>
      <c r="AP26" s="29">
        <f>SUM(I26:K26)</f>
        <v>0</v>
      </c>
      <c r="AQ26" s="29">
        <f>SUM(L26:N26)</f>
        <v>0</v>
      </c>
      <c r="AR26" s="29">
        <f>SUM(O26:Q26)</f>
        <v>0</v>
      </c>
      <c r="AS26" s="29">
        <f>SUM(R26:T26)</f>
        <v>0</v>
      </c>
      <c r="AT26" s="29">
        <f>SUM(U26:W26)</f>
        <v>0</v>
      </c>
      <c r="AU26" s="29">
        <f>SUM(X26:Z26)</f>
        <v>0</v>
      </c>
      <c r="AV26" s="29">
        <f>SUM(AA26:AC26)</f>
        <v>0</v>
      </c>
      <c r="AW26" s="29">
        <f>SUM(AD26:AF26)</f>
        <v>0</v>
      </c>
      <c r="AX26" s="29">
        <f>SUM(AG26:AI26)</f>
        <v>0</v>
      </c>
      <c r="AY26" s="29">
        <f>SUM(AJ26:AL26)</f>
        <v>0</v>
      </c>
      <c r="BA26" s="29">
        <f>SUM(C26:N26)</f>
        <v>0</v>
      </c>
      <c r="BB26" s="29">
        <f>SUM(O26:Z26)</f>
        <v>0</v>
      </c>
      <c r="BC26" s="29">
        <f>SUM(AA26:AL26)</f>
        <v>0</v>
      </c>
    </row>
    <row r="27" spans="1:55">
      <c r="A27" s="18" t="s">
        <v>299</v>
      </c>
      <c r="B27" s="16" t="s">
        <v>300</v>
      </c>
      <c r="C27" s="20">
        <f>'Assumptions'!$F$8</f>
        <v>0</v>
      </c>
      <c r="D27" s="20">
        <f>C28</f>
        <v>0</v>
      </c>
      <c r="E27" s="20">
        <f>D28</f>
        <v>0</v>
      </c>
      <c r="F27" s="20">
        <f>E28</f>
        <v>0</v>
      </c>
      <c r="G27" s="20">
        <f>F28</f>
        <v>0</v>
      </c>
      <c r="H27" s="20">
        <f>G28</f>
        <v>0</v>
      </c>
      <c r="I27" s="20">
        <f>H28</f>
        <v>0</v>
      </c>
      <c r="J27" s="20">
        <f>I28</f>
        <v>0</v>
      </c>
      <c r="K27" s="20">
        <f>J28</f>
        <v>0</v>
      </c>
      <c r="L27" s="20">
        <f>K28</f>
        <v>0</v>
      </c>
      <c r="M27" s="20">
        <f>L28</f>
        <v>0</v>
      </c>
      <c r="N27" s="20">
        <f>M28</f>
        <v>0</v>
      </c>
      <c r="O27" s="20">
        <f>N28</f>
        <v>0</v>
      </c>
      <c r="P27" s="20">
        <f>O28</f>
        <v>0</v>
      </c>
      <c r="Q27" s="20">
        <f>P28</f>
        <v>0</v>
      </c>
      <c r="R27" s="20">
        <f>Q28</f>
        <v>0</v>
      </c>
      <c r="S27" s="20">
        <f>R28</f>
        <v>0</v>
      </c>
      <c r="T27" s="20">
        <f>S28</f>
        <v>0</v>
      </c>
      <c r="U27" s="20">
        <f>T28</f>
        <v>0</v>
      </c>
      <c r="V27" s="20">
        <f>U28</f>
        <v>0</v>
      </c>
      <c r="W27" s="20">
        <f>V28</f>
        <v>0</v>
      </c>
      <c r="X27" s="20">
        <f>W28</f>
        <v>0</v>
      </c>
      <c r="Y27" s="20">
        <f>X28</f>
        <v>0</v>
      </c>
      <c r="Z27" s="20">
        <f>Y28</f>
        <v>0</v>
      </c>
      <c r="AA27" s="20">
        <f>Z28</f>
        <v>0</v>
      </c>
      <c r="AB27" s="20">
        <f>AA28</f>
        <v>0</v>
      </c>
      <c r="AC27" s="20">
        <f>AB28</f>
        <v>0</v>
      </c>
      <c r="AD27" s="20">
        <f>AC28</f>
        <v>0</v>
      </c>
      <c r="AE27" s="20">
        <f>AD28</f>
        <v>0</v>
      </c>
      <c r="AF27" s="20">
        <f>AE28</f>
        <v>0</v>
      </c>
      <c r="AG27" s="20">
        <f>AF28</f>
        <v>0</v>
      </c>
      <c r="AH27" s="20">
        <f>AG28</f>
        <v>0</v>
      </c>
      <c r="AI27" s="20">
        <f>AH28</f>
        <v>0</v>
      </c>
      <c r="AJ27" s="20">
        <f>AI28</f>
        <v>0</v>
      </c>
      <c r="AK27" s="20">
        <f>AJ28</f>
        <v>0</v>
      </c>
      <c r="AL27" s="20">
        <f>AK28</f>
        <v>0</v>
      </c>
      <c r="AN27" s="20">
        <f>C27</f>
        <v>0</v>
      </c>
      <c r="AO27" s="20">
        <f>F27</f>
        <v>0</v>
      </c>
      <c r="AP27" s="20">
        <f>I27</f>
        <v>0</v>
      </c>
      <c r="AQ27" s="20">
        <f>L27</f>
        <v>0</v>
      </c>
      <c r="AR27" s="20">
        <f>O27</f>
        <v>0</v>
      </c>
      <c r="AS27" s="20">
        <f>R27</f>
        <v>0</v>
      </c>
      <c r="AT27" s="20">
        <f>U27</f>
        <v>0</v>
      </c>
      <c r="AU27" s="20">
        <f>X27</f>
        <v>0</v>
      </c>
      <c r="AV27" s="20">
        <f>AA27</f>
        <v>0</v>
      </c>
      <c r="AW27" s="20">
        <f>AD27</f>
        <v>0</v>
      </c>
      <c r="AX27" s="20">
        <f>AG27</f>
        <v>0</v>
      </c>
      <c r="AY27" s="20">
        <f>AJ27</f>
        <v>0</v>
      </c>
      <c r="BA27" s="20">
        <f>C27</f>
        <v>0</v>
      </c>
      <c r="BB27" s="20">
        <f>O27</f>
        <v>0</v>
      </c>
      <c r="BC27" s="20">
        <f>AA27</f>
        <v>0</v>
      </c>
    </row>
    <row r="28" spans="1:55">
      <c r="A28" s="28" t="s">
        <v>301</v>
      </c>
      <c r="B28" s="16" t="s">
        <v>302</v>
      </c>
      <c r="C28" s="29">
        <f>C27+C26</f>
        <v>0</v>
      </c>
      <c r="D28" s="29">
        <f>D27+D26</f>
        <v>0</v>
      </c>
      <c r="E28" s="29">
        <f>E27+E26</f>
        <v>0</v>
      </c>
      <c r="F28" s="29">
        <f>F27+F26</f>
        <v>0</v>
      </c>
      <c r="G28" s="29">
        <f>G27+G26</f>
        <v>0</v>
      </c>
      <c r="H28" s="29">
        <f>H27+H26</f>
        <v>0</v>
      </c>
      <c r="I28" s="29">
        <f>I27+I26</f>
        <v>0</v>
      </c>
      <c r="J28" s="29">
        <f>J27+J26</f>
        <v>0</v>
      </c>
      <c r="K28" s="29">
        <f>K27+K26</f>
        <v>0</v>
      </c>
      <c r="L28" s="29">
        <f>L27+L26</f>
        <v>0</v>
      </c>
      <c r="M28" s="29">
        <f>M27+M26</f>
        <v>0</v>
      </c>
      <c r="N28" s="29">
        <f>N27+N26</f>
        <v>0</v>
      </c>
      <c r="O28" s="29">
        <f>O27+O26</f>
        <v>0</v>
      </c>
      <c r="P28" s="29">
        <f>P27+P26</f>
        <v>0</v>
      </c>
      <c r="Q28" s="29">
        <f>Q27+Q26</f>
        <v>0</v>
      </c>
      <c r="R28" s="29">
        <f>R27+R26</f>
        <v>0</v>
      </c>
      <c r="S28" s="29">
        <f>S27+S26</f>
        <v>0</v>
      </c>
      <c r="T28" s="29">
        <f>T27+T26</f>
        <v>0</v>
      </c>
      <c r="U28" s="29">
        <f>U27+U26</f>
        <v>0</v>
      </c>
      <c r="V28" s="29">
        <f>V27+V26</f>
        <v>0</v>
      </c>
      <c r="W28" s="29">
        <f>W27+W26</f>
        <v>0</v>
      </c>
      <c r="X28" s="29">
        <f>X27+X26</f>
        <v>0</v>
      </c>
      <c r="Y28" s="29">
        <f>Y27+Y26</f>
        <v>0</v>
      </c>
      <c r="Z28" s="29">
        <f>Z27+Z26</f>
        <v>0</v>
      </c>
      <c r="AA28" s="29">
        <f>AA27+AA26</f>
        <v>0</v>
      </c>
      <c r="AB28" s="29">
        <f>AB27+AB26</f>
        <v>0</v>
      </c>
      <c r="AC28" s="29">
        <f>AC27+AC26</f>
        <v>0</v>
      </c>
      <c r="AD28" s="29">
        <f>AD27+AD26</f>
        <v>0</v>
      </c>
      <c r="AE28" s="29">
        <f>AE27+AE26</f>
        <v>0</v>
      </c>
      <c r="AF28" s="29">
        <f>AF27+AF26</f>
        <v>0</v>
      </c>
      <c r="AG28" s="29">
        <f>AG27+AG26</f>
        <v>0</v>
      </c>
      <c r="AH28" s="29">
        <f>AH27+AH26</f>
        <v>0</v>
      </c>
      <c r="AI28" s="29">
        <f>AI27+AI26</f>
        <v>0</v>
      </c>
      <c r="AJ28" s="29">
        <f>AJ27+AJ26</f>
        <v>0</v>
      </c>
      <c r="AK28" s="29">
        <f>AK27+AK26</f>
        <v>0</v>
      </c>
      <c r="AL28" s="29">
        <f>AL27+AL26</f>
        <v>0</v>
      </c>
      <c r="AN28" s="29">
        <f>E28</f>
        <v>0</v>
      </c>
      <c r="AO28" s="29">
        <f>H28</f>
        <v>0</v>
      </c>
      <c r="AP28" s="29">
        <f>K28</f>
        <v>0</v>
      </c>
      <c r="AQ28" s="29">
        <f>N28</f>
        <v>0</v>
      </c>
      <c r="AR28" s="29">
        <f>Q28</f>
        <v>0</v>
      </c>
      <c r="AS28" s="29">
        <f>T28</f>
        <v>0</v>
      </c>
      <c r="AT28" s="29">
        <f>W28</f>
        <v>0</v>
      </c>
      <c r="AU28" s="29">
        <f>Z28</f>
        <v>0</v>
      </c>
      <c r="AV28" s="29">
        <f>AC28</f>
        <v>0</v>
      </c>
      <c r="AW28" s="29">
        <f>AF28</f>
        <v>0</v>
      </c>
      <c r="AX28" s="29">
        <f>AI28</f>
        <v>0</v>
      </c>
      <c r="AY28" s="29">
        <f>AL28</f>
        <v>0</v>
      </c>
      <c r="BA28" s="29">
        <f>N28</f>
        <v>0</v>
      </c>
      <c r="BB28" s="29">
        <f>Z28</f>
        <v>0</v>
      </c>
      <c r="BC28" s="29">
        <f>AL28</f>
        <v>0</v>
      </c>
    </row>
  </sheetData>
  <mergeCells count="8">
    <mergeCell ref="A1:BC1"/>
    <mergeCell ref="A2:BC2"/>
    <mergeCell ref="C5:AL5"/>
    <mergeCell ref="AN5:AY5"/>
    <mergeCell ref="BA5:BC5"/>
    <mergeCell ref="A7:BC7"/>
    <mergeCell ref="A16:BC16"/>
    <mergeCell ref="A20:BC20"/>
  </mergeCells>
  <pageMargins left="0.7" right="0.7" top="0.75" bottom="0.75" header="0.3" footer="0.3"/>
  <pageSetup paperSize="9" scale="5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C26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304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130</v>
      </c>
      <c r="B5" s="14" t="s">
        <v>131</v>
      </c>
      <c r="C5" s="14" t="s">
        <v>127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128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129</v>
      </c>
      <c r="BB5" s="14"/>
      <c r="BC5" s="14"/>
    </row>
    <row r="6" spans="1:55">
      <c r="A6" s="17"/>
      <c r="B6" s="17"/>
      <c r="C6" s="26">
        <v>46023</v>
      </c>
      <c r="D6" s="26">
        <v>46054</v>
      </c>
      <c r="E6" s="26">
        <v>46082</v>
      </c>
      <c r="F6" s="26">
        <v>46113</v>
      </c>
      <c r="G6" s="26">
        <v>46143</v>
      </c>
      <c r="H6" s="26">
        <v>46174</v>
      </c>
      <c r="I6" s="26">
        <v>46204</v>
      </c>
      <c r="J6" s="26">
        <v>46235</v>
      </c>
      <c r="K6" s="26">
        <v>46266</v>
      </c>
      <c r="L6" s="26">
        <v>46296</v>
      </c>
      <c r="M6" s="26">
        <v>46327</v>
      </c>
      <c r="N6" s="26">
        <v>46357</v>
      </c>
      <c r="O6" s="26">
        <v>46388</v>
      </c>
      <c r="P6" s="26">
        <v>46419</v>
      </c>
      <c r="Q6" s="26">
        <v>46447</v>
      </c>
      <c r="R6" s="26">
        <v>46478</v>
      </c>
      <c r="S6" s="26">
        <v>46508</v>
      </c>
      <c r="T6" s="26">
        <v>46539</v>
      </c>
      <c r="U6" s="26">
        <v>46569</v>
      </c>
      <c r="V6" s="26">
        <v>46600</v>
      </c>
      <c r="W6" s="26">
        <v>46631</v>
      </c>
      <c r="X6" s="26">
        <v>46661</v>
      </c>
      <c r="Y6" s="26">
        <v>46692</v>
      </c>
      <c r="Z6" s="26">
        <v>46722</v>
      </c>
      <c r="AA6" s="26">
        <v>46753</v>
      </c>
      <c r="AB6" s="26">
        <v>46784</v>
      </c>
      <c r="AC6" s="26">
        <v>46813</v>
      </c>
      <c r="AD6" s="26">
        <v>46844</v>
      </c>
      <c r="AE6" s="26">
        <v>46874</v>
      </c>
      <c r="AF6" s="26">
        <v>46905</v>
      </c>
      <c r="AG6" s="26">
        <v>46935</v>
      </c>
      <c r="AH6" s="26">
        <v>46966</v>
      </c>
      <c r="AI6" s="26">
        <v>46997</v>
      </c>
      <c r="AJ6" s="26">
        <v>47027</v>
      </c>
      <c r="AK6" s="26">
        <v>47058</v>
      </c>
      <c r="AL6" s="26">
        <v>47088</v>
      </c>
      <c r="AN6" s="17" t="s">
        <v>132</v>
      </c>
      <c r="AO6" s="17" t="s">
        <v>133</v>
      </c>
      <c r="AP6" s="17" t="s">
        <v>134</v>
      </c>
      <c r="AQ6" s="17" t="s">
        <v>135</v>
      </c>
      <c r="AR6" s="17" t="s">
        <v>136</v>
      </c>
      <c r="AS6" s="17" t="s">
        <v>137</v>
      </c>
      <c r="AT6" s="17" t="s">
        <v>138</v>
      </c>
      <c r="AU6" s="17" t="s">
        <v>139</v>
      </c>
      <c r="AV6" s="17" t="s">
        <v>140</v>
      </c>
      <c r="AW6" s="17" t="s">
        <v>141</v>
      </c>
      <c r="AX6" s="17" t="s">
        <v>142</v>
      </c>
      <c r="AY6" s="17" t="s">
        <v>143</v>
      </c>
      <c r="BA6" s="17" t="s">
        <v>144</v>
      </c>
      <c r="BB6" s="17" t="s">
        <v>145</v>
      </c>
      <c r="BC6" s="17" t="s">
        <v>146</v>
      </c>
    </row>
    <row r="7" spans="1:55" ht="16" customHeight="1">
      <c r="A7" s="14" t="s">
        <v>305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306</v>
      </c>
      <c r="B8" s="16" t="s">
        <v>307</v>
      </c>
      <c r="C8" s="20">
        <f>'Cash Flow'!$C$28</f>
        <v>0</v>
      </c>
      <c r="D8" s="20">
        <f>'Cash Flow'!$D$28</f>
        <v>0</v>
      </c>
      <c r="E8" s="20">
        <f>'Cash Flow'!$E$28</f>
        <v>0</v>
      </c>
      <c r="F8" s="20">
        <f>'Cash Flow'!$F$28</f>
        <v>0</v>
      </c>
      <c r="G8" s="20">
        <f>'Cash Flow'!$G$28</f>
        <v>0</v>
      </c>
      <c r="H8" s="20">
        <f>'Cash Flow'!$H$28</f>
        <v>0</v>
      </c>
      <c r="I8" s="20">
        <f>'Cash Flow'!$I$28</f>
        <v>0</v>
      </c>
      <c r="J8" s="20">
        <f>'Cash Flow'!$J$28</f>
        <v>0</v>
      </c>
      <c r="K8" s="20">
        <f>'Cash Flow'!$K$28</f>
        <v>0</v>
      </c>
      <c r="L8" s="20">
        <f>'Cash Flow'!$L$28</f>
        <v>0</v>
      </c>
      <c r="M8" s="20">
        <f>'Cash Flow'!$M$28</f>
        <v>0</v>
      </c>
      <c r="N8" s="20">
        <f>'Cash Flow'!$N$28</f>
        <v>0</v>
      </c>
      <c r="O8" s="20">
        <f>'Cash Flow'!$O$28</f>
        <v>0</v>
      </c>
      <c r="P8" s="20">
        <f>'Cash Flow'!$P$28</f>
        <v>0</v>
      </c>
      <c r="Q8" s="20">
        <f>'Cash Flow'!$Q$28</f>
        <v>0</v>
      </c>
      <c r="R8" s="20">
        <f>'Cash Flow'!$R$28</f>
        <v>0</v>
      </c>
      <c r="S8" s="20">
        <f>'Cash Flow'!$S$28</f>
        <v>0</v>
      </c>
      <c r="T8" s="20">
        <f>'Cash Flow'!$T$28</f>
        <v>0</v>
      </c>
      <c r="U8" s="20">
        <f>'Cash Flow'!$U$28</f>
        <v>0</v>
      </c>
      <c r="V8" s="20">
        <f>'Cash Flow'!$V$28</f>
        <v>0</v>
      </c>
      <c r="W8" s="20">
        <f>'Cash Flow'!$W$28</f>
        <v>0</v>
      </c>
      <c r="X8" s="20">
        <f>'Cash Flow'!$X$28</f>
        <v>0</v>
      </c>
      <c r="Y8" s="20">
        <f>'Cash Flow'!$Y$28</f>
        <v>0</v>
      </c>
      <c r="Z8" s="20">
        <f>'Cash Flow'!$Z$28</f>
        <v>0</v>
      </c>
      <c r="AA8" s="20">
        <f>'Cash Flow'!$AA$28</f>
        <v>0</v>
      </c>
      <c r="AB8" s="20">
        <f>'Cash Flow'!$AB$28</f>
        <v>0</v>
      </c>
      <c r="AC8" s="20">
        <f>'Cash Flow'!$AC$28</f>
        <v>0</v>
      </c>
      <c r="AD8" s="20">
        <f>'Cash Flow'!$AD$28</f>
        <v>0</v>
      </c>
      <c r="AE8" s="20">
        <f>'Cash Flow'!$AE$28</f>
        <v>0</v>
      </c>
      <c r="AF8" s="20">
        <f>'Cash Flow'!$AF$28</f>
        <v>0</v>
      </c>
      <c r="AG8" s="20">
        <f>'Cash Flow'!$AG$28</f>
        <v>0</v>
      </c>
      <c r="AH8" s="20">
        <f>'Cash Flow'!$AH$28</f>
        <v>0</v>
      </c>
      <c r="AI8" s="20">
        <f>'Cash Flow'!$AI$28</f>
        <v>0</v>
      </c>
      <c r="AJ8" s="20">
        <f>'Cash Flow'!$AJ$28</f>
        <v>0</v>
      </c>
      <c r="AK8" s="20">
        <f>'Cash Flow'!$AK$28</f>
        <v>0</v>
      </c>
      <c r="AL8" s="20">
        <f>'Cash Flow'!$AL$28</f>
        <v>0</v>
      </c>
      <c r="AN8" s="20">
        <f>E8</f>
        <v>0</v>
      </c>
      <c r="AO8" s="20">
        <f>H8</f>
        <v>0</v>
      </c>
      <c r="AP8" s="20">
        <f>K8</f>
        <v>0</v>
      </c>
      <c r="AQ8" s="20">
        <f>N8</f>
        <v>0</v>
      </c>
      <c r="AR8" s="20">
        <f>Q8</f>
        <v>0</v>
      </c>
      <c r="AS8" s="20">
        <f>T8</f>
        <v>0</v>
      </c>
      <c r="AT8" s="20">
        <f>W8</f>
        <v>0</v>
      </c>
      <c r="AU8" s="20">
        <f>Z8</f>
        <v>0</v>
      </c>
      <c r="AV8" s="20">
        <f>AC8</f>
        <v>0</v>
      </c>
      <c r="AW8" s="20">
        <f>AF8</f>
        <v>0</v>
      </c>
      <c r="AX8" s="20">
        <f>AI8</f>
        <v>0</v>
      </c>
      <c r="AY8" s="20">
        <f>AL8</f>
        <v>0</v>
      </c>
      <c r="BA8" s="20">
        <f>N8</f>
        <v>0</v>
      </c>
      <c r="BB8" s="20">
        <f>Z8</f>
        <v>0</v>
      </c>
      <c r="BC8" s="20">
        <f>AL8</f>
        <v>0</v>
      </c>
    </row>
    <row r="9" spans="1:55">
      <c r="A9" s="18" t="s">
        <v>308</v>
      </c>
      <c r="B9" s="16"/>
      <c r="C9" s="20">
        <f>'Working Capital'!$C$8</f>
        <v>0</v>
      </c>
      <c r="D9" s="20">
        <f>'Working Capital'!$D$8</f>
        <v>0</v>
      </c>
      <c r="E9" s="20">
        <f>'Working Capital'!$E$8</f>
        <v>0</v>
      </c>
      <c r="F9" s="20">
        <f>'Working Capital'!$F$8</f>
        <v>0</v>
      </c>
      <c r="G9" s="20">
        <f>'Working Capital'!$G$8</f>
        <v>0</v>
      </c>
      <c r="H9" s="20">
        <f>'Working Capital'!$H$8</f>
        <v>0</v>
      </c>
      <c r="I9" s="20">
        <f>'Working Capital'!$I$8</f>
        <v>0</v>
      </c>
      <c r="J9" s="20">
        <f>'Working Capital'!$J$8</f>
        <v>0</v>
      </c>
      <c r="K9" s="20">
        <f>'Working Capital'!$K$8</f>
        <v>0</v>
      </c>
      <c r="L9" s="20">
        <f>'Working Capital'!$L$8</f>
        <v>0</v>
      </c>
      <c r="M9" s="20">
        <f>'Working Capital'!$M$8</f>
        <v>0</v>
      </c>
      <c r="N9" s="20">
        <f>'Working Capital'!$N$8</f>
        <v>0</v>
      </c>
      <c r="O9" s="20">
        <f>'Working Capital'!$O$8</f>
        <v>0</v>
      </c>
      <c r="P9" s="20">
        <f>'Working Capital'!$P$8</f>
        <v>0</v>
      </c>
      <c r="Q9" s="20">
        <f>'Working Capital'!$Q$8</f>
        <v>0</v>
      </c>
      <c r="R9" s="20">
        <f>'Working Capital'!$R$8</f>
        <v>0</v>
      </c>
      <c r="S9" s="20">
        <f>'Working Capital'!$S$8</f>
        <v>0</v>
      </c>
      <c r="T9" s="20">
        <f>'Working Capital'!$T$8</f>
        <v>0</v>
      </c>
      <c r="U9" s="20">
        <f>'Working Capital'!$U$8</f>
        <v>0</v>
      </c>
      <c r="V9" s="20">
        <f>'Working Capital'!$V$8</f>
        <v>0</v>
      </c>
      <c r="W9" s="20">
        <f>'Working Capital'!$W$8</f>
        <v>0</v>
      </c>
      <c r="X9" s="20">
        <f>'Working Capital'!$X$8</f>
        <v>0</v>
      </c>
      <c r="Y9" s="20">
        <f>'Working Capital'!$Y$8</f>
        <v>0</v>
      </c>
      <c r="Z9" s="20">
        <f>'Working Capital'!$Z$8</f>
        <v>0</v>
      </c>
      <c r="AA9" s="20">
        <f>'Working Capital'!$AA$8</f>
        <v>0</v>
      </c>
      <c r="AB9" s="20">
        <f>'Working Capital'!$AB$8</f>
        <v>0</v>
      </c>
      <c r="AC9" s="20">
        <f>'Working Capital'!$AC$8</f>
        <v>0</v>
      </c>
      <c r="AD9" s="20">
        <f>'Working Capital'!$AD$8</f>
        <v>0</v>
      </c>
      <c r="AE9" s="20">
        <f>'Working Capital'!$AE$8</f>
        <v>0</v>
      </c>
      <c r="AF9" s="20">
        <f>'Working Capital'!$AF$8</f>
        <v>0</v>
      </c>
      <c r="AG9" s="20">
        <f>'Working Capital'!$AG$8</f>
        <v>0</v>
      </c>
      <c r="AH9" s="20">
        <f>'Working Capital'!$AH$8</f>
        <v>0</v>
      </c>
      <c r="AI9" s="20">
        <f>'Working Capital'!$AI$8</f>
        <v>0</v>
      </c>
      <c r="AJ9" s="20">
        <f>'Working Capital'!$AJ$8</f>
        <v>0</v>
      </c>
      <c r="AK9" s="20">
        <f>'Working Capital'!$AK$8</f>
        <v>0</v>
      </c>
      <c r="AL9" s="20">
        <f>'Working Capital'!$AL$8</f>
        <v>0</v>
      </c>
      <c r="AN9" s="20">
        <f>E9</f>
        <v>0</v>
      </c>
      <c r="AO9" s="20">
        <f>H9</f>
        <v>0</v>
      </c>
      <c r="AP9" s="20">
        <f>K9</f>
        <v>0</v>
      </c>
      <c r="AQ9" s="20">
        <f>N9</f>
        <v>0</v>
      </c>
      <c r="AR9" s="20">
        <f>Q9</f>
        <v>0</v>
      </c>
      <c r="AS9" s="20">
        <f>T9</f>
        <v>0</v>
      </c>
      <c r="AT9" s="20">
        <f>W9</f>
        <v>0</v>
      </c>
      <c r="AU9" s="20">
        <f>Z9</f>
        <v>0</v>
      </c>
      <c r="AV9" s="20">
        <f>AC9</f>
        <v>0</v>
      </c>
      <c r="AW9" s="20">
        <f>AF9</f>
        <v>0</v>
      </c>
      <c r="AX9" s="20">
        <f>AI9</f>
        <v>0</v>
      </c>
      <c r="AY9" s="20">
        <f>AL9</f>
        <v>0</v>
      </c>
      <c r="BA9" s="20">
        <f>N9</f>
        <v>0</v>
      </c>
      <c r="BB9" s="20">
        <f>Z9</f>
        <v>0</v>
      </c>
      <c r="BC9" s="20">
        <f>AL9</f>
        <v>0</v>
      </c>
    </row>
    <row r="10" spans="1:55">
      <c r="A10" s="18" t="s">
        <v>309</v>
      </c>
      <c r="B10" s="16" t="s">
        <v>310</v>
      </c>
      <c r="C10" s="20">
        <f>'Working Capital'!C11</f>
        <v>0</v>
      </c>
      <c r="D10" s="20">
        <f>'Working Capital'!D11</f>
        <v>0</v>
      </c>
      <c r="E10" s="20">
        <f>'Working Capital'!E11</f>
        <v>0</v>
      </c>
      <c r="F10" s="20">
        <f>'Working Capital'!F11</f>
        <v>0</v>
      </c>
      <c r="G10" s="20">
        <f>'Working Capital'!G11</f>
        <v>0</v>
      </c>
      <c r="H10" s="20">
        <f>'Working Capital'!H11</f>
        <v>0</v>
      </c>
      <c r="I10" s="20">
        <f>'Working Capital'!I11</f>
        <v>0</v>
      </c>
      <c r="J10" s="20">
        <f>'Working Capital'!J11</f>
        <v>0</v>
      </c>
      <c r="K10" s="20">
        <f>'Working Capital'!K11</f>
        <v>0</v>
      </c>
      <c r="L10" s="20">
        <f>'Working Capital'!L11</f>
        <v>0</v>
      </c>
      <c r="M10" s="20">
        <f>'Working Capital'!M11</f>
        <v>0</v>
      </c>
      <c r="N10" s="20">
        <f>'Working Capital'!N11</f>
        <v>0</v>
      </c>
      <c r="O10" s="20">
        <f>'Working Capital'!O11</f>
        <v>0</v>
      </c>
      <c r="P10" s="20">
        <f>'Working Capital'!P11</f>
        <v>0</v>
      </c>
      <c r="Q10" s="20">
        <f>'Working Capital'!Q11</f>
        <v>0</v>
      </c>
      <c r="R10" s="20">
        <f>'Working Capital'!R11</f>
        <v>0</v>
      </c>
      <c r="S10" s="20">
        <f>'Working Capital'!S11</f>
        <v>0</v>
      </c>
      <c r="T10" s="20">
        <f>'Working Capital'!T11</f>
        <v>0</v>
      </c>
      <c r="U10" s="20">
        <f>'Working Capital'!U11</f>
        <v>0</v>
      </c>
      <c r="V10" s="20">
        <f>'Working Capital'!V11</f>
        <v>0</v>
      </c>
      <c r="W10" s="20">
        <f>'Working Capital'!W11</f>
        <v>0</v>
      </c>
      <c r="X10" s="20">
        <f>'Working Capital'!X11</f>
        <v>0</v>
      </c>
      <c r="Y10" s="20">
        <f>'Working Capital'!Y11</f>
        <v>0</v>
      </c>
      <c r="Z10" s="20">
        <f>'Working Capital'!Z11</f>
        <v>0</v>
      </c>
      <c r="AA10" s="20">
        <f>'Working Capital'!AA11</f>
        <v>0</v>
      </c>
      <c r="AB10" s="20">
        <f>'Working Capital'!AB11</f>
        <v>0</v>
      </c>
      <c r="AC10" s="20">
        <f>'Working Capital'!AC11</f>
        <v>0</v>
      </c>
      <c r="AD10" s="20">
        <f>'Working Capital'!AD11</f>
        <v>0</v>
      </c>
      <c r="AE10" s="20">
        <f>'Working Capital'!AE11</f>
        <v>0</v>
      </c>
      <c r="AF10" s="20">
        <f>'Working Capital'!AF11</f>
        <v>0</v>
      </c>
      <c r="AG10" s="20">
        <f>'Working Capital'!AG11</f>
        <v>0</v>
      </c>
      <c r="AH10" s="20">
        <f>'Working Capital'!AH11</f>
        <v>0</v>
      </c>
      <c r="AI10" s="20">
        <f>'Working Capital'!AI11</f>
        <v>0</v>
      </c>
      <c r="AJ10" s="20">
        <f>'Working Capital'!AJ11</f>
        <v>0</v>
      </c>
      <c r="AK10" s="20">
        <f>'Working Capital'!AK11</f>
        <v>0</v>
      </c>
      <c r="AL10" s="20">
        <f>'Working Capital'!AL11</f>
        <v>0</v>
      </c>
      <c r="AN10" s="20">
        <f>E10</f>
        <v>0</v>
      </c>
      <c r="AO10" s="20">
        <f>H10</f>
        <v>0</v>
      </c>
      <c r="AP10" s="20">
        <f>K10</f>
        <v>0</v>
      </c>
      <c r="AQ10" s="20">
        <f>N10</f>
        <v>0</v>
      </c>
      <c r="AR10" s="20">
        <f>Q10</f>
        <v>0</v>
      </c>
      <c r="AS10" s="20">
        <f>T10</f>
        <v>0</v>
      </c>
      <c r="AT10" s="20">
        <f>W10</f>
        <v>0</v>
      </c>
      <c r="AU10" s="20">
        <f>Z10</f>
        <v>0</v>
      </c>
      <c r="AV10" s="20">
        <f>AC10</f>
        <v>0</v>
      </c>
      <c r="AW10" s="20">
        <f>AF10</f>
        <v>0</v>
      </c>
      <c r="AX10" s="20">
        <f>AI10</f>
        <v>0</v>
      </c>
      <c r="AY10" s="20">
        <f>AL10</f>
        <v>0</v>
      </c>
      <c r="BA10" s="20">
        <f>N10</f>
        <v>0</v>
      </c>
      <c r="BB10" s="20">
        <f>Z10</f>
        <v>0</v>
      </c>
      <c r="BC10" s="20">
        <f>AL10</f>
        <v>0</v>
      </c>
    </row>
    <row r="11" spans="1:55">
      <c r="A11" s="18" t="s">
        <v>311</v>
      </c>
      <c r="B11" s="16"/>
      <c r="C11" s="20">
        <f>'Working Capital'!$C$20</f>
        <v>0</v>
      </c>
      <c r="D11" s="20">
        <f>'Working Capital'!$D$20</f>
        <v>0</v>
      </c>
      <c r="E11" s="20">
        <f>'Working Capital'!$E$20</f>
        <v>0</v>
      </c>
      <c r="F11" s="20">
        <f>'Working Capital'!$F$20</f>
        <v>0</v>
      </c>
      <c r="G11" s="20">
        <f>'Working Capital'!$G$20</f>
        <v>0</v>
      </c>
      <c r="H11" s="20">
        <f>'Working Capital'!$H$20</f>
        <v>0</v>
      </c>
      <c r="I11" s="20">
        <f>'Working Capital'!$I$20</f>
        <v>0</v>
      </c>
      <c r="J11" s="20">
        <f>'Working Capital'!$J$20</f>
        <v>0</v>
      </c>
      <c r="K11" s="20">
        <f>'Working Capital'!$K$20</f>
        <v>0</v>
      </c>
      <c r="L11" s="20">
        <f>'Working Capital'!$L$20</f>
        <v>0</v>
      </c>
      <c r="M11" s="20">
        <f>'Working Capital'!$M$20</f>
        <v>0</v>
      </c>
      <c r="N11" s="20">
        <f>'Working Capital'!$N$20</f>
        <v>0</v>
      </c>
      <c r="O11" s="20">
        <f>'Working Capital'!$O$20</f>
        <v>0</v>
      </c>
      <c r="P11" s="20">
        <f>'Working Capital'!$P$20</f>
        <v>0</v>
      </c>
      <c r="Q11" s="20">
        <f>'Working Capital'!$Q$20</f>
        <v>0</v>
      </c>
      <c r="R11" s="20">
        <f>'Working Capital'!$R$20</f>
        <v>0</v>
      </c>
      <c r="S11" s="20">
        <f>'Working Capital'!$S$20</f>
        <v>0</v>
      </c>
      <c r="T11" s="20">
        <f>'Working Capital'!$T$20</f>
        <v>0</v>
      </c>
      <c r="U11" s="20">
        <f>'Working Capital'!$U$20</f>
        <v>0</v>
      </c>
      <c r="V11" s="20">
        <f>'Working Capital'!$V$20</f>
        <v>0</v>
      </c>
      <c r="W11" s="20">
        <f>'Working Capital'!$W$20</f>
        <v>0</v>
      </c>
      <c r="X11" s="20">
        <f>'Working Capital'!$X$20</f>
        <v>0</v>
      </c>
      <c r="Y11" s="20">
        <f>'Working Capital'!$Y$20</f>
        <v>0</v>
      </c>
      <c r="Z11" s="20">
        <f>'Working Capital'!$Z$20</f>
        <v>0</v>
      </c>
      <c r="AA11" s="20">
        <f>'Working Capital'!$AA$20</f>
        <v>0</v>
      </c>
      <c r="AB11" s="20">
        <f>'Working Capital'!$AB$20</f>
        <v>0</v>
      </c>
      <c r="AC11" s="20">
        <f>'Working Capital'!$AC$20</f>
        <v>0</v>
      </c>
      <c r="AD11" s="20">
        <f>'Working Capital'!$AD$20</f>
        <v>0</v>
      </c>
      <c r="AE11" s="20">
        <f>'Working Capital'!$AE$20</f>
        <v>0</v>
      </c>
      <c r="AF11" s="20">
        <f>'Working Capital'!$AF$20</f>
        <v>0</v>
      </c>
      <c r="AG11" s="20">
        <f>'Working Capital'!$AG$20</f>
        <v>0</v>
      </c>
      <c r="AH11" s="20">
        <f>'Working Capital'!$AH$20</f>
        <v>0</v>
      </c>
      <c r="AI11" s="20">
        <f>'Working Capital'!$AI$20</f>
        <v>0</v>
      </c>
      <c r="AJ11" s="20">
        <f>'Working Capital'!$AJ$20</f>
        <v>0</v>
      </c>
      <c r="AK11" s="20">
        <f>'Working Capital'!$AK$20</f>
        <v>0</v>
      </c>
      <c r="AL11" s="20">
        <f>'Working Capital'!$AL$20</f>
        <v>0</v>
      </c>
      <c r="AN11" s="20">
        <f>E11</f>
        <v>0</v>
      </c>
      <c r="AO11" s="20">
        <f>H11</f>
        <v>0</v>
      </c>
      <c r="AP11" s="20">
        <f>K11</f>
        <v>0</v>
      </c>
      <c r="AQ11" s="20">
        <f>N11</f>
        <v>0</v>
      </c>
      <c r="AR11" s="20">
        <f>Q11</f>
        <v>0</v>
      </c>
      <c r="AS11" s="20">
        <f>T11</f>
        <v>0</v>
      </c>
      <c r="AT11" s="20">
        <f>W11</f>
        <v>0</v>
      </c>
      <c r="AU11" s="20">
        <f>Z11</f>
        <v>0</v>
      </c>
      <c r="AV11" s="20">
        <f>AC11</f>
        <v>0</v>
      </c>
      <c r="AW11" s="20">
        <f>AF11</f>
        <v>0</v>
      </c>
      <c r="AX11" s="20">
        <f>AI11</f>
        <v>0</v>
      </c>
      <c r="AY11" s="20">
        <f>AL11</f>
        <v>0</v>
      </c>
      <c r="BA11" s="20">
        <f>N11</f>
        <v>0</v>
      </c>
      <c r="BB11" s="20">
        <f>Z11</f>
        <v>0</v>
      </c>
      <c r="BC11" s="20">
        <f>AL11</f>
        <v>0</v>
      </c>
    </row>
    <row r="12" spans="1:55">
      <c r="A12" s="31" t="s">
        <v>312</v>
      </c>
      <c r="B12" s="16"/>
      <c r="C12" s="32">
        <f>C8+C9+C10+C11</f>
        <v>0</v>
      </c>
      <c r="D12" s="32">
        <f>D8+D9+D10+D11</f>
        <v>0</v>
      </c>
      <c r="E12" s="32">
        <f>E8+E9+E10+E11</f>
        <v>0</v>
      </c>
      <c r="F12" s="32">
        <f>F8+F9+F10+F11</f>
        <v>0</v>
      </c>
      <c r="G12" s="32">
        <f>G8+G9+G10+G11</f>
        <v>0</v>
      </c>
      <c r="H12" s="32">
        <f>H8+H9+H10+H11</f>
        <v>0</v>
      </c>
      <c r="I12" s="32">
        <f>I8+I9+I10+I11</f>
        <v>0</v>
      </c>
      <c r="J12" s="32">
        <f>J8+J9+J10+J11</f>
        <v>0</v>
      </c>
      <c r="K12" s="32">
        <f>K8+K9+K10+K11</f>
        <v>0</v>
      </c>
      <c r="L12" s="32">
        <f>L8+L9+L10+L11</f>
        <v>0</v>
      </c>
      <c r="M12" s="32">
        <f>M8+M9+M10+M11</f>
        <v>0</v>
      </c>
      <c r="N12" s="32">
        <f>N8+N9+N10+N11</f>
        <v>0</v>
      </c>
      <c r="O12" s="32">
        <f>O8+O9+O10+O11</f>
        <v>0</v>
      </c>
      <c r="P12" s="32">
        <f>P8+P9+P10+P11</f>
        <v>0</v>
      </c>
      <c r="Q12" s="32">
        <f>Q8+Q9+Q10+Q11</f>
        <v>0</v>
      </c>
      <c r="R12" s="32">
        <f>R8+R9+R10+R11</f>
        <v>0</v>
      </c>
      <c r="S12" s="32">
        <f>S8+S9+S10+S11</f>
        <v>0</v>
      </c>
      <c r="T12" s="32">
        <f>T8+T9+T10+T11</f>
        <v>0</v>
      </c>
      <c r="U12" s="32">
        <f>U8+U9+U10+U11</f>
        <v>0</v>
      </c>
      <c r="V12" s="32">
        <f>V8+V9+V10+V11</f>
        <v>0</v>
      </c>
      <c r="W12" s="32">
        <f>W8+W9+W10+W11</f>
        <v>0</v>
      </c>
      <c r="X12" s="32">
        <f>X8+X9+X10+X11</f>
        <v>0</v>
      </c>
      <c r="Y12" s="32">
        <f>Y8+Y9+Y10+Y11</f>
        <v>0</v>
      </c>
      <c r="Z12" s="32">
        <f>Z8+Z9+Z10+Z11</f>
        <v>0</v>
      </c>
      <c r="AA12" s="32">
        <f>AA8+AA9+AA10+AA11</f>
        <v>0</v>
      </c>
      <c r="AB12" s="32">
        <f>AB8+AB9+AB10+AB11</f>
        <v>0</v>
      </c>
      <c r="AC12" s="32">
        <f>AC8+AC9+AC10+AC11</f>
        <v>0</v>
      </c>
      <c r="AD12" s="32">
        <f>AD8+AD9+AD10+AD11</f>
        <v>0</v>
      </c>
      <c r="AE12" s="32">
        <f>AE8+AE9+AE10+AE11</f>
        <v>0</v>
      </c>
      <c r="AF12" s="32">
        <f>AF8+AF9+AF10+AF11</f>
        <v>0</v>
      </c>
      <c r="AG12" s="32">
        <f>AG8+AG9+AG10+AG11</f>
        <v>0</v>
      </c>
      <c r="AH12" s="32">
        <f>AH8+AH9+AH10+AH11</f>
        <v>0</v>
      </c>
      <c r="AI12" s="32">
        <f>AI8+AI9+AI10+AI11</f>
        <v>0</v>
      </c>
      <c r="AJ12" s="32">
        <f>AJ8+AJ9+AJ10+AJ11</f>
        <v>0</v>
      </c>
      <c r="AK12" s="32">
        <f>AK8+AK9+AK10+AK11</f>
        <v>0</v>
      </c>
      <c r="AL12" s="32">
        <f>AL8+AL9+AL10+AL11</f>
        <v>0</v>
      </c>
      <c r="AN12" s="32">
        <f>E12</f>
        <v>0</v>
      </c>
      <c r="AO12" s="32">
        <f>H12</f>
        <v>0</v>
      </c>
      <c r="AP12" s="32">
        <f>K12</f>
        <v>0</v>
      </c>
      <c r="AQ12" s="32">
        <f>N12</f>
        <v>0</v>
      </c>
      <c r="AR12" s="32">
        <f>Q12</f>
        <v>0</v>
      </c>
      <c r="AS12" s="32">
        <f>T12</f>
        <v>0</v>
      </c>
      <c r="AT12" s="32">
        <f>W12</f>
        <v>0</v>
      </c>
      <c r="AU12" s="32">
        <f>Z12</f>
        <v>0</v>
      </c>
      <c r="AV12" s="32">
        <f>AC12</f>
        <v>0</v>
      </c>
      <c r="AW12" s="32">
        <f>AF12</f>
        <v>0</v>
      </c>
      <c r="AX12" s="32">
        <f>AI12</f>
        <v>0</v>
      </c>
      <c r="AY12" s="32">
        <f>AL12</f>
        <v>0</v>
      </c>
      <c r="BA12" s="32">
        <f>N12</f>
        <v>0</v>
      </c>
      <c r="BB12" s="32">
        <f>Z12</f>
        <v>0</v>
      </c>
      <c r="BC12" s="32">
        <f>AL12</f>
        <v>0</v>
      </c>
    </row>
    <row r="13" spans="1:55" ht="5" customHeight="1"/>
    <row r="14" spans="1:55" ht="16" customHeight="1">
      <c r="A14" s="14" t="s">
        <v>313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</row>
    <row r="15" spans="1:55">
      <c r="A15" s="18" t="s">
        <v>314</v>
      </c>
      <c r="B15" s="16"/>
      <c r="C15" s="20">
        <f>'Working Capital'!$C$9</f>
        <v>0</v>
      </c>
      <c r="D15" s="20">
        <f>'Working Capital'!$D$9</f>
        <v>0</v>
      </c>
      <c r="E15" s="20">
        <f>'Working Capital'!$E$9</f>
        <v>0</v>
      </c>
      <c r="F15" s="20">
        <f>'Working Capital'!$F$9</f>
        <v>0</v>
      </c>
      <c r="G15" s="20">
        <f>'Working Capital'!$G$9</f>
        <v>0</v>
      </c>
      <c r="H15" s="20">
        <f>'Working Capital'!$H$9</f>
        <v>0</v>
      </c>
      <c r="I15" s="20">
        <f>'Working Capital'!$I$9</f>
        <v>0</v>
      </c>
      <c r="J15" s="20">
        <f>'Working Capital'!$J$9</f>
        <v>0</v>
      </c>
      <c r="K15" s="20">
        <f>'Working Capital'!$K$9</f>
        <v>0</v>
      </c>
      <c r="L15" s="20">
        <f>'Working Capital'!$L$9</f>
        <v>0</v>
      </c>
      <c r="M15" s="20">
        <f>'Working Capital'!$M$9</f>
        <v>0</v>
      </c>
      <c r="N15" s="20">
        <f>'Working Capital'!$N$9</f>
        <v>0</v>
      </c>
      <c r="O15" s="20">
        <f>'Working Capital'!$O$9</f>
        <v>0</v>
      </c>
      <c r="P15" s="20">
        <f>'Working Capital'!$P$9</f>
        <v>0</v>
      </c>
      <c r="Q15" s="20">
        <f>'Working Capital'!$Q$9</f>
        <v>0</v>
      </c>
      <c r="R15" s="20">
        <f>'Working Capital'!$R$9</f>
        <v>0</v>
      </c>
      <c r="S15" s="20">
        <f>'Working Capital'!$S$9</f>
        <v>0</v>
      </c>
      <c r="T15" s="20">
        <f>'Working Capital'!$T$9</f>
        <v>0</v>
      </c>
      <c r="U15" s="20">
        <f>'Working Capital'!$U$9</f>
        <v>0</v>
      </c>
      <c r="V15" s="20">
        <f>'Working Capital'!$V$9</f>
        <v>0</v>
      </c>
      <c r="W15" s="20">
        <f>'Working Capital'!$W$9</f>
        <v>0</v>
      </c>
      <c r="X15" s="20">
        <f>'Working Capital'!$X$9</f>
        <v>0</v>
      </c>
      <c r="Y15" s="20">
        <f>'Working Capital'!$Y$9</f>
        <v>0</v>
      </c>
      <c r="Z15" s="20">
        <f>'Working Capital'!$Z$9</f>
        <v>0</v>
      </c>
      <c r="AA15" s="20">
        <f>'Working Capital'!$AA$9</f>
        <v>0</v>
      </c>
      <c r="AB15" s="20">
        <f>'Working Capital'!$AB$9</f>
        <v>0</v>
      </c>
      <c r="AC15" s="20">
        <f>'Working Capital'!$AC$9</f>
        <v>0</v>
      </c>
      <c r="AD15" s="20">
        <f>'Working Capital'!$AD$9</f>
        <v>0</v>
      </c>
      <c r="AE15" s="20">
        <f>'Working Capital'!$AE$9</f>
        <v>0</v>
      </c>
      <c r="AF15" s="20">
        <f>'Working Capital'!$AF$9</f>
        <v>0</v>
      </c>
      <c r="AG15" s="20">
        <f>'Working Capital'!$AG$9</f>
        <v>0</v>
      </c>
      <c r="AH15" s="20">
        <f>'Working Capital'!$AH$9</f>
        <v>0</v>
      </c>
      <c r="AI15" s="20">
        <f>'Working Capital'!$AI$9</f>
        <v>0</v>
      </c>
      <c r="AJ15" s="20">
        <f>'Working Capital'!$AJ$9</f>
        <v>0</v>
      </c>
      <c r="AK15" s="20">
        <f>'Working Capital'!$AK$9</f>
        <v>0</v>
      </c>
      <c r="AL15" s="20">
        <f>'Working Capital'!$AL$9</f>
        <v>0</v>
      </c>
      <c r="AN15" s="20">
        <f>E15</f>
        <v>0</v>
      </c>
      <c r="AO15" s="20">
        <f>H15</f>
        <v>0</v>
      </c>
      <c r="AP15" s="20">
        <f>K15</f>
        <v>0</v>
      </c>
      <c r="AQ15" s="20">
        <f>N15</f>
        <v>0</v>
      </c>
      <c r="AR15" s="20">
        <f>Q15</f>
        <v>0</v>
      </c>
      <c r="AS15" s="20">
        <f>T15</f>
        <v>0</v>
      </c>
      <c r="AT15" s="20">
        <f>W15</f>
        <v>0</v>
      </c>
      <c r="AU15" s="20">
        <f>Z15</f>
        <v>0</v>
      </c>
      <c r="AV15" s="20">
        <f>AC15</f>
        <v>0</v>
      </c>
      <c r="AW15" s="20">
        <f>AF15</f>
        <v>0</v>
      </c>
      <c r="AX15" s="20">
        <f>AI15</f>
        <v>0</v>
      </c>
      <c r="AY15" s="20">
        <f>AL15</f>
        <v>0</v>
      </c>
      <c r="BA15" s="20">
        <f>N15</f>
        <v>0</v>
      </c>
      <c r="BB15" s="20">
        <f>Z15</f>
        <v>0</v>
      </c>
      <c r="BC15" s="20">
        <f>AL15</f>
        <v>0</v>
      </c>
    </row>
    <row r="16" spans="1:55">
      <c r="A16" s="18" t="s">
        <v>315</v>
      </c>
      <c r="B16" s="16"/>
      <c r="C16" s="20">
        <f>'Working Capital'!$C$10</f>
        <v>0</v>
      </c>
      <c r="D16" s="20">
        <f>'Working Capital'!$D$10</f>
        <v>0</v>
      </c>
      <c r="E16" s="20">
        <f>'Working Capital'!$E$10</f>
        <v>0</v>
      </c>
      <c r="F16" s="20">
        <f>'Working Capital'!$F$10</f>
        <v>0</v>
      </c>
      <c r="G16" s="20">
        <f>'Working Capital'!$G$10</f>
        <v>0</v>
      </c>
      <c r="H16" s="20">
        <f>'Working Capital'!$H$10</f>
        <v>0</v>
      </c>
      <c r="I16" s="20">
        <f>'Working Capital'!$I$10</f>
        <v>0</v>
      </c>
      <c r="J16" s="20">
        <f>'Working Capital'!$J$10</f>
        <v>0</v>
      </c>
      <c r="K16" s="20">
        <f>'Working Capital'!$K$10</f>
        <v>0</v>
      </c>
      <c r="L16" s="20">
        <f>'Working Capital'!$L$10</f>
        <v>0</v>
      </c>
      <c r="M16" s="20">
        <f>'Working Capital'!$M$10</f>
        <v>0</v>
      </c>
      <c r="N16" s="20">
        <f>'Working Capital'!$N$10</f>
        <v>0</v>
      </c>
      <c r="O16" s="20">
        <f>'Working Capital'!$O$10</f>
        <v>0</v>
      </c>
      <c r="P16" s="20">
        <f>'Working Capital'!$P$10</f>
        <v>0</v>
      </c>
      <c r="Q16" s="20">
        <f>'Working Capital'!$Q$10</f>
        <v>0</v>
      </c>
      <c r="R16" s="20">
        <f>'Working Capital'!$R$10</f>
        <v>0</v>
      </c>
      <c r="S16" s="20">
        <f>'Working Capital'!$S$10</f>
        <v>0</v>
      </c>
      <c r="T16" s="20">
        <f>'Working Capital'!$T$10</f>
        <v>0</v>
      </c>
      <c r="U16" s="20">
        <f>'Working Capital'!$U$10</f>
        <v>0</v>
      </c>
      <c r="V16" s="20">
        <f>'Working Capital'!$V$10</f>
        <v>0</v>
      </c>
      <c r="W16" s="20">
        <f>'Working Capital'!$W$10</f>
        <v>0</v>
      </c>
      <c r="X16" s="20">
        <f>'Working Capital'!$X$10</f>
        <v>0</v>
      </c>
      <c r="Y16" s="20">
        <f>'Working Capital'!$Y$10</f>
        <v>0</v>
      </c>
      <c r="Z16" s="20">
        <f>'Working Capital'!$Z$10</f>
        <v>0</v>
      </c>
      <c r="AA16" s="20">
        <f>'Working Capital'!$AA$10</f>
        <v>0</v>
      </c>
      <c r="AB16" s="20">
        <f>'Working Capital'!$AB$10</f>
        <v>0</v>
      </c>
      <c r="AC16" s="20">
        <f>'Working Capital'!$AC$10</f>
        <v>0</v>
      </c>
      <c r="AD16" s="20">
        <f>'Working Capital'!$AD$10</f>
        <v>0</v>
      </c>
      <c r="AE16" s="20">
        <f>'Working Capital'!$AE$10</f>
        <v>0</v>
      </c>
      <c r="AF16" s="20">
        <f>'Working Capital'!$AF$10</f>
        <v>0</v>
      </c>
      <c r="AG16" s="20">
        <f>'Working Capital'!$AG$10</f>
        <v>0</v>
      </c>
      <c r="AH16" s="20">
        <f>'Working Capital'!$AH$10</f>
        <v>0</v>
      </c>
      <c r="AI16" s="20">
        <f>'Working Capital'!$AI$10</f>
        <v>0</v>
      </c>
      <c r="AJ16" s="20">
        <f>'Working Capital'!$AJ$10</f>
        <v>0</v>
      </c>
      <c r="AK16" s="20">
        <f>'Working Capital'!$AK$10</f>
        <v>0</v>
      </c>
      <c r="AL16" s="20">
        <f>'Working Capital'!$AL$10</f>
        <v>0</v>
      </c>
      <c r="AN16" s="20">
        <f>E16</f>
        <v>0</v>
      </c>
      <c r="AO16" s="20">
        <f>H16</f>
        <v>0</v>
      </c>
      <c r="AP16" s="20">
        <f>K16</f>
        <v>0</v>
      </c>
      <c r="AQ16" s="20">
        <f>N16</f>
        <v>0</v>
      </c>
      <c r="AR16" s="20">
        <f>Q16</f>
        <v>0</v>
      </c>
      <c r="AS16" s="20">
        <f>T16</f>
        <v>0</v>
      </c>
      <c r="AT16" s="20">
        <f>W16</f>
        <v>0</v>
      </c>
      <c r="AU16" s="20">
        <f>Z16</f>
        <v>0</v>
      </c>
      <c r="AV16" s="20">
        <f>AC16</f>
        <v>0</v>
      </c>
      <c r="AW16" s="20">
        <f>AF16</f>
        <v>0</v>
      </c>
      <c r="AX16" s="20">
        <f>AI16</f>
        <v>0</v>
      </c>
      <c r="AY16" s="20">
        <f>AL16</f>
        <v>0</v>
      </c>
      <c r="BA16" s="20">
        <f>N16</f>
        <v>0</v>
      </c>
      <c r="BB16" s="20">
        <f>Z16</f>
        <v>0</v>
      </c>
      <c r="BC16" s="20">
        <f>AL16</f>
        <v>0</v>
      </c>
    </row>
    <row r="17" spans="1:55">
      <c r="A17" s="18" t="s">
        <v>316</v>
      </c>
      <c r="B17" s="16"/>
      <c r="C17" s="20">
        <f>'Working Capital'!$C$25</f>
        <v>0</v>
      </c>
      <c r="D17" s="20">
        <f>'Working Capital'!$D$25</f>
        <v>0</v>
      </c>
      <c r="E17" s="20">
        <f>'Working Capital'!$E$25</f>
        <v>0</v>
      </c>
      <c r="F17" s="20">
        <f>'Working Capital'!$F$25</f>
        <v>0</v>
      </c>
      <c r="G17" s="20">
        <f>'Working Capital'!$G$25</f>
        <v>0</v>
      </c>
      <c r="H17" s="20">
        <f>'Working Capital'!$H$25</f>
        <v>0</v>
      </c>
      <c r="I17" s="20">
        <f>'Working Capital'!$I$25</f>
        <v>0</v>
      </c>
      <c r="J17" s="20">
        <f>'Working Capital'!$J$25</f>
        <v>0</v>
      </c>
      <c r="K17" s="20">
        <f>'Working Capital'!$K$25</f>
        <v>0</v>
      </c>
      <c r="L17" s="20">
        <f>'Working Capital'!$L$25</f>
        <v>0</v>
      </c>
      <c r="M17" s="20">
        <f>'Working Capital'!$M$25</f>
        <v>0</v>
      </c>
      <c r="N17" s="20">
        <f>'Working Capital'!$N$25</f>
        <v>0</v>
      </c>
      <c r="O17" s="20">
        <f>'Working Capital'!$O$25</f>
        <v>0</v>
      </c>
      <c r="P17" s="20">
        <f>'Working Capital'!$P$25</f>
        <v>0</v>
      </c>
      <c r="Q17" s="20">
        <f>'Working Capital'!$Q$25</f>
        <v>0</v>
      </c>
      <c r="R17" s="20">
        <f>'Working Capital'!$R$25</f>
        <v>0</v>
      </c>
      <c r="S17" s="20">
        <f>'Working Capital'!$S$25</f>
        <v>0</v>
      </c>
      <c r="T17" s="20">
        <f>'Working Capital'!$T$25</f>
        <v>0</v>
      </c>
      <c r="U17" s="20">
        <f>'Working Capital'!$U$25</f>
        <v>0</v>
      </c>
      <c r="V17" s="20">
        <f>'Working Capital'!$V$25</f>
        <v>0</v>
      </c>
      <c r="W17" s="20">
        <f>'Working Capital'!$W$25</f>
        <v>0</v>
      </c>
      <c r="X17" s="20">
        <f>'Working Capital'!$X$25</f>
        <v>0</v>
      </c>
      <c r="Y17" s="20">
        <f>'Working Capital'!$Y$25</f>
        <v>0</v>
      </c>
      <c r="Z17" s="20">
        <f>'Working Capital'!$Z$25</f>
        <v>0</v>
      </c>
      <c r="AA17" s="20">
        <f>'Working Capital'!$AA$25</f>
        <v>0</v>
      </c>
      <c r="AB17" s="20">
        <f>'Working Capital'!$AB$25</f>
        <v>0</v>
      </c>
      <c r="AC17" s="20">
        <f>'Working Capital'!$AC$25</f>
        <v>0</v>
      </c>
      <c r="AD17" s="20">
        <f>'Working Capital'!$AD$25</f>
        <v>0</v>
      </c>
      <c r="AE17" s="20">
        <f>'Working Capital'!$AE$25</f>
        <v>0</v>
      </c>
      <c r="AF17" s="20">
        <f>'Working Capital'!$AF$25</f>
        <v>0</v>
      </c>
      <c r="AG17" s="20">
        <f>'Working Capital'!$AG$25</f>
        <v>0</v>
      </c>
      <c r="AH17" s="20">
        <f>'Working Capital'!$AH$25</f>
        <v>0</v>
      </c>
      <c r="AI17" s="20">
        <f>'Working Capital'!$AI$25</f>
        <v>0</v>
      </c>
      <c r="AJ17" s="20">
        <f>'Working Capital'!$AJ$25</f>
        <v>0</v>
      </c>
      <c r="AK17" s="20">
        <f>'Working Capital'!$AK$25</f>
        <v>0</v>
      </c>
      <c r="AL17" s="20">
        <f>'Working Capital'!$AL$25</f>
        <v>0</v>
      </c>
      <c r="AN17" s="20">
        <f>E17</f>
        <v>0</v>
      </c>
      <c r="AO17" s="20">
        <f>H17</f>
        <v>0</v>
      </c>
      <c r="AP17" s="20">
        <f>K17</f>
        <v>0</v>
      </c>
      <c r="AQ17" s="20">
        <f>N17</f>
        <v>0</v>
      </c>
      <c r="AR17" s="20">
        <f>Q17</f>
        <v>0</v>
      </c>
      <c r="AS17" s="20">
        <f>T17</f>
        <v>0</v>
      </c>
      <c r="AT17" s="20">
        <f>W17</f>
        <v>0</v>
      </c>
      <c r="AU17" s="20">
        <f>Z17</f>
        <v>0</v>
      </c>
      <c r="AV17" s="20">
        <f>AC17</f>
        <v>0</v>
      </c>
      <c r="AW17" s="20">
        <f>AF17</f>
        <v>0</v>
      </c>
      <c r="AX17" s="20">
        <f>AI17</f>
        <v>0</v>
      </c>
      <c r="AY17" s="20">
        <f>AL17</f>
        <v>0</v>
      </c>
      <c r="BA17" s="20">
        <f>N17</f>
        <v>0</v>
      </c>
      <c r="BB17" s="20">
        <f>Z17</f>
        <v>0</v>
      </c>
      <c r="BC17" s="20">
        <f>AL17</f>
        <v>0</v>
      </c>
    </row>
    <row r="18" spans="1:55">
      <c r="A18" s="28" t="s">
        <v>317</v>
      </c>
      <c r="B18" s="16"/>
      <c r="C18" s="29">
        <f>C15+C16+C17</f>
        <v>0</v>
      </c>
      <c r="D18" s="29">
        <f>D15+D16+D17</f>
        <v>0</v>
      </c>
      <c r="E18" s="29">
        <f>E15+E16+E17</f>
        <v>0</v>
      </c>
      <c r="F18" s="29">
        <f>F15+F16+F17</f>
        <v>0</v>
      </c>
      <c r="G18" s="29">
        <f>G15+G16+G17</f>
        <v>0</v>
      </c>
      <c r="H18" s="29">
        <f>H15+H16+H17</f>
        <v>0</v>
      </c>
      <c r="I18" s="29">
        <f>I15+I16+I17</f>
        <v>0</v>
      </c>
      <c r="J18" s="29">
        <f>J15+J16+J17</f>
        <v>0</v>
      </c>
      <c r="K18" s="29">
        <f>K15+K16+K17</f>
        <v>0</v>
      </c>
      <c r="L18" s="29">
        <f>L15+L16+L17</f>
        <v>0</v>
      </c>
      <c r="M18" s="29">
        <f>M15+M16+M17</f>
        <v>0</v>
      </c>
      <c r="N18" s="29">
        <f>N15+N16+N17</f>
        <v>0</v>
      </c>
      <c r="O18" s="29">
        <f>O15+O16+O17</f>
        <v>0</v>
      </c>
      <c r="P18" s="29">
        <f>P15+P16+P17</f>
        <v>0</v>
      </c>
      <c r="Q18" s="29">
        <f>Q15+Q16+Q17</f>
        <v>0</v>
      </c>
      <c r="R18" s="29">
        <f>R15+R16+R17</f>
        <v>0</v>
      </c>
      <c r="S18" s="29">
        <f>S15+S16+S17</f>
        <v>0</v>
      </c>
      <c r="T18" s="29">
        <f>T15+T16+T17</f>
        <v>0</v>
      </c>
      <c r="U18" s="29">
        <f>U15+U16+U17</f>
        <v>0</v>
      </c>
      <c r="V18" s="29">
        <f>V15+V16+V17</f>
        <v>0</v>
      </c>
      <c r="W18" s="29">
        <f>W15+W16+W17</f>
        <v>0</v>
      </c>
      <c r="X18" s="29">
        <f>X15+X16+X17</f>
        <v>0</v>
      </c>
      <c r="Y18" s="29">
        <f>Y15+Y16+Y17</f>
        <v>0</v>
      </c>
      <c r="Z18" s="29">
        <f>Z15+Z16+Z17</f>
        <v>0</v>
      </c>
      <c r="AA18" s="29">
        <f>AA15+AA16+AA17</f>
        <v>0</v>
      </c>
      <c r="AB18" s="29">
        <f>AB15+AB16+AB17</f>
        <v>0</v>
      </c>
      <c r="AC18" s="29">
        <f>AC15+AC16+AC17</f>
        <v>0</v>
      </c>
      <c r="AD18" s="29">
        <f>AD15+AD16+AD17</f>
        <v>0</v>
      </c>
      <c r="AE18" s="29">
        <f>AE15+AE16+AE17</f>
        <v>0</v>
      </c>
      <c r="AF18" s="29">
        <f>AF15+AF16+AF17</f>
        <v>0</v>
      </c>
      <c r="AG18" s="29">
        <f>AG15+AG16+AG17</f>
        <v>0</v>
      </c>
      <c r="AH18" s="29">
        <f>AH15+AH16+AH17</f>
        <v>0</v>
      </c>
      <c r="AI18" s="29">
        <f>AI15+AI16+AI17</f>
        <v>0</v>
      </c>
      <c r="AJ18" s="29">
        <f>AJ15+AJ16+AJ17</f>
        <v>0</v>
      </c>
      <c r="AK18" s="29">
        <f>AK15+AK16+AK17</f>
        <v>0</v>
      </c>
      <c r="AL18" s="29">
        <f>AL15+AL16+AL17</f>
        <v>0</v>
      </c>
      <c r="AN18" s="29">
        <f>E18</f>
        <v>0</v>
      </c>
      <c r="AO18" s="29">
        <f>H18</f>
        <v>0</v>
      </c>
      <c r="AP18" s="29">
        <f>K18</f>
        <v>0</v>
      </c>
      <c r="AQ18" s="29">
        <f>N18</f>
        <v>0</v>
      </c>
      <c r="AR18" s="29">
        <f>Q18</f>
        <v>0</v>
      </c>
      <c r="AS18" s="29">
        <f>T18</f>
        <v>0</v>
      </c>
      <c r="AT18" s="29">
        <f>W18</f>
        <v>0</v>
      </c>
      <c r="AU18" s="29">
        <f>Z18</f>
        <v>0</v>
      </c>
      <c r="AV18" s="29">
        <f>AC18</f>
        <v>0</v>
      </c>
      <c r="AW18" s="29">
        <f>AF18</f>
        <v>0</v>
      </c>
      <c r="AX18" s="29">
        <f>AI18</f>
        <v>0</v>
      </c>
      <c r="AY18" s="29">
        <f>AL18</f>
        <v>0</v>
      </c>
      <c r="BA18" s="29">
        <f>N18</f>
        <v>0</v>
      </c>
      <c r="BB18" s="29">
        <f>Z18</f>
        <v>0</v>
      </c>
      <c r="BC18" s="29">
        <f>AL18</f>
        <v>0</v>
      </c>
    </row>
    <row r="19" spans="1:55" ht="5" customHeight="1"/>
    <row r="20" spans="1:55" ht="16" customHeight="1">
      <c r="A20" s="14" t="s">
        <v>318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</row>
    <row r="21" spans="1:55">
      <c r="A21" s="18" t="s">
        <v>319</v>
      </c>
      <c r="B21" s="16" t="s">
        <v>320</v>
      </c>
      <c r="C21" s="20">
        <f>'Assumptions'!$F$9+'Working Capital'!C30</f>
        <v>0</v>
      </c>
      <c r="D21" s="20">
        <f>'Assumptions'!$F$9+'Working Capital'!D30</f>
        <v>0</v>
      </c>
      <c r="E21" s="20">
        <f>'Assumptions'!$F$9+'Working Capital'!E30</f>
        <v>0</v>
      </c>
      <c r="F21" s="20">
        <f>'Assumptions'!$F$9+'Working Capital'!F30</f>
        <v>0</v>
      </c>
      <c r="G21" s="20">
        <f>'Assumptions'!$F$9+'Working Capital'!G30</f>
        <v>0</v>
      </c>
      <c r="H21" s="20">
        <f>'Assumptions'!$F$9+'Working Capital'!H30</f>
        <v>0</v>
      </c>
      <c r="I21" s="20">
        <f>'Assumptions'!$F$9+'Working Capital'!I30</f>
        <v>0</v>
      </c>
      <c r="J21" s="20">
        <f>'Assumptions'!$F$9+'Working Capital'!J30</f>
        <v>0</v>
      </c>
      <c r="K21" s="20">
        <f>'Assumptions'!$F$9+'Working Capital'!K30</f>
        <v>0</v>
      </c>
      <c r="L21" s="20">
        <f>'Assumptions'!$F$9+'Working Capital'!L30</f>
        <v>0</v>
      </c>
      <c r="M21" s="20">
        <f>'Assumptions'!$F$9+'Working Capital'!M30</f>
        <v>0</v>
      </c>
      <c r="N21" s="20">
        <f>'Assumptions'!$F$9+'Working Capital'!N30</f>
        <v>0</v>
      </c>
      <c r="O21" s="20">
        <f>'Assumptions'!$F$9+'Working Capital'!O30</f>
        <v>0</v>
      </c>
      <c r="P21" s="20">
        <f>'Assumptions'!$F$9+'Working Capital'!P30</f>
        <v>0</v>
      </c>
      <c r="Q21" s="20">
        <f>'Assumptions'!$F$9+'Working Capital'!Q30</f>
        <v>0</v>
      </c>
      <c r="R21" s="20">
        <f>'Assumptions'!$F$9+'Working Capital'!R30</f>
        <v>0</v>
      </c>
      <c r="S21" s="20">
        <f>'Assumptions'!$F$9+'Working Capital'!S30</f>
        <v>0</v>
      </c>
      <c r="T21" s="20">
        <f>'Assumptions'!$F$9+'Working Capital'!T30</f>
        <v>0</v>
      </c>
      <c r="U21" s="20">
        <f>'Assumptions'!$F$9+'Working Capital'!U30</f>
        <v>0</v>
      </c>
      <c r="V21" s="20">
        <f>'Assumptions'!$F$9+'Working Capital'!V30</f>
        <v>0</v>
      </c>
      <c r="W21" s="20">
        <f>'Assumptions'!$F$9+'Working Capital'!W30</f>
        <v>0</v>
      </c>
      <c r="X21" s="20">
        <f>'Assumptions'!$F$9+'Working Capital'!X30</f>
        <v>0</v>
      </c>
      <c r="Y21" s="20">
        <f>'Assumptions'!$F$9+'Working Capital'!Y30</f>
        <v>0</v>
      </c>
      <c r="Z21" s="20">
        <f>'Assumptions'!$F$9+'Working Capital'!Z30</f>
        <v>0</v>
      </c>
      <c r="AA21" s="20">
        <f>'Assumptions'!$F$9+'Working Capital'!AA30</f>
        <v>0</v>
      </c>
      <c r="AB21" s="20">
        <f>'Assumptions'!$F$9+'Working Capital'!AB30</f>
        <v>0</v>
      </c>
      <c r="AC21" s="20">
        <f>'Assumptions'!$F$9+'Working Capital'!AC30</f>
        <v>0</v>
      </c>
      <c r="AD21" s="20">
        <f>'Assumptions'!$F$9+'Working Capital'!AD30</f>
        <v>0</v>
      </c>
      <c r="AE21" s="20">
        <f>'Assumptions'!$F$9+'Working Capital'!AE30</f>
        <v>0</v>
      </c>
      <c r="AF21" s="20">
        <f>'Assumptions'!$F$9+'Working Capital'!AF30</f>
        <v>0</v>
      </c>
      <c r="AG21" s="20">
        <f>'Assumptions'!$F$9+'Working Capital'!AG30</f>
        <v>0</v>
      </c>
      <c r="AH21" s="20">
        <f>'Assumptions'!$F$9+'Working Capital'!AH30</f>
        <v>0</v>
      </c>
      <c r="AI21" s="20">
        <f>'Assumptions'!$F$9+'Working Capital'!AI30</f>
        <v>0</v>
      </c>
      <c r="AJ21" s="20">
        <f>'Assumptions'!$F$9+'Working Capital'!AJ30</f>
        <v>0</v>
      </c>
      <c r="AK21" s="20">
        <f>'Assumptions'!$F$9+'Working Capital'!AK30</f>
        <v>0</v>
      </c>
      <c r="AL21" s="20">
        <f>'Assumptions'!$F$9+'Working Capital'!AL30</f>
        <v>0</v>
      </c>
      <c r="AN21" s="20">
        <f>E21</f>
        <v>0</v>
      </c>
      <c r="AO21" s="20">
        <f>H21</f>
        <v>0</v>
      </c>
      <c r="AP21" s="20">
        <f>K21</f>
        <v>0</v>
      </c>
      <c r="AQ21" s="20">
        <f>N21</f>
        <v>0</v>
      </c>
      <c r="AR21" s="20">
        <f>Q21</f>
        <v>0</v>
      </c>
      <c r="AS21" s="20">
        <f>T21</f>
        <v>0</v>
      </c>
      <c r="AT21" s="20">
        <f>W21</f>
        <v>0</v>
      </c>
      <c r="AU21" s="20">
        <f>Z21</f>
        <v>0</v>
      </c>
      <c r="AV21" s="20">
        <f>AC21</f>
        <v>0</v>
      </c>
      <c r="AW21" s="20">
        <f>AF21</f>
        <v>0</v>
      </c>
      <c r="AX21" s="20">
        <f>AI21</f>
        <v>0</v>
      </c>
      <c r="AY21" s="20">
        <f>AL21</f>
        <v>0</v>
      </c>
      <c r="BA21" s="20">
        <f>N21</f>
        <v>0</v>
      </c>
      <c r="BB21" s="20">
        <f>Z21</f>
        <v>0</v>
      </c>
      <c r="BC21" s="20">
        <f>AL21</f>
        <v>0</v>
      </c>
    </row>
    <row r="22" spans="1:55">
      <c r="A22" s="18" t="s">
        <v>321</v>
      </c>
      <c r="B22" s="16" t="s">
        <v>322</v>
      </c>
      <c r="C22" s="20">
        <f>('Assumptions'!$F$8-'Assumptions'!$F$9)+'P&amp;L'!C24</f>
        <v>0</v>
      </c>
      <c r="D22" s="20">
        <f>C22+'P&amp;L'!D24</f>
        <v>0</v>
      </c>
      <c r="E22" s="20">
        <f>D22+'P&amp;L'!E24</f>
        <v>0</v>
      </c>
      <c r="F22" s="20">
        <f>E22+'P&amp;L'!F24</f>
        <v>0</v>
      </c>
      <c r="G22" s="20">
        <f>F22+'P&amp;L'!G24</f>
        <v>0</v>
      </c>
      <c r="H22" s="20">
        <f>G22+'P&amp;L'!H24</f>
        <v>0</v>
      </c>
      <c r="I22" s="20">
        <f>H22+'P&amp;L'!I24</f>
        <v>0</v>
      </c>
      <c r="J22" s="20">
        <f>I22+'P&amp;L'!J24</f>
        <v>0</v>
      </c>
      <c r="K22" s="20">
        <f>J22+'P&amp;L'!K24</f>
        <v>0</v>
      </c>
      <c r="L22" s="20">
        <f>K22+'P&amp;L'!L24</f>
        <v>0</v>
      </c>
      <c r="M22" s="20">
        <f>L22+'P&amp;L'!M24</f>
        <v>0</v>
      </c>
      <c r="N22" s="20">
        <f>M22+'P&amp;L'!N24</f>
        <v>0</v>
      </c>
      <c r="O22" s="20">
        <f>N22+'P&amp;L'!O24</f>
        <v>0</v>
      </c>
      <c r="P22" s="20">
        <f>O22+'P&amp;L'!P24</f>
        <v>0</v>
      </c>
      <c r="Q22" s="20">
        <f>P22+'P&amp;L'!Q24</f>
        <v>0</v>
      </c>
      <c r="R22" s="20">
        <f>Q22+'P&amp;L'!R24</f>
        <v>0</v>
      </c>
      <c r="S22" s="20">
        <f>R22+'P&amp;L'!S24</f>
        <v>0</v>
      </c>
      <c r="T22" s="20">
        <f>S22+'P&amp;L'!T24</f>
        <v>0</v>
      </c>
      <c r="U22" s="20">
        <f>T22+'P&amp;L'!U24</f>
        <v>0</v>
      </c>
      <c r="V22" s="20">
        <f>U22+'P&amp;L'!V24</f>
        <v>0</v>
      </c>
      <c r="W22" s="20">
        <f>V22+'P&amp;L'!W24</f>
        <v>0</v>
      </c>
      <c r="X22" s="20">
        <f>W22+'P&amp;L'!X24</f>
        <v>0</v>
      </c>
      <c r="Y22" s="20">
        <f>X22+'P&amp;L'!Y24</f>
        <v>0</v>
      </c>
      <c r="Z22" s="20">
        <f>Y22+'P&amp;L'!Z24</f>
        <v>0</v>
      </c>
      <c r="AA22" s="20">
        <f>Z22+'P&amp;L'!AA24</f>
        <v>0</v>
      </c>
      <c r="AB22" s="20">
        <f>AA22+'P&amp;L'!AB24</f>
        <v>0</v>
      </c>
      <c r="AC22" s="20">
        <f>AB22+'P&amp;L'!AC24</f>
        <v>0</v>
      </c>
      <c r="AD22" s="20">
        <f>AC22+'P&amp;L'!AD24</f>
        <v>0</v>
      </c>
      <c r="AE22" s="20">
        <f>AD22+'P&amp;L'!AE24</f>
        <v>0</v>
      </c>
      <c r="AF22" s="20">
        <f>AE22+'P&amp;L'!AF24</f>
        <v>0</v>
      </c>
      <c r="AG22" s="20">
        <f>AF22+'P&amp;L'!AG24</f>
        <v>0</v>
      </c>
      <c r="AH22" s="20">
        <f>AG22+'P&amp;L'!AH24</f>
        <v>0</v>
      </c>
      <c r="AI22" s="20">
        <f>AH22+'P&amp;L'!AI24</f>
        <v>0</v>
      </c>
      <c r="AJ22" s="20">
        <f>AI22+'P&amp;L'!AJ24</f>
        <v>0</v>
      </c>
      <c r="AK22" s="20">
        <f>AJ22+'P&amp;L'!AK24</f>
        <v>0</v>
      </c>
      <c r="AL22" s="20">
        <f>AK22+'P&amp;L'!AL24</f>
        <v>0</v>
      </c>
      <c r="AN22" s="20">
        <f>E22</f>
        <v>0</v>
      </c>
      <c r="AO22" s="20">
        <f>H22</f>
        <v>0</v>
      </c>
      <c r="AP22" s="20">
        <f>K22</f>
        <v>0</v>
      </c>
      <c r="AQ22" s="20">
        <f>N22</f>
        <v>0</v>
      </c>
      <c r="AR22" s="20">
        <f>Q22</f>
        <v>0</v>
      </c>
      <c r="AS22" s="20">
        <f>T22</f>
        <v>0</v>
      </c>
      <c r="AT22" s="20">
        <f>W22</f>
        <v>0</v>
      </c>
      <c r="AU22" s="20">
        <f>Z22</f>
        <v>0</v>
      </c>
      <c r="AV22" s="20">
        <f>AC22</f>
        <v>0</v>
      </c>
      <c r="AW22" s="20">
        <f>AF22</f>
        <v>0</v>
      </c>
      <c r="AX22" s="20">
        <f>AI22</f>
        <v>0</v>
      </c>
      <c r="AY22" s="20">
        <f>AL22</f>
        <v>0</v>
      </c>
      <c r="BA22" s="20">
        <f>N22</f>
        <v>0</v>
      </c>
      <c r="BB22" s="20">
        <f>Z22</f>
        <v>0</v>
      </c>
      <c r="BC22" s="20">
        <f>AL22</f>
        <v>0</v>
      </c>
    </row>
    <row r="23" spans="1:55">
      <c r="A23" s="28" t="s">
        <v>323</v>
      </c>
      <c r="B23" s="16"/>
      <c r="C23" s="29">
        <f>C21+C22</f>
        <v>0</v>
      </c>
      <c r="D23" s="29">
        <f>D21+D22</f>
        <v>0</v>
      </c>
      <c r="E23" s="29">
        <f>E21+E22</f>
        <v>0</v>
      </c>
      <c r="F23" s="29">
        <f>F21+F22</f>
        <v>0</v>
      </c>
      <c r="G23" s="29">
        <f>G21+G22</f>
        <v>0</v>
      </c>
      <c r="H23" s="29">
        <f>H21+H22</f>
        <v>0</v>
      </c>
      <c r="I23" s="29">
        <f>I21+I22</f>
        <v>0</v>
      </c>
      <c r="J23" s="29">
        <f>J21+J22</f>
        <v>0</v>
      </c>
      <c r="K23" s="29">
        <f>K21+K22</f>
        <v>0</v>
      </c>
      <c r="L23" s="29">
        <f>L21+L22</f>
        <v>0</v>
      </c>
      <c r="M23" s="29">
        <f>M21+M22</f>
        <v>0</v>
      </c>
      <c r="N23" s="29">
        <f>N21+N22</f>
        <v>0</v>
      </c>
      <c r="O23" s="29">
        <f>O21+O22</f>
        <v>0</v>
      </c>
      <c r="P23" s="29">
        <f>P21+P22</f>
        <v>0</v>
      </c>
      <c r="Q23" s="29">
        <f>Q21+Q22</f>
        <v>0</v>
      </c>
      <c r="R23" s="29">
        <f>R21+R22</f>
        <v>0</v>
      </c>
      <c r="S23" s="29">
        <f>S21+S22</f>
        <v>0</v>
      </c>
      <c r="T23" s="29">
        <f>T21+T22</f>
        <v>0</v>
      </c>
      <c r="U23" s="29">
        <f>U21+U22</f>
        <v>0</v>
      </c>
      <c r="V23" s="29">
        <f>V21+V22</f>
        <v>0</v>
      </c>
      <c r="W23" s="29">
        <f>W21+W22</f>
        <v>0</v>
      </c>
      <c r="X23" s="29">
        <f>X21+X22</f>
        <v>0</v>
      </c>
      <c r="Y23" s="29">
        <f>Y21+Y22</f>
        <v>0</v>
      </c>
      <c r="Z23" s="29">
        <f>Z21+Z22</f>
        <v>0</v>
      </c>
      <c r="AA23" s="29">
        <f>AA21+AA22</f>
        <v>0</v>
      </c>
      <c r="AB23" s="29">
        <f>AB21+AB22</f>
        <v>0</v>
      </c>
      <c r="AC23" s="29">
        <f>AC21+AC22</f>
        <v>0</v>
      </c>
      <c r="AD23" s="29">
        <f>AD21+AD22</f>
        <v>0</v>
      </c>
      <c r="AE23" s="29">
        <f>AE21+AE22</f>
        <v>0</v>
      </c>
      <c r="AF23" s="29">
        <f>AF21+AF22</f>
        <v>0</v>
      </c>
      <c r="AG23" s="29">
        <f>AG21+AG22</f>
        <v>0</v>
      </c>
      <c r="AH23" s="29">
        <f>AH21+AH22</f>
        <v>0</v>
      </c>
      <c r="AI23" s="29">
        <f>AI21+AI22</f>
        <v>0</v>
      </c>
      <c r="AJ23" s="29">
        <f>AJ21+AJ22</f>
        <v>0</v>
      </c>
      <c r="AK23" s="29">
        <f>AK21+AK22</f>
        <v>0</v>
      </c>
      <c r="AL23" s="29">
        <f>AL21+AL22</f>
        <v>0</v>
      </c>
      <c r="AN23" s="29">
        <f>E23</f>
        <v>0</v>
      </c>
      <c r="AO23" s="29">
        <f>H23</f>
        <v>0</v>
      </c>
      <c r="AP23" s="29">
        <f>K23</f>
        <v>0</v>
      </c>
      <c r="AQ23" s="29">
        <f>N23</f>
        <v>0</v>
      </c>
      <c r="AR23" s="29">
        <f>Q23</f>
        <v>0</v>
      </c>
      <c r="AS23" s="29">
        <f>T23</f>
        <v>0</v>
      </c>
      <c r="AT23" s="29">
        <f>W23</f>
        <v>0</v>
      </c>
      <c r="AU23" s="29">
        <f>Z23</f>
        <v>0</v>
      </c>
      <c r="AV23" s="29">
        <f>AC23</f>
        <v>0</v>
      </c>
      <c r="AW23" s="29">
        <f>AF23</f>
        <v>0</v>
      </c>
      <c r="AX23" s="29">
        <f>AI23</f>
        <v>0</v>
      </c>
      <c r="AY23" s="29">
        <f>AL23</f>
        <v>0</v>
      </c>
      <c r="BA23" s="29">
        <f>N23</f>
        <v>0</v>
      </c>
      <c r="BB23" s="29">
        <f>Z23</f>
        <v>0</v>
      </c>
      <c r="BC23" s="29">
        <f>AL23</f>
        <v>0</v>
      </c>
    </row>
    <row r="24" spans="1:55">
      <c r="A24" s="31" t="s">
        <v>324</v>
      </c>
      <c r="B24" s="16"/>
      <c r="C24" s="32">
        <f>C18+C23</f>
        <v>0</v>
      </c>
      <c r="D24" s="32">
        <f>D18+D23</f>
        <v>0</v>
      </c>
      <c r="E24" s="32">
        <f>E18+E23</f>
        <v>0</v>
      </c>
      <c r="F24" s="32">
        <f>F18+F23</f>
        <v>0</v>
      </c>
      <c r="G24" s="32">
        <f>G18+G23</f>
        <v>0</v>
      </c>
      <c r="H24" s="32">
        <f>H18+H23</f>
        <v>0</v>
      </c>
      <c r="I24" s="32">
        <f>I18+I23</f>
        <v>0</v>
      </c>
      <c r="J24" s="32">
        <f>J18+J23</f>
        <v>0</v>
      </c>
      <c r="K24" s="32">
        <f>K18+K23</f>
        <v>0</v>
      </c>
      <c r="L24" s="32">
        <f>L18+L23</f>
        <v>0</v>
      </c>
      <c r="M24" s="32">
        <f>M18+M23</f>
        <v>0</v>
      </c>
      <c r="N24" s="32">
        <f>N18+N23</f>
        <v>0</v>
      </c>
      <c r="O24" s="32">
        <f>O18+O23</f>
        <v>0</v>
      </c>
      <c r="P24" s="32">
        <f>P18+P23</f>
        <v>0</v>
      </c>
      <c r="Q24" s="32">
        <f>Q18+Q23</f>
        <v>0</v>
      </c>
      <c r="R24" s="32">
        <f>R18+R23</f>
        <v>0</v>
      </c>
      <c r="S24" s="32">
        <f>S18+S23</f>
        <v>0</v>
      </c>
      <c r="T24" s="32">
        <f>T18+T23</f>
        <v>0</v>
      </c>
      <c r="U24" s="32">
        <f>U18+U23</f>
        <v>0</v>
      </c>
      <c r="V24" s="32">
        <f>V18+V23</f>
        <v>0</v>
      </c>
      <c r="W24" s="32">
        <f>W18+W23</f>
        <v>0</v>
      </c>
      <c r="X24" s="32">
        <f>X18+X23</f>
        <v>0</v>
      </c>
      <c r="Y24" s="32">
        <f>Y18+Y23</f>
        <v>0</v>
      </c>
      <c r="Z24" s="32">
        <f>Z18+Z23</f>
        <v>0</v>
      </c>
      <c r="AA24" s="32">
        <f>AA18+AA23</f>
        <v>0</v>
      </c>
      <c r="AB24" s="32">
        <f>AB18+AB23</f>
        <v>0</v>
      </c>
      <c r="AC24" s="32">
        <f>AC18+AC23</f>
        <v>0</v>
      </c>
      <c r="AD24" s="32">
        <f>AD18+AD23</f>
        <v>0</v>
      </c>
      <c r="AE24" s="32">
        <f>AE18+AE23</f>
        <v>0</v>
      </c>
      <c r="AF24" s="32">
        <f>AF18+AF23</f>
        <v>0</v>
      </c>
      <c r="AG24" s="32">
        <f>AG18+AG23</f>
        <v>0</v>
      </c>
      <c r="AH24" s="32">
        <f>AH18+AH23</f>
        <v>0</v>
      </c>
      <c r="AI24" s="32">
        <f>AI18+AI23</f>
        <v>0</v>
      </c>
      <c r="AJ24" s="32">
        <f>AJ18+AJ23</f>
        <v>0</v>
      </c>
      <c r="AK24" s="32">
        <f>AK18+AK23</f>
        <v>0</v>
      </c>
      <c r="AL24" s="32">
        <f>AL18+AL23</f>
        <v>0</v>
      </c>
      <c r="AN24" s="32">
        <f>E24</f>
        <v>0</v>
      </c>
      <c r="AO24" s="32">
        <f>H24</f>
        <v>0</v>
      </c>
      <c r="AP24" s="32">
        <f>K24</f>
        <v>0</v>
      </c>
      <c r="AQ24" s="32">
        <f>N24</f>
        <v>0</v>
      </c>
      <c r="AR24" s="32">
        <f>Q24</f>
        <v>0</v>
      </c>
      <c r="AS24" s="32">
        <f>T24</f>
        <v>0</v>
      </c>
      <c r="AT24" s="32">
        <f>W24</f>
        <v>0</v>
      </c>
      <c r="AU24" s="32">
        <f>Z24</f>
        <v>0</v>
      </c>
      <c r="AV24" s="32">
        <f>AC24</f>
        <v>0</v>
      </c>
      <c r="AW24" s="32">
        <f>AF24</f>
        <v>0</v>
      </c>
      <c r="AX24" s="32">
        <f>AI24</f>
        <v>0</v>
      </c>
      <c r="AY24" s="32">
        <f>AL24</f>
        <v>0</v>
      </c>
      <c r="BA24" s="32">
        <f>N24</f>
        <v>0</v>
      </c>
      <c r="BB24" s="32">
        <f>Z24</f>
        <v>0</v>
      </c>
      <c r="BC24" s="32">
        <f>AL24</f>
        <v>0</v>
      </c>
    </row>
    <row r="25" spans="1:55" ht="5" customHeight="1"/>
    <row r="26" spans="1:55">
      <c r="A26" s="18" t="s">
        <v>325</v>
      </c>
      <c r="B26" s="16" t="s">
        <v>326</v>
      </c>
      <c r="C26" s="30">
        <f>C12-C24</f>
        <v>0</v>
      </c>
      <c r="D26" s="30">
        <f>D12-D24</f>
        <v>0</v>
      </c>
      <c r="E26" s="30">
        <f>E12-E24</f>
        <v>0</v>
      </c>
      <c r="F26" s="30">
        <f>F12-F24</f>
        <v>0</v>
      </c>
      <c r="G26" s="30">
        <f>G12-G24</f>
        <v>0</v>
      </c>
      <c r="H26" s="30">
        <f>H12-H24</f>
        <v>0</v>
      </c>
      <c r="I26" s="30">
        <f>I12-I24</f>
        <v>0</v>
      </c>
      <c r="J26" s="30">
        <f>J12-J24</f>
        <v>0</v>
      </c>
      <c r="K26" s="30">
        <f>K12-K24</f>
        <v>0</v>
      </c>
      <c r="L26" s="30">
        <f>L12-L24</f>
        <v>0</v>
      </c>
      <c r="M26" s="30">
        <f>M12-M24</f>
        <v>0</v>
      </c>
      <c r="N26" s="30">
        <f>N12-N24</f>
        <v>0</v>
      </c>
      <c r="O26" s="30">
        <f>O12-O24</f>
        <v>0</v>
      </c>
      <c r="P26" s="30">
        <f>P12-P24</f>
        <v>0</v>
      </c>
      <c r="Q26" s="30">
        <f>Q12-Q24</f>
        <v>0</v>
      </c>
      <c r="R26" s="30">
        <f>R12-R24</f>
        <v>0</v>
      </c>
      <c r="S26" s="30">
        <f>S12-S24</f>
        <v>0</v>
      </c>
      <c r="T26" s="30">
        <f>T12-T24</f>
        <v>0</v>
      </c>
      <c r="U26" s="30">
        <f>U12-U24</f>
        <v>0</v>
      </c>
      <c r="V26" s="30">
        <f>V12-V24</f>
        <v>0</v>
      </c>
      <c r="W26" s="30">
        <f>W12-W24</f>
        <v>0</v>
      </c>
      <c r="X26" s="30">
        <f>X12-X24</f>
        <v>0</v>
      </c>
      <c r="Y26" s="30">
        <f>Y12-Y24</f>
        <v>0</v>
      </c>
      <c r="Z26" s="30">
        <f>Z12-Z24</f>
        <v>0</v>
      </c>
      <c r="AA26" s="30">
        <f>AA12-AA24</f>
        <v>0</v>
      </c>
      <c r="AB26" s="30">
        <f>AB12-AB24</f>
        <v>0</v>
      </c>
      <c r="AC26" s="30">
        <f>AC12-AC24</f>
        <v>0</v>
      </c>
      <c r="AD26" s="30">
        <f>AD12-AD24</f>
        <v>0</v>
      </c>
      <c r="AE26" s="30">
        <f>AE12-AE24</f>
        <v>0</v>
      </c>
      <c r="AF26" s="30">
        <f>AF12-AF24</f>
        <v>0</v>
      </c>
      <c r="AG26" s="30">
        <f>AG12-AG24</f>
        <v>0</v>
      </c>
      <c r="AH26" s="30">
        <f>AH12-AH24</f>
        <v>0</v>
      </c>
      <c r="AI26" s="30">
        <f>AI12-AI24</f>
        <v>0</v>
      </c>
      <c r="AJ26" s="30">
        <f>AJ12-AJ24</f>
        <v>0</v>
      </c>
      <c r="AK26" s="30">
        <f>AK12-AK24</f>
        <v>0</v>
      </c>
      <c r="AL26" s="30">
        <f>AL12-AL24</f>
        <v>0</v>
      </c>
      <c r="AN26" s="30">
        <f>E26</f>
        <v>0</v>
      </c>
      <c r="AO26" s="30">
        <f>H26</f>
        <v>0</v>
      </c>
      <c r="AP26" s="30">
        <f>K26</f>
        <v>0</v>
      </c>
      <c r="AQ26" s="30">
        <f>N26</f>
        <v>0</v>
      </c>
      <c r="AR26" s="30">
        <f>Q26</f>
        <v>0</v>
      </c>
      <c r="AS26" s="30">
        <f>T26</f>
        <v>0</v>
      </c>
      <c r="AT26" s="30">
        <f>W26</f>
        <v>0</v>
      </c>
      <c r="AU26" s="30">
        <f>Z26</f>
        <v>0</v>
      </c>
      <c r="AV26" s="30">
        <f>AC26</f>
        <v>0</v>
      </c>
      <c r="AW26" s="30">
        <f>AF26</f>
        <v>0</v>
      </c>
      <c r="AX26" s="30">
        <f>AI26</f>
        <v>0</v>
      </c>
      <c r="AY26" s="30">
        <f>AL26</f>
        <v>0</v>
      </c>
      <c r="BA26" s="30">
        <f>N26</f>
        <v>0</v>
      </c>
      <c r="BB26" s="30">
        <f>Z26</f>
        <v>0</v>
      </c>
      <c r="BC26" s="30">
        <f>AL26</f>
        <v>0</v>
      </c>
    </row>
  </sheetData>
  <mergeCells count="8">
    <mergeCell ref="A1:BC1"/>
    <mergeCell ref="A2:BC2"/>
    <mergeCell ref="C5:AL5"/>
    <mergeCell ref="AN5:AY5"/>
    <mergeCell ref="BA5:BC5"/>
    <mergeCell ref="A7:BC7"/>
    <mergeCell ref="A14:BC14"/>
    <mergeCell ref="A20:BC20"/>
  </mergeCells>
  <pageMargins left="0.7" right="0.7" top="0.75" bottom="0.75" header="0.3" footer="0.3"/>
  <pageSetup paperSize="9" scale="55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14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327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328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130</v>
      </c>
      <c r="B5" s="14" t="s">
        <v>131</v>
      </c>
      <c r="C5" s="14" t="s">
        <v>127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128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129</v>
      </c>
      <c r="BB5" s="14"/>
      <c r="BC5" s="14"/>
    </row>
    <row r="6" spans="1:55">
      <c r="A6" s="17"/>
      <c r="B6" s="17"/>
      <c r="C6" s="26">
        <v>46023</v>
      </c>
      <c r="D6" s="26">
        <v>46054</v>
      </c>
      <c r="E6" s="26">
        <v>46082</v>
      </c>
      <c r="F6" s="26">
        <v>46113</v>
      </c>
      <c r="G6" s="26">
        <v>46143</v>
      </c>
      <c r="H6" s="26">
        <v>46174</v>
      </c>
      <c r="I6" s="26">
        <v>46204</v>
      </c>
      <c r="J6" s="26">
        <v>46235</v>
      </c>
      <c r="K6" s="26">
        <v>46266</v>
      </c>
      <c r="L6" s="26">
        <v>46296</v>
      </c>
      <c r="M6" s="26">
        <v>46327</v>
      </c>
      <c r="N6" s="26">
        <v>46357</v>
      </c>
      <c r="O6" s="26">
        <v>46388</v>
      </c>
      <c r="P6" s="26">
        <v>46419</v>
      </c>
      <c r="Q6" s="26">
        <v>46447</v>
      </c>
      <c r="R6" s="26">
        <v>46478</v>
      </c>
      <c r="S6" s="26">
        <v>46508</v>
      </c>
      <c r="T6" s="26">
        <v>46539</v>
      </c>
      <c r="U6" s="26">
        <v>46569</v>
      </c>
      <c r="V6" s="26">
        <v>46600</v>
      </c>
      <c r="W6" s="26">
        <v>46631</v>
      </c>
      <c r="X6" s="26">
        <v>46661</v>
      </c>
      <c r="Y6" s="26">
        <v>46692</v>
      </c>
      <c r="Z6" s="26">
        <v>46722</v>
      </c>
      <c r="AA6" s="26">
        <v>46753</v>
      </c>
      <c r="AB6" s="26">
        <v>46784</v>
      </c>
      <c r="AC6" s="26">
        <v>46813</v>
      </c>
      <c r="AD6" s="26">
        <v>46844</v>
      </c>
      <c r="AE6" s="26">
        <v>46874</v>
      </c>
      <c r="AF6" s="26">
        <v>46905</v>
      </c>
      <c r="AG6" s="26">
        <v>46935</v>
      </c>
      <c r="AH6" s="26">
        <v>46966</v>
      </c>
      <c r="AI6" s="26">
        <v>46997</v>
      </c>
      <c r="AJ6" s="26">
        <v>47027</v>
      </c>
      <c r="AK6" s="26">
        <v>47058</v>
      </c>
      <c r="AL6" s="26">
        <v>47088</v>
      </c>
      <c r="AN6" s="17" t="s">
        <v>132</v>
      </c>
      <c r="AO6" s="17" t="s">
        <v>133</v>
      </c>
      <c r="AP6" s="17" t="s">
        <v>134</v>
      </c>
      <c r="AQ6" s="17" t="s">
        <v>135</v>
      </c>
      <c r="AR6" s="17" t="s">
        <v>136</v>
      </c>
      <c r="AS6" s="17" t="s">
        <v>137</v>
      </c>
      <c r="AT6" s="17" t="s">
        <v>138</v>
      </c>
      <c r="AU6" s="17" t="s">
        <v>139</v>
      </c>
      <c r="AV6" s="17" t="s">
        <v>140</v>
      </c>
      <c r="AW6" s="17" t="s">
        <v>141</v>
      </c>
      <c r="AX6" s="17" t="s">
        <v>142</v>
      </c>
      <c r="AY6" s="17" t="s">
        <v>143</v>
      </c>
      <c r="BA6" s="17" t="s">
        <v>144</v>
      </c>
      <c r="BB6" s="17" t="s">
        <v>145</v>
      </c>
      <c r="BC6" s="17" t="s">
        <v>146</v>
      </c>
    </row>
    <row r="7" spans="1:55" ht="16" customHeight="1">
      <c r="A7" s="14" t="s">
        <v>329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330</v>
      </c>
      <c r="B8" s="16"/>
      <c r="C8" s="20">
        <f>'Cash Flow'!$C$28</f>
        <v>0</v>
      </c>
      <c r="D8" s="20">
        <f>'Cash Flow'!$D$28</f>
        <v>0</v>
      </c>
      <c r="E8" s="20">
        <f>'Cash Flow'!$E$28</f>
        <v>0</v>
      </c>
      <c r="F8" s="20">
        <f>'Cash Flow'!$F$28</f>
        <v>0</v>
      </c>
      <c r="G8" s="20">
        <f>'Cash Flow'!$G$28</f>
        <v>0</v>
      </c>
      <c r="H8" s="20">
        <f>'Cash Flow'!$H$28</f>
        <v>0</v>
      </c>
      <c r="I8" s="20">
        <f>'Cash Flow'!$I$28</f>
        <v>0</v>
      </c>
      <c r="J8" s="20">
        <f>'Cash Flow'!$J$28</f>
        <v>0</v>
      </c>
      <c r="K8" s="20">
        <f>'Cash Flow'!$K$28</f>
        <v>0</v>
      </c>
      <c r="L8" s="20">
        <f>'Cash Flow'!$L$28</f>
        <v>0</v>
      </c>
      <c r="M8" s="20">
        <f>'Cash Flow'!$M$28</f>
        <v>0</v>
      </c>
      <c r="N8" s="20">
        <f>'Cash Flow'!$N$28</f>
        <v>0</v>
      </c>
      <c r="O8" s="20">
        <f>'Cash Flow'!$O$28</f>
        <v>0</v>
      </c>
      <c r="P8" s="20">
        <f>'Cash Flow'!$P$28</f>
        <v>0</v>
      </c>
      <c r="Q8" s="20">
        <f>'Cash Flow'!$Q$28</f>
        <v>0</v>
      </c>
      <c r="R8" s="20">
        <f>'Cash Flow'!$R$28</f>
        <v>0</v>
      </c>
      <c r="S8" s="20">
        <f>'Cash Flow'!$S$28</f>
        <v>0</v>
      </c>
      <c r="T8" s="20">
        <f>'Cash Flow'!$T$28</f>
        <v>0</v>
      </c>
      <c r="U8" s="20">
        <f>'Cash Flow'!$U$28</f>
        <v>0</v>
      </c>
      <c r="V8" s="20">
        <f>'Cash Flow'!$V$28</f>
        <v>0</v>
      </c>
      <c r="W8" s="20">
        <f>'Cash Flow'!$W$28</f>
        <v>0</v>
      </c>
      <c r="X8" s="20">
        <f>'Cash Flow'!$X$28</f>
        <v>0</v>
      </c>
      <c r="Y8" s="20">
        <f>'Cash Flow'!$Y$28</f>
        <v>0</v>
      </c>
      <c r="Z8" s="20">
        <f>'Cash Flow'!$Z$28</f>
        <v>0</v>
      </c>
      <c r="AA8" s="20">
        <f>'Cash Flow'!$AA$28</f>
        <v>0</v>
      </c>
      <c r="AB8" s="20">
        <f>'Cash Flow'!$AB$28</f>
        <v>0</v>
      </c>
      <c r="AC8" s="20">
        <f>'Cash Flow'!$AC$28</f>
        <v>0</v>
      </c>
      <c r="AD8" s="20">
        <f>'Cash Flow'!$AD$28</f>
        <v>0</v>
      </c>
      <c r="AE8" s="20">
        <f>'Cash Flow'!$AE$28</f>
        <v>0</v>
      </c>
      <c r="AF8" s="20">
        <f>'Cash Flow'!$AF$28</f>
        <v>0</v>
      </c>
      <c r="AG8" s="20">
        <f>'Cash Flow'!$AG$28</f>
        <v>0</v>
      </c>
      <c r="AH8" s="20">
        <f>'Cash Flow'!$AH$28</f>
        <v>0</v>
      </c>
      <c r="AI8" s="20">
        <f>'Cash Flow'!$AI$28</f>
        <v>0</v>
      </c>
      <c r="AJ8" s="20">
        <f>'Cash Flow'!$AJ$28</f>
        <v>0</v>
      </c>
      <c r="AK8" s="20">
        <f>'Cash Flow'!$AK$28</f>
        <v>0</v>
      </c>
      <c r="AL8" s="20">
        <f>'Cash Flow'!$AL$28</f>
        <v>0</v>
      </c>
      <c r="AN8" s="20">
        <f>E8</f>
        <v>0</v>
      </c>
      <c r="AO8" s="20">
        <f>H8</f>
        <v>0</v>
      </c>
      <c r="AP8" s="20">
        <f>K8</f>
        <v>0</v>
      </c>
      <c r="AQ8" s="20">
        <f>N8</f>
        <v>0</v>
      </c>
      <c r="AR8" s="20">
        <f>Q8</f>
        <v>0</v>
      </c>
      <c r="AS8" s="20">
        <f>T8</f>
        <v>0</v>
      </c>
      <c r="AT8" s="20">
        <f>W8</f>
        <v>0</v>
      </c>
      <c r="AU8" s="20">
        <f>Z8</f>
        <v>0</v>
      </c>
      <c r="AV8" s="20">
        <f>AC8</f>
        <v>0</v>
      </c>
      <c r="AW8" s="20">
        <f>AF8</f>
        <v>0</v>
      </c>
      <c r="AX8" s="20">
        <f>AI8</f>
        <v>0</v>
      </c>
      <c r="AY8" s="20">
        <f>AL8</f>
        <v>0</v>
      </c>
      <c r="BA8" s="20">
        <f>N8</f>
        <v>0</v>
      </c>
      <c r="BB8" s="20">
        <f>Z8</f>
        <v>0</v>
      </c>
      <c r="BC8" s="20">
        <f>AL8</f>
        <v>0</v>
      </c>
    </row>
    <row r="9" spans="1:55">
      <c r="A9" s="18" t="s">
        <v>331</v>
      </c>
      <c r="B9" s="16" t="s">
        <v>332</v>
      </c>
      <c r="C9" s="20">
        <f>MAX(0,-('Cash Flow'!C14+'Cash Flow'!C18))</f>
        <v>0</v>
      </c>
      <c r="D9" s="20">
        <f>MAX(0,-('Cash Flow'!D14+'Cash Flow'!D18))</f>
        <v>0</v>
      </c>
      <c r="E9" s="20">
        <f>MAX(0,-('Cash Flow'!E14+'Cash Flow'!E18))</f>
        <v>0</v>
      </c>
      <c r="F9" s="20">
        <f>MAX(0,-('Cash Flow'!F14+'Cash Flow'!F18))</f>
        <v>0</v>
      </c>
      <c r="G9" s="20">
        <f>MAX(0,-('Cash Flow'!G14+'Cash Flow'!G18))</f>
        <v>0</v>
      </c>
      <c r="H9" s="20">
        <f>MAX(0,-('Cash Flow'!H14+'Cash Flow'!H18))</f>
        <v>0</v>
      </c>
      <c r="I9" s="20">
        <f>MAX(0,-('Cash Flow'!I14+'Cash Flow'!I18))</f>
        <v>0</v>
      </c>
      <c r="J9" s="20">
        <f>MAX(0,-('Cash Flow'!J14+'Cash Flow'!J18))</f>
        <v>0</v>
      </c>
      <c r="K9" s="20">
        <f>MAX(0,-('Cash Flow'!K14+'Cash Flow'!K18))</f>
        <v>0</v>
      </c>
      <c r="L9" s="20">
        <f>MAX(0,-('Cash Flow'!L14+'Cash Flow'!L18))</f>
        <v>0</v>
      </c>
      <c r="M9" s="20">
        <f>MAX(0,-('Cash Flow'!M14+'Cash Flow'!M18))</f>
        <v>0</v>
      </c>
      <c r="N9" s="20">
        <f>MAX(0,-('Cash Flow'!N14+'Cash Flow'!N18))</f>
        <v>0</v>
      </c>
      <c r="O9" s="20">
        <f>MAX(0,-('Cash Flow'!O14+'Cash Flow'!O18))</f>
        <v>0</v>
      </c>
      <c r="P9" s="20">
        <f>MAX(0,-('Cash Flow'!P14+'Cash Flow'!P18))</f>
        <v>0</v>
      </c>
      <c r="Q9" s="20">
        <f>MAX(0,-('Cash Flow'!Q14+'Cash Flow'!Q18))</f>
        <v>0</v>
      </c>
      <c r="R9" s="20">
        <f>MAX(0,-('Cash Flow'!R14+'Cash Flow'!R18))</f>
        <v>0</v>
      </c>
      <c r="S9" s="20">
        <f>MAX(0,-('Cash Flow'!S14+'Cash Flow'!S18))</f>
        <v>0</v>
      </c>
      <c r="T9" s="20">
        <f>MAX(0,-('Cash Flow'!T14+'Cash Flow'!T18))</f>
        <v>0</v>
      </c>
      <c r="U9" s="20">
        <f>MAX(0,-('Cash Flow'!U14+'Cash Flow'!U18))</f>
        <v>0</v>
      </c>
      <c r="V9" s="20">
        <f>MAX(0,-('Cash Flow'!V14+'Cash Flow'!V18))</f>
        <v>0</v>
      </c>
      <c r="W9" s="20">
        <f>MAX(0,-('Cash Flow'!W14+'Cash Flow'!W18))</f>
        <v>0</v>
      </c>
      <c r="X9" s="20">
        <f>MAX(0,-('Cash Flow'!X14+'Cash Flow'!X18))</f>
        <v>0</v>
      </c>
      <c r="Y9" s="20">
        <f>MAX(0,-('Cash Flow'!Y14+'Cash Flow'!Y18))</f>
        <v>0</v>
      </c>
      <c r="Z9" s="20">
        <f>MAX(0,-('Cash Flow'!Z14+'Cash Flow'!Z18))</f>
        <v>0</v>
      </c>
      <c r="AA9" s="20">
        <f>MAX(0,-('Cash Flow'!AA14+'Cash Flow'!AA18))</f>
        <v>0</v>
      </c>
      <c r="AB9" s="20">
        <f>MAX(0,-('Cash Flow'!AB14+'Cash Flow'!AB18))</f>
        <v>0</v>
      </c>
      <c r="AC9" s="20">
        <f>MAX(0,-('Cash Flow'!AC14+'Cash Flow'!AC18))</f>
        <v>0</v>
      </c>
      <c r="AD9" s="20">
        <f>MAX(0,-('Cash Flow'!AD14+'Cash Flow'!AD18))</f>
        <v>0</v>
      </c>
      <c r="AE9" s="20">
        <f>MAX(0,-('Cash Flow'!AE14+'Cash Flow'!AE18))</f>
        <v>0</v>
      </c>
      <c r="AF9" s="20">
        <f>MAX(0,-('Cash Flow'!AF14+'Cash Flow'!AF18))</f>
        <v>0</v>
      </c>
      <c r="AG9" s="20">
        <f>MAX(0,-('Cash Flow'!AG14+'Cash Flow'!AG18))</f>
        <v>0</v>
      </c>
      <c r="AH9" s="20">
        <f>MAX(0,-('Cash Flow'!AH14+'Cash Flow'!AH18))</f>
        <v>0</v>
      </c>
      <c r="AI9" s="20">
        <f>MAX(0,-('Cash Flow'!AI14+'Cash Flow'!AI18))</f>
        <v>0</v>
      </c>
      <c r="AJ9" s="20">
        <f>MAX(0,-('Cash Flow'!AJ14+'Cash Flow'!AJ18))</f>
        <v>0</v>
      </c>
      <c r="AK9" s="20">
        <f>MAX(0,-('Cash Flow'!AK14+'Cash Flow'!AK18))</f>
        <v>0</v>
      </c>
      <c r="AL9" s="20">
        <f>MAX(0,-('Cash Flow'!AL14+'Cash Flow'!AL18))</f>
        <v>0</v>
      </c>
      <c r="AN9" s="20">
        <f>SUM(C9:E9)</f>
        <v>0</v>
      </c>
      <c r="AO9" s="20">
        <f>SUM(F9:H9)</f>
        <v>0</v>
      </c>
      <c r="AP9" s="20">
        <f>SUM(I9:K9)</f>
        <v>0</v>
      </c>
      <c r="AQ9" s="20">
        <f>SUM(L9:N9)</f>
        <v>0</v>
      </c>
      <c r="AR9" s="20">
        <f>SUM(O9:Q9)</f>
        <v>0</v>
      </c>
      <c r="AS9" s="20">
        <f>SUM(R9:T9)</f>
        <v>0</v>
      </c>
      <c r="AT9" s="20">
        <f>SUM(U9:W9)</f>
        <v>0</v>
      </c>
      <c r="AU9" s="20">
        <f>SUM(X9:Z9)</f>
        <v>0</v>
      </c>
      <c r="AV9" s="20">
        <f>SUM(AA9:AC9)</f>
        <v>0</v>
      </c>
      <c r="AW9" s="20">
        <f>SUM(AD9:AF9)</f>
        <v>0</v>
      </c>
      <c r="AX9" s="20">
        <f>SUM(AG9:AI9)</f>
        <v>0</v>
      </c>
      <c r="AY9" s="20">
        <f>SUM(AJ9:AL9)</f>
        <v>0</v>
      </c>
      <c r="BA9" s="20">
        <f>SUM(C9:N9)</f>
        <v>0</v>
      </c>
      <c r="BB9" s="20">
        <f>SUM(O9:Z9)</f>
        <v>0</v>
      </c>
      <c r="BC9" s="20">
        <f>SUM(AA9:AL9)</f>
        <v>0</v>
      </c>
    </row>
    <row r="10" spans="1:55">
      <c r="A10" s="18" t="s">
        <v>333</v>
      </c>
      <c r="B10" s="16"/>
      <c r="C10" s="20">
        <f>AVERAGE(C9:C9)</f>
        <v>0</v>
      </c>
      <c r="D10" s="20">
        <f>AVERAGE(C9:D9)</f>
        <v>0</v>
      </c>
      <c r="E10" s="20">
        <f>AVERAGE(C9:E9)</f>
        <v>0</v>
      </c>
      <c r="F10" s="20">
        <f>AVERAGE(D9:F9)</f>
        <v>0</v>
      </c>
      <c r="G10" s="20">
        <f>AVERAGE(E9:G9)</f>
        <v>0</v>
      </c>
      <c r="H10" s="20">
        <f>AVERAGE(F9:H9)</f>
        <v>0</v>
      </c>
      <c r="I10" s="20">
        <f>AVERAGE(G9:I9)</f>
        <v>0</v>
      </c>
      <c r="J10" s="20">
        <f>AVERAGE(H9:J9)</f>
        <v>0</v>
      </c>
      <c r="K10" s="20">
        <f>AVERAGE(I9:K9)</f>
        <v>0</v>
      </c>
      <c r="L10" s="20">
        <f>AVERAGE(J9:L9)</f>
        <v>0</v>
      </c>
      <c r="M10" s="20">
        <f>AVERAGE(K9:M9)</f>
        <v>0</v>
      </c>
      <c r="N10" s="20">
        <f>AVERAGE(L9:N9)</f>
        <v>0</v>
      </c>
      <c r="O10" s="20">
        <f>AVERAGE(M9:O9)</f>
        <v>0</v>
      </c>
      <c r="P10" s="20">
        <f>AVERAGE(N9:P9)</f>
        <v>0</v>
      </c>
      <c r="Q10" s="20">
        <f>AVERAGE(O9:Q9)</f>
        <v>0</v>
      </c>
      <c r="R10" s="20">
        <f>AVERAGE(P9:R9)</f>
        <v>0</v>
      </c>
      <c r="S10" s="20">
        <f>AVERAGE(Q9:S9)</f>
        <v>0</v>
      </c>
      <c r="T10" s="20">
        <f>AVERAGE(R9:T9)</f>
        <v>0</v>
      </c>
      <c r="U10" s="20">
        <f>AVERAGE(S9:U9)</f>
        <v>0</v>
      </c>
      <c r="V10" s="20">
        <f>AVERAGE(T9:V9)</f>
        <v>0</v>
      </c>
      <c r="W10" s="20">
        <f>AVERAGE(U9:W9)</f>
        <v>0</v>
      </c>
      <c r="X10" s="20">
        <f>AVERAGE(V9:X9)</f>
        <v>0</v>
      </c>
      <c r="Y10" s="20">
        <f>AVERAGE(W9:Y9)</f>
        <v>0</v>
      </c>
      <c r="Z10" s="20">
        <f>AVERAGE(X9:Z9)</f>
        <v>0</v>
      </c>
      <c r="AA10" s="20">
        <f>AVERAGE(Y9:AA9)</f>
        <v>0</v>
      </c>
      <c r="AB10" s="20">
        <f>AVERAGE(Z9:AB9)</f>
        <v>0</v>
      </c>
      <c r="AC10" s="20">
        <f>AVERAGE(AA9:AC9)</f>
        <v>0</v>
      </c>
      <c r="AD10" s="20">
        <f>AVERAGE(AB9:AD9)</f>
        <v>0</v>
      </c>
      <c r="AE10" s="20">
        <f>AVERAGE(AC9:AE9)</f>
        <v>0</v>
      </c>
      <c r="AF10" s="20">
        <f>AVERAGE(AD9:AF9)</f>
        <v>0</v>
      </c>
      <c r="AG10" s="20">
        <f>AVERAGE(AE9:AG9)</f>
        <v>0</v>
      </c>
      <c r="AH10" s="20">
        <f>AVERAGE(AF9:AH9)</f>
        <v>0</v>
      </c>
      <c r="AI10" s="20">
        <f>AVERAGE(AG9:AI9)</f>
        <v>0</v>
      </c>
      <c r="AJ10" s="20">
        <f>AVERAGE(AH9:AJ9)</f>
        <v>0</v>
      </c>
      <c r="AK10" s="20">
        <f>AVERAGE(AI9:AK9)</f>
        <v>0</v>
      </c>
      <c r="AL10" s="20">
        <f>AVERAGE(AJ9:AL9)</f>
        <v>0</v>
      </c>
      <c r="AN10" s="20">
        <f>AVERAGE(C10:E10)</f>
        <v>0</v>
      </c>
      <c r="AO10" s="20">
        <f>AVERAGE(F10:H10)</f>
        <v>0</v>
      </c>
      <c r="AP10" s="20">
        <f>AVERAGE(I10:K10)</f>
        <v>0</v>
      </c>
      <c r="AQ10" s="20">
        <f>AVERAGE(L10:N10)</f>
        <v>0</v>
      </c>
      <c r="AR10" s="20">
        <f>AVERAGE(O10:Q10)</f>
        <v>0</v>
      </c>
      <c r="AS10" s="20">
        <f>AVERAGE(R10:T10)</f>
        <v>0</v>
      </c>
      <c r="AT10" s="20">
        <f>AVERAGE(U10:W10)</f>
        <v>0</v>
      </c>
      <c r="AU10" s="20">
        <f>AVERAGE(X10:Z10)</f>
        <v>0</v>
      </c>
      <c r="AV10" s="20">
        <f>AVERAGE(AA10:AC10)</f>
        <v>0</v>
      </c>
      <c r="AW10" s="20">
        <f>AVERAGE(AD10:AF10)</f>
        <v>0</v>
      </c>
      <c r="AX10" s="20">
        <f>AVERAGE(AG10:AI10)</f>
        <v>0</v>
      </c>
      <c r="AY10" s="20">
        <f>AVERAGE(AJ10:AL10)</f>
        <v>0</v>
      </c>
      <c r="BA10" s="20">
        <f>AVERAGE(C10:N10)</f>
        <v>0</v>
      </c>
      <c r="BB10" s="20">
        <f>AVERAGE(O10:Z10)</f>
        <v>0</v>
      </c>
      <c r="BC10" s="20">
        <f>AVERAGE(AA10:AL10)</f>
        <v>0</v>
      </c>
    </row>
    <row r="11" spans="1:55">
      <c r="A11" s="18" t="s">
        <v>334</v>
      </c>
      <c r="B11" s="16" t="s">
        <v>335</v>
      </c>
      <c r="C11" s="33">
        <f>IF(C8&lt;=0,0,IF(C10&lt;=0,999,C8/C10))</f>
        <v>0</v>
      </c>
      <c r="D11" s="33">
        <f>IF(D8&lt;=0,0,IF(D10&lt;=0,999,D8/D10))</f>
        <v>0</v>
      </c>
      <c r="E11" s="33">
        <f>IF(E8&lt;=0,0,IF(E10&lt;=0,999,E8/E10))</f>
        <v>0</v>
      </c>
      <c r="F11" s="33">
        <f>IF(F8&lt;=0,0,IF(F10&lt;=0,999,F8/F10))</f>
        <v>0</v>
      </c>
      <c r="G11" s="33">
        <f>IF(G8&lt;=0,0,IF(G10&lt;=0,999,G8/G10))</f>
        <v>0</v>
      </c>
      <c r="H11" s="33">
        <f>IF(H8&lt;=0,0,IF(H10&lt;=0,999,H8/H10))</f>
        <v>0</v>
      </c>
      <c r="I11" s="33">
        <f>IF(I8&lt;=0,0,IF(I10&lt;=0,999,I8/I10))</f>
        <v>0</v>
      </c>
      <c r="J11" s="33">
        <f>IF(J8&lt;=0,0,IF(J10&lt;=0,999,J8/J10))</f>
        <v>0</v>
      </c>
      <c r="K11" s="33">
        <f>IF(K8&lt;=0,0,IF(K10&lt;=0,999,K8/K10))</f>
        <v>0</v>
      </c>
      <c r="L11" s="33">
        <f>IF(L8&lt;=0,0,IF(L10&lt;=0,999,L8/L10))</f>
        <v>0</v>
      </c>
      <c r="M11" s="33">
        <f>IF(M8&lt;=0,0,IF(M10&lt;=0,999,M8/M10))</f>
        <v>0</v>
      </c>
      <c r="N11" s="33">
        <f>IF(N8&lt;=0,0,IF(N10&lt;=0,999,N8/N10))</f>
        <v>0</v>
      </c>
      <c r="O11" s="33">
        <f>IF(O8&lt;=0,0,IF(O10&lt;=0,999,O8/O10))</f>
        <v>0</v>
      </c>
      <c r="P11" s="33">
        <f>IF(P8&lt;=0,0,IF(P10&lt;=0,999,P8/P10))</f>
        <v>0</v>
      </c>
      <c r="Q11" s="33">
        <f>IF(Q8&lt;=0,0,IF(Q10&lt;=0,999,Q8/Q10))</f>
        <v>0</v>
      </c>
      <c r="R11" s="33">
        <f>IF(R8&lt;=0,0,IF(R10&lt;=0,999,R8/R10))</f>
        <v>0</v>
      </c>
      <c r="S11" s="33">
        <f>IF(S8&lt;=0,0,IF(S10&lt;=0,999,S8/S10))</f>
        <v>0</v>
      </c>
      <c r="T11" s="33">
        <f>IF(T8&lt;=0,0,IF(T10&lt;=0,999,T8/T10))</f>
        <v>0</v>
      </c>
      <c r="U11" s="33">
        <f>IF(U8&lt;=0,0,IF(U10&lt;=0,999,U8/U10))</f>
        <v>0</v>
      </c>
      <c r="V11" s="33">
        <f>IF(V8&lt;=0,0,IF(V10&lt;=0,999,V8/V10))</f>
        <v>0</v>
      </c>
      <c r="W11" s="33">
        <f>IF(W8&lt;=0,0,IF(W10&lt;=0,999,W8/W10))</f>
        <v>0</v>
      </c>
      <c r="X11" s="33">
        <f>IF(X8&lt;=0,0,IF(X10&lt;=0,999,X8/X10))</f>
        <v>0</v>
      </c>
      <c r="Y11" s="33">
        <f>IF(Y8&lt;=0,0,IF(Y10&lt;=0,999,Y8/Y10))</f>
        <v>0</v>
      </c>
      <c r="Z11" s="33">
        <f>IF(Z8&lt;=0,0,IF(Z10&lt;=0,999,Z8/Z10))</f>
        <v>0</v>
      </c>
      <c r="AA11" s="33">
        <f>IF(AA8&lt;=0,0,IF(AA10&lt;=0,999,AA8/AA10))</f>
        <v>0</v>
      </c>
      <c r="AB11" s="33">
        <f>IF(AB8&lt;=0,0,IF(AB10&lt;=0,999,AB8/AB10))</f>
        <v>0</v>
      </c>
      <c r="AC11" s="33">
        <f>IF(AC8&lt;=0,0,IF(AC10&lt;=0,999,AC8/AC10))</f>
        <v>0</v>
      </c>
      <c r="AD11" s="33">
        <f>IF(AD8&lt;=0,0,IF(AD10&lt;=0,999,AD8/AD10))</f>
        <v>0</v>
      </c>
      <c r="AE11" s="33">
        <f>IF(AE8&lt;=0,0,IF(AE10&lt;=0,999,AE8/AE10))</f>
        <v>0</v>
      </c>
      <c r="AF11" s="33">
        <f>IF(AF8&lt;=0,0,IF(AF10&lt;=0,999,AF8/AF10))</f>
        <v>0</v>
      </c>
      <c r="AG11" s="33">
        <f>IF(AG8&lt;=0,0,IF(AG10&lt;=0,999,AG8/AG10))</f>
        <v>0</v>
      </c>
      <c r="AH11" s="33">
        <f>IF(AH8&lt;=0,0,IF(AH10&lt;=0,999,AH8/AH10))</f>
        <v>0</v>
      </c>
      <c r="AI11" s="33">
        <f>IF(AI8&lt;=0,0,IF(AI10&lt;=0,999,AI8/AI10))</f>
        <v>0</v>
      </c>
      <c r="AJ11" s="33">
        <f>IF(AJ8&lt;=0,0,IF(AJ10&lt;=0,999,AJ8/AJ10))</f>
        <v>0</v>
      </c>
      <c r="AK11" s="33">
        <f>IF(AK8&lt;=0,0,IF(AK10&lt;=0,999,AK8/AK10))</f>
        <v>0</v>
      </c>
      <c r="AL11" s="33">
        <f>IF(AL8&lt;=0,0,IF(AL10&lt;=0,999,AL8/AL10))</f>
        <v>0</v>
      </c>
      <c r="AN11" s="33">
        <f>E11</f>
        <v>0</v>
      </c>
      <c r="AO11" s="33">
        <f>H11</f>
        <v>0</v>
      </c>
      <c r="AP11" s="33">
        <f>K11</f>
        <v>0</v>
      </c>
      <c r="AQ11" s="33">
        <f>N11</f>
        <v>0</v>
      </c>
      <c r="AR11" s="33">
        <f>Q11</f>
        <v>0</v>
      </c>
      <c r="AS11" s="33">
        <f>T11</f>
        <v>0</v>
      </c>
      <c r="AT11" s="33">
        <f>W11</f>
        <v>0</v>
      </c>
      <c r="AU11" s="33">
        <f>Z11</f>
        <v>0</v>
      </c>
      <c r="AV11" s="33">
        <f>AC11</f>
        <v>0</v>
      </c>
      <c r="AW11" s="33">
        <f>AF11</f>
        <v>0</v>
      </c>
      <c r="AX11" s="33">
        <f>AI11</f>
        <v>0</v>
      </c>
      <c r="AY11" s="33">
        <f>AL11</f>
        <v>0</v>
      </c>
      <c r="BA11" s="33">
        <f>N11</f>
        <v>0</v>
      </c>
      <c r="BB11" s="33">
        <f>Z11</f>
        <v>0</v>
      </c>
      <c r="BC11" s="33">
        <f>AL11</f>
        <v>0</v>
      </c>
    </row>
    <row r="12" spans="1:55" ht="5" customHeight="1"/>
    <row r="13" spans="1:55" ht="16" customHeight="1">
      <c r="A13" s="14" t="s">
        <v>336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</row>
    <row r="14" spans="1:55">
      <c r="A14" s="34" t="s">
        <v>337</v>
      </c>
      <c r="C14" s="33">
        <f>IF(AL8&lt;=0,0,IF(AL10&lt;=0,"Cash-flow positive",AL11))</f>
        <v>0</v>
      </c>
    </row>
  </sheetData>
  <mergeCells count="7">
    <mergeCell ref="A1:BC1"/>
    <mergeCell ref="A2:BC2"/>
    <mergeCell ref="C5:AL5"/>
    <mergeCell ref="AN5:AY5"/>
    <mergeCell ref="BA5:BC5"/>
    <mergeCell ref="A7:BC7"/>
    <mergeCell ref="A13:BC13"/>
  </mergeCells>
  <pageMargins left="0.7" right="0.7" top="0.75" bottom="0.75" header="0.3" footer="0.3"/>
  <pageSetup paperSize="9" scale="55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5"/>
  <sheetViews>
    <sheetView showGridLines="0" zoomScale="110" zoomScaleNormal="110" workbookViewId="0"/>
  </sheetViews>
  <sheetFormatPr defaultRowHeight="15"/>
  <cols>
    <col min="1" max="1" width="34.7109375" customWidth="1"/>
    <col min="2" max="2" width="42.7109375" customWidth="1"/>
    <col min="3" max="6" width="18.7109375" customWidth="1"/>
  </cols>
  <sheetData>
    <row r="1" spans="1:6" ht="22" customHeight="1">
      <c r="A1" s="1" t="s">
        <v>338</v>
      </c>
      <c r="B1" s="1"/>
      <c r="C1" s="1"/>
      <c r="D1" s="1"/>
      <c r="E1" s="1"/>
      <c r="F1" s="1"/>
    </row>
    <row r="2" spans="1:6" ht="28" customHeight="1">
      <c r="A2" s="2" t="s">
        <v>339</v>
      </c>
      <c r="B2" s="2"/>
      <c r="C2" s="2"/>
      <c r="D2" s="2"/>
      <c r="E2" s="2"/>
      <c r="F2" s="2"/>
    </row>
    <row r="4" spans="1:6">
      <c r="A4" s="14" t="s">
        <v>340</v>
      </c>
      <c r="C4" s="15">
        <f>'Assumptions'!$C$4</f>
        <v>0</v>
      </c>
    </row>
    <row r="6" spans="1:6">
      <c r="A6" s="17" t="s">
        <v>341</v>
      </c>
      <c r="B6" s="17" t="s">
        <v>342</v>
      </c>
      <c r="C6" s="17" t="s">
        <v>29</v>
      </c>
      <c r="D6" s="17" t="s">
        <v>33</v>
      </c>
      <c r="E6" s="17" t="s">
        <v>34</v>
      </c>
      <c r="F6" s="17" t="s">
        <v>343</v>
      </c>
    </row>
    <row r="7" spans="1:6">
      <c r="A7" s="34" t="s">
        <v>344</v>
      </c>
      <c r="B7" s="21" t="s">
        <v>345</v>
      </c>
      <c r="C7" s="20">
        <f>'Assumptions'!$C$13*'Assumptions'!$C$21*12</f>
        <v>0</v>
      </c>
      <c r="D7" s="20">
        <f>'Assumptions'!$D$13*'Assumptions'!$D$21*12</f>
        <v>0</v>
      </c>
      <c r="E7" s="20">
        <f>'Assumptions'!$E$13*'Assumptions'!$E$21*12</f>
        <v>0</v>
      </c>
      <c r="F7" s="20">
        <f>'Revenue'!C21</f>
        <v>0</v>
      </c>
    </row>
    <row r="8" spans="1:6">
      <c r="A8" s="34" t="s">
        <v>346</v>
      </c>
      <c r="B8" s="21" t="s">
        <v>347</v>
      </c>
      <c r="C8" s="25">
        <f>1+'Assumptions'!$C$17-'Assumptions'!$C$18-'Assumptions'!$C$16</f>
        <v>0</v>
      </c>
      <c r="D8" s="25">
        <f>1+'Assumptions'!$D$17-'Assumptions'!$D$18-'Assumptions'!$D$16</f>
        <v>0</v>
      </c>
      <c r="E8" s="25">
        <f>1+'Assumptions'!$E$17-'Assumptions'!$E$18-'Assumptions'!$E$16</f>
        <v>0</v>
      </c>
      <c r="F8" s="25">
        <f>'Revenue'!AL31</f>
        <v>0</v>
      </c>
    </row>
    <row r="9" spans="1:6">
      <c r="A9" s="34" t="s">
        <v>348</v>
      </c>
      <c r="B9" s="21" t="s">
        <v>349</v>
      </c>
      <c r="C9" s="20">
        <f>('Assumptions'!$C$13*'Assumptions'!$C$21*12)*(1+('Assumptions'!$C$17-'Assumptions'!$C$18-'Assumptions'!$C$16+'Assumptions'!$C$14/'Assumptions'!$C$13))^35</f>
        <v>0</v>
      </c>
      <c r="D9" s="20">
        <f>('Assumptions'!$D$13*'Assumptions'!$D$21*12)*(1+('Assumptions'!$D$17-'Assumptions'!$D$18-'Assumptions'!$D$16+'Assumptions'!$D$14/'Assumptions'!$D$13))^35</f>
        <v>0</v>
      </c>
      <c r="E9" s="20">
        <f>('Assumptions'!$E$13*'Assumptions'!$E$21*12)*(1+('Assumptions'!$E$17-'Assumptions'!$E$18-'Assumptions'!$E$16+'Assumptions'!$E$14/'Assumptions'!$E$13))^35</f>
        <v>0</v>
      </c>
      <c r="F9" s="20">
        <f>'Revenue'!AL21</f>
        <v>0</v>
      </c>
    </row>
    <row r="10" spans="1:6">
      <c r="A10" s="34" t="s">
        <v>350</v>
      </c>
      <c r="B10" s="21" t="s">
        <v>351</v>
      </c>
      <c r="C10" s="25">
        <f>1-('Assumptions'!$C$27+'Assumptions'!$C$28+'Assumptions'!$C$29)-(('Assumptions'!$C$32*'Assumptions'!$C$34)*12)/('Assumptions'!$C$13*'Assumptions'!$C$21*12)</f>
        <v>0</v>
      </c>
      <c r="D10" s="25">
        <f>1-('Assumptions'!$D$27+'Assumptions'!$D$28+'Assumptions'!$D$29)-(('Assumptions'!$D$32*'Assumptions'!$D$34)*12)/('Assumptions'!$D$13*'Assumptions'!$D$21*12)</f>
        <v>0</v>
      </c>
      <c r="E10" s="25">
        <f>1-('Assumptions'!$E$27+'Assumptions'!$E$28+'Assumptions'!$E$29)-(('Assumptions'!$E$32*'Assumptions'!$E$34)*12)/('Assumptions'!$E$13*'Assumptions'!$E$21*12)</f>
        <v>0</v>
      </c>
      <c r="F10" s="25">
        <f>'COGS &amp; GM'!AL16</f>
        <v>0</v>
      </c>
    </row>
    <row r="11" spans="1:6">
      <c r="A11" s="34" t="s">
        <v>352</v>
      </c>
      <c r="B11" s="21" t="s">
        <v>353</v>
      </c>
      <c r="C11" s="20">
        <f>MAX(0,('Assumptions'!$C$32*'Assumptions'!$C$34+'Assumptions'!$C$37*'Assumptions'!$C$39+'Assumptions'!$C$40*'Assumptions'!$C$42+'Assumptions'!$C$45*'Assumptions'!$C$47+'Assumptions'!$C$50*'Assumptions'!$C$52)+(('Assumptions'!$C$13*'Assumptions'!$C$21*12)/12)*(('Assumptions'!$C$27+'Assumptions'!$C$28+'Assumptions'!$C$29))-(('Assumptions'!$C$13*'Assumptions'!$C$21*12)/12))</f>
        <v>0</v>
      </c>
      <c r="D11" s="20">
        <f>MAX(0,('Assumptions'!$D$32*'Assumptions'!$D$34+'Assumptions'!$D$37*'Assumptions'!$D$39+'Assumptions'!$D$40*'Assumptions'!$D$42+'Assumptions'!$D$45*'Assumptions'!$D$47+'Assumptions'!$D$50*'Assumptions'!$D$52)+(('Assumptions'!$D$13*'Assumptions'!$D$21*12)/12)*(('Assumptions'!$D$27+'Assumptions'!$D$28+'Assumptions'!$D$29))-(('Assumptions'!$D$13*'Assumptions'!$D$21*12)/12))</f>
        <v>0</v>
      </c>
      <c r="E11" s="20">
        <f>MAX(0,('Assumptions'!$E$32*'Assumptions'!$E$34+'Assumptions'!$E$37*'Assumptions'!$E$39+'Assumptions'!$E$40*'Assumptions'!$E$42+'Assumptions'!$E$45*'Assumptions'!$E$47+'Assumptions'!$E$50*'Assumptions'!$E$52)+(('Assumptions'!$E$13*'Assumptions'!$E$21*12)/12)*(('Assumptions'!$E$27+'Assumptions'!$E$28+'Assumptions'!$E$29))-(('Assumptions'!$E$13*'Assumptions'!$E$21*12)/12))</f>
        <v>0</v>
      </c>
      <c r="F11" s="20">
        <f>'Cash &amp; Runway'!C9</f>
        <v>0</v>
      </c>
    </row>
    <row r="12" spans="1:6">
      <c r="A12" s="34" t="s">
        <v>354</v>
      </c>
      <c r="B12" s="21" t="s">
        <v>355</v>
      </c>
      <c r="C12" s="33">
        <f>IFERROR('Assumptions'!$C$8/MAX(1,MAX(0,('Assumptions'!$C$32*'Assumptions'!$C$34+'Assumptions'!$C$37*'Assumptions'!$C$39+'Assumptions'!$C$40*'Assumptions'!$C$42+'Assumptions'!$C$45*'Assumptions'!$C$47+'Assumptions'!$C$50*'Assumptions'!$C$52)+(('Assumptions'!$C$13*'Assumptions'!$C$21*12)/12)*(('Assumptions'!$C$27+'Assumptions'!$C$28+'Assumptions'!$C$29))-(('Assumptions'!$C$13*'Assumptions'!$C$21*12)/12))),999)</f>
        <v>0</v>
      </c>
      <c r="D12" s="33">
        <f>IFERROR('Assumptions'!$D$8/MAX(1,MAX(0,('Assumptions'!$D$32*'Assumptions'!$D$34+'Assumptions'!$D$37*'Assumptions'!$D$39+'Assumptions'!$D$40*'Assumptions'!$D$42+'Assumptions'!$D$45*'Assumptions'!$D$47+'Assumptions'!$D$50*'Assumptions'!$D$52)+(('Assumptions'!$D$13*'Assumptions'!$D$21*12)/12)*(('Assumptions'!$D$27+'Assumptions'!$D$28+'Assumptions'!$D$29))-(('Assumptions'!$D$13*'Assumptions'!$D$21*12)/12))),999)</f>
        <v>0</v>
      </c>
      <c r="E12" s="33">
        <f>IFERROR('Assumptions'!$E$8/MAX(1,MAX(0,('Assumptions'!$E$32*'Assumptions'!$E$34+'Assumptions'!$E$37*'Assumptions'!$E$39+'Assumptions'!$E$40*'Assumptions'!$E$42+'Assumptions'!$E$45*'Assumptions'!$E$47+'Assumptions'!$E$50*'Assumptions'!$E$52)+(('Assumptions'!$E$13*'Assumptions'!$E$21*12)/12)*(('Assumptions'!$E$27+'Assumptions'!$E$28+'Assumptions'!$E$29))-(('Assumptions'!$E$13*'Assumptions'!$E$21*12)/12))),999)</f>
        <v>0</v>
      </c>
      <c r="F12" s="33">
        <f>'Cash &amp; Runway'!AL11</f>
        <v>0</v>
      </c>
    </row>
    <row r="14" spans="1:6">
      <c r="A14" s="14" t="s">
        <v>356</v>
      </c>
      <c r="B14" s="14"/>
      <c r="C14" s="14"/>
      <c r="D14" s="14"/>
      <c r="E14" s="14"/>
      <c r="F14" s="14"/>
    </row>
    <row r="15" spans="1:6">
      <c r="A15" s="35" t="s">
        <v>357</v>
      </c>
      <c r="C15" s="35">
        <f>IF(ISNUMBER(MATCH('Assumptions'!$C$4,{"Base","Upside","Downside"},0)),"OK","INVALID")</f>
        <v>0</v>
      </c>
    </row>
  </sheetData>
  <mergeCells count="3">
    <mergeCell ref="A1:F1"/>
    <mergeCell ref="A2:F2"/>
    <mergeCell ref="A14:F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showGridLines="0" zoomScale="110" zoomScaleNormal="110" workbookViewId="0">
      <pane ySplit="3" topLeftCell="A4" activePane="bottomLeft" state="frozen"/>
      <selection pane="bottomLeft"/>
    </sheetView>
  </sheetViews>
  <sheetFormatPr defaultRowHeight="15"/>
  <cols>
    <col min="1" max="19" width="9.7109375" customWidth="1"/>
  </cols>
  <sheetData>
    <row r="1" spans="1:19" ht="22" customHeight="1">
      <c r="A1" s="1" t="s">
        <v>358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0" customHeight="1">
      <c r="A4" s="36" t="s">
        <v>360</v>
      </c>
      <c r="B4" s="36"/>
      <c r="C4" s="36"/>
      <c r="D4" s="36" t="s">
        <v>361</v>
      </c>
      <c r="E4" s="36"/>
      <c r="F4" s="36"/>
      <c r="G4" s="36" t="s">
        <v>362</v>
      </c>
      <c r="H4" s="36"/>
      <c r="I4" s="36"/>
      <c r="J4" s="36" t="s">
        <v>363</v>
      </c>
      <c r="K4" s="36"/>
      <c r="L4" s="36"/>
      <c r="M4" s="36" t="s">
        <v>334</v>
      </c>
      <c r="N4" s="36"/>
      <c r="O4" s="36"/>
      <c r="P4" s="36" t="s">
        <v>364</v>
      </c>
      <c r="Q4" s="36"/>
      <c r="R4" s="36"/>
    </row>
    <row r="5" spans="1:19">
      <c r="A5" s="37">
        <f>'Revenue'!AL21</f>
        <v>0</v>
      </c>
      <c r="B5" s="37"/>
      <c r="C5" s="37"/>
      <c r="D5" s="38">
        <f>'COGS &amp; GM'!AL16</f>
        <v>0</v>
      </c>
      <c r="E5" s="38"/>
      <c r="F5" s="38"/>
      <c r="G5" s="38">
        <f>'Revenue'!AL31</f>
        <v>0</v>
      </c>
      <c r="H5" s="38"/>
      <c r="I5" s="38"/>
      <c r="J5" s="37">
        <f>'Cash &amp; Runway'!AL8</f>
        <v>0</v>
      </c>
      <c r="K5" s="37"/>
      <c r="L5" s="37"/>
      <c r="M5" s="37">
        <f>'Cash &amp; Runway'!AL11</f>
        <v>0</v>
      </c>
      <c r="N5" s="37"/>
      <c r="O5" s="37"/>
      <c r="P5" s="37">
        <f>'Headcount'!AL22</f>
        <v>0</v>
      </c>
      <c r="Q5" s="37"/>
      <c r="R5" s="37"/>
    </row>
    <row r="6" spans="1:19">
      <c r="A6" s="37"/>
      <c r="B6" s="37"/>
      <c r="C6" s="37"/>
      <c r="D6" s="38"/>
      <c r="E6" s="38"/>
      <c r="F6" s="38"/>
      <c r="G6" s="38"/>
      <c r="H6" s="38"/>
      <c r="I6" s="38"/>
      <c r="J6" s="37"/>
      <c r="K6" s="37"/>
      <c r="L6" s="37"/>
      <c r="M6" s="37"/>
      <c r="N6" s="37"/>
      <c r="O6" s="37"/>
      <c r="P6" s="37"/>
      <c r="Q6" s="37"/>
      <c r="R6" s="37"/>
    </row>
  </sheetData>
  <mergeCells count="14">
    <mergeCell ref="A1:S1"/>
    <mergeCell ref="A2:S2"/>
    <mergeCell ref="A4:C4"/>
    <mergeCell ref="A5:C6"/>
    <mergeCell ref="D4:F4"/>
    <mergeCell ref="D5:F6"/>
    <mergeCell ref="G4:I4"/>
    <mergeCell ref="G5:I6"/>
    <mergeCell ref="J4:L4"/>
    <mergeCell ref="J5:L6"/>
    <mergeCell ref="M4:O4"/>
    <mergeCell ref="M5:O6"/>
    <mergeCell ref="P4:R4"/>
    <mergeCell ref="P5:R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showGridLines="0" zoomScale="110" zoomScaleNormal="11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52.7109375" customWidth="1"/>
    <col min="3" max="3" width="16.7109375" customWidth="1"/>
    <col min="4" max="4" width="14.7109375" customWidth="1"/>
  </cols>
  <sheetData>
    <row r="1" spans="1:4" ht="22" customHeight="1">
      <c r="A1" s="1" t="s">
        <v>365</v>
      </c>
      <c r="B1" s="1"/>
      <c r="C1" s="1"/>
      <c r="D1" s="1"/>
    </row>
    <row r="2" spans="1:4" ht="16" customHeight="1">
      <c r="A2" s="2" t="s">
        <v>366</v>
      </c>
      <c r="B2" s="2"/>
      <c r="C2" s="2"/>
      <c r="D2" s="2"/>
    </row>
    <row r="4" spans="1:4">
      <c r="A4" s="17" t="s">
        <v>367</v>
      </c>
      <c r="B4" s="17" t="s">
        <v>368</v>
      </c>
      <c r="C4" s="17" t="s">
        <v>369</v>
      </c>
      <c r="D4" s="17" t="s">
        <v>370</v>
      </c>
    </row>
    <row r="5" spans="1:4">
      <c r="A5" s="34" t="s">
        <v>371</v>
      </c>
      <c r="B5" s="21" t="s">
        <v>372</v>
      </c>
      <c r="C5" s="39">
        <f t="array" ref="C5">MAX(ABS('Balance Sheet'!C26:AL26))</f>
        <v>0</v>
      </c>
      <c r="D5" s="35">
        <f t="array" ref="D5">IF(MAX(ABS('Balance Sheet'!C26:AL26))&lt;1.0,"PASS","FAIL")</f>
        <v>0</v>
      </c>
    </row>
    <row r="6" spans="1:4">
      <c r="A6" s="34" t="s">
        <v>373</v>
      </c>
      <c r="B6" s="21" t="s">
        <v>374</v>
      </c>
      <c r="C6" s="39">
        <f t="array" ref="C6">MAX(ABS('Balance Sheet'!C8:AL8-'Cash Flow'!C28:AL28))</f>
        <v>0</v>
      </c>
      <c r="D6" s="35">
        <f t="array" ref="D6">IF(MAX(ABS('Balance Sheet'!C8:AL8-'Cash Flow'!C28:AL28))&lt;1.0,"PASS","FAIL")</f>
        <v>0</v>
      </c>
    </row>
    <row r="7" spans="1:4">
      <c r="A7" s="34" t="s">
        <v>375</v>
      </c>
      <c r="B7" s="21" t="s">
        <v>376</v>
      </c>
      <c r="C7" s="39">
        <f t="array" ref="C7">MAX(ABS('Balance Sheet'!D22:AL22-'Balance Sheet'!C22:AK22-'P&amp;L'!D24:AL24))</f>
        <v>0</v>
      </c>
      <c r="D7" s="35">
        <f t="array" ref="D7">IF(MAX(ABS('Balance Sheet'!D22:AL22-'Balance Sheet'!C22:AK22-'P&amp;L'!D24:AL24))&lt;1.0,"PASS","FAIL")</f>
        <v>0</v>
      </c>
    </row>
    <row r="8" spans="1:4">
      <c r="A8" s="34" t="s">
        <v>377</v>
      </c>
      <c r="B8" s="21" t="s">
        <v>378</v>
      </c>
      <c r="C8" s="39">
        <f t="array" ref="C8">MAX(MAX(ABS(('P&amp;L'!C7:AL7-'P&amp;L'!C8:AL8)-'P&amp;L'!C9:AL9)),MAX(ABS(('P&amp;L'!C9:AL9-'P&amp;L'!C16:AL16)-'P&amp;L'!C18:AL18)),MAX(ABS(('P&amp;L'!C18:AL18-'P&amp;L'!C19:AL19)-'P&amp;L'!C20:AL20)),MAX(ABS(('P&amp;L'!C20:AL20-'P&amp;L'!C21:AL21)-'P&amp;L'!C22:AL22)),MAX(ABS(('P&amp;L'!C22:AL22-'P&amp;L'!C23:AL23)-'P&amp;L'!C24:AL24)))</f>
        <v>0</v>
      </c>
      <c r="D8" s="35">
        <f t="array" ref="D8">IF(MAX(MAX(ABS(('P&amp;L'!C7:AL7-'P&amp;L'!C8:AL8)-'P&amp;L'!C9:AL9)),MAX(ABS(('P&amp;L'!C9:AL9-'P&amp;L'!C16:AL16)-'P&amp;L'!C18:AL18)),MAX(ABS(('P&amp;L'!C18:AL18-'P&amp;L'!C19:AL19)-'P&amp;L'!C20:AL20)),MAX(ABS(('P&amp;L'!C20:AL20-'P&amp;L'!C21:AL21)-'P&amp;L'!C22:AL22)),MAX(ABS(('P&amp;L'!C22:AL22-'P&amp;L'!C23:AL23)-'P&amp;L'!C24:AL24)))&lt;1.0,"PASS","FAIL")</f>
        <v>0</v>
      </c>
    </row>
    <row r="9" spans="1:4">
      <c r="A9" s="34" t="s">
        <v>379</v>
      </c>
      <c r="B9" s="21" t="s">
        <v>380</v>
      </c>
      <c r="C9" s="39">
        <f t="array" ref="C9">IF('Scenarios'!C15="OK",1,0)</f>
        <v>0</v>
      </c>
      <c r="D9" s="35">
        <f t="array" ref="D9">IF('Scenarios'!C15="OK","PASS","FAIL")</f>
        <v>0</v>
      </c>
    </row>
    <row r="10" spans="1:4">
      <c r="A10" s="34" t="s">
        <v>381</v>
      </c>
      <c r="B10" s="21" t="s">
        <v>382</v>
      </c>
      <c r="C10" s="20">
        <f t="array" ref="C10">SUMPRODUCT(--ISERROR('Headcount'!C5:BC260))+SUMPRODUCT(--ISERROR('Revenue'!C5:BC260))+SUMPRODUCT(--ISERROR('COGS &amp; GM'!C5:BC260))+SUMPRODUCT(--ISERROR('Opex'!C5:BC260))+SUMPRODUCT(--ISERROR('Working Capital'!C5:BC260))+SUMPRODUCT(--ISERROR('P&amp;L'!C5:BC260))+SUMPRODUCT(--ISERROR('Balance Sheet'!C5:BC260))+SUMPRODUCT(--ISERROR('Cash Flow'!C5:BC260))+SUMPRODUCT(--ISERROR('Cash &amp; Runway'!C5:BC260))</f>
        <v>0</v>
      </c>
      <c r="D10" s="35">
        <f t="array" ref="D10">IF((SUMPRODUCT(--ISERROR('Headcount'!C5:BC260))+SUMPRODUCT(--ISERROR('Revenue'!C5:BC260))+SUMPRODUCT(--ISERROR('COGS &amp; GM'!C5:BC260))+SUMPRODUCT(--ISERROR('Opex'!C5:BC260))+SUMPRODUCT(--ISERROR('Working Capital'!C5:BC260))+SUMPRODUCT(--ISERROR('P&amp;L'!C5:BC260))+SUMPRODUCT(--ISERROR('Balance Sheet'!C5:BC260))+SUMPRODUCT(--ISERROR('Cash Flow'!C5:BC260))+SUMPRODUCT(--ISERROR('Cash &amp; Runway'!C5:BC260)))=0,"PASS","FAIL")</f>
        <v>0</v>
      </c>
    </row>
    <row r="12" spans="1:4">
      <c r="A12" s="31" t="s">
        <v>383</v>
      </c>
      <c r="B12" s="31" t="s">
        <v>384</v>
      </c>
      <c r="C12" s="31"/>
      <c r="D12" s="31">
        <f>IF(AND(D5="PASS",D6="PASS",D7="PASS",D8="PASS",D9="PASS",D10="PASS"),"ALL PASS","REVIEW NEEDED")</f>
        <v>0</v>
      </c>
    </row>
  </sheetData>
  <mergeCells count="3">
    <mergeCell ref="A1:D1"/>
    <mergeCell ref="A2:D2"/>
    <mergeCell ref="B12:C12"/>
  </mergeCells>
  <conditionalFormatting sqref="D10">
    <cfRule type="cellIs" dxfId="0" priority="11" operator="equal">
      <formula>"PASS"</formula>
    </cfRule>
    <cfRule type="cellIs" dxfId="1" priority="12" operator="equal">
      <formula>"FAIL"</formula>
    </cfRule>
  </conditionalFormatting>
  <conditionalFormatting sqref="D12">
    <cfRule type="cellIs" dxfId="0" priority="13" operator="equal">
      <formula>"ALL PASS"</formula>
    </cfRule>
    <cfRule type="cellIs" dxfId="1" priority="14" operator="equal">
      <formula>"REVIEW NEEDED"</formula>
    </cfRule>
  </conditionalFormatting>
  <conditionalFormatting sqref="D5">
    <cfRule type="cellIs" dxfId="0" priority="1" operator="equal">
      <formula>"PASS"</formula>
    </cfRule>
    <cfRule type="cellIs" dxfId="1" priority="2" operator="equal">
      <formula>"FAIL"</formula>
    </cfRule>
  </conditionalFormatting>
  <conditionalFormatting sqref="D6">
    <cfRule type="cellIs" dxfId="0" priority="3" operator="equal">
      <formula>"PASS"</formula>
    </cfRule>
    <cfRule type="cellIs" dxfId="1" priority="4" operator="equal">
      <formula>"FAIL"</formula>
    </cfRule>
  </conditionalFormatting>
  <conditionalFormatting sqref="D7">
    <cfRule type="cellIs" dxfId="0" priority="5" operator="equal">
      <formula>"PASS"</formula>
    </cfRule>
    <cfRule type="cellIs" dxfId="1" priority="6" operator="equal">
      <formula>"FAIL"</formula>
    </cfRule>
  </conditionalFormatting>
  <conditionalFormatting sqref="D8">
    <cfRule type="cellIs" dxfId="0" priority="7" operator="equal">
      <formula>"PASS"</formula>
    </cfRule>
    <cfRule type="cellIs" dxfId="1" priority="8" operator="equal">
      <formula>"FAIL"</formula>
    </cfRule>
  </conditionalFormatting>
  <conditionalFormatting sqref="D9">
    <cfRule type="cellIs" dxfId="0" priority="9" operator="equal">
      <formula>"PASS"</formula>
    </cfRule>
    <cfRule type="cellIs" dxfId="1" priority="10" operator="equal">
      <formula>"FAIL"</formula>
    </cfRule>
  </conditionalFormatting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Read Me</vt:lpstr>
      <vt:lpstr>Assumptions</vt:lpstr>
      <vt:lpstr>Headcount</vt:lpstr>
      <vt:lpstr>Revenue</vt:lpstr>
      <vt:lpstr>COGS &amp; GM</vt:lpstr>
      <vt:lpstr>Opex</vt:lpstr>
      <vt:lpstr>Working Capital</vt:lpstr>
      <vt:lpstr>P&amp;L</vt:lpstr>
      <vt:lpstr>Cash Flow</vt:lpstr>
      <vt:lpstr>Balance Sheet</vt:lpstr>
      <vt:lpstr>Cash &amp; Runway</vt:lpstr>
      <vt:lpstr>Scenarios</vt:lpstr>
      <vt:lpstr>Visuals</vt:lpstr>
      <vt:lpstr>Checks</vt:lpstr>
      <vt:lpstr>'Balance Sheet'!Print_Titles</vt:lpstr>
      <vt:lpstr>'Cash &amp; Runway'!Print_Titles</vt:lpstr>
      <vt:lpstr>'Cash Flow'!Print_Titles</vt:lpstr>
      <vt:lpstr>'COGS &amp; GM'!Print_Titles</vt:lpstr>
      <vt:lpstr>Headcount!Print_Titles</vt:lpstr>
      <vt:lpstr>Opex!Print_Titles</vt:lpstr>
      <vt:lpstr>'P&amp;L'!Print_Titles</vt:lpstr>
      <vt:lpstr>Revenue!Print_Titles</vt:lpstr>
      <vt:lpstr>'Working Capital'!Print_Titles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2026-09-03T02:40:04Z</dcterms:created>
  <dcterms:modified xsi:type="dcterms:W3CDTF">2026-09-03T02:40:04Z</dcterms:modified>
</cp:coreProperties>
</file>