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33000" windowHeight="18000"/>
  </bookViews>
  <sheets>
    <sheet name="Read Me" sheetId="1" r:id="rId1"/>
    <sheet name="Assumptions" sheetId="2" r:id="rId2"/>
    <sheet name="Headcount" sheetId="3" r:id="rId3"/>
    <sheet name="Revenue" sheetId="4" r:id="rId4"/>
    <sheet name="COGS &amp; GM" sheetId="5" r:id="rId5"/>
    <sheet name="Opex" sheetId="6" r:id="rId6"/>
    <sheet name="Working Capital" sheetId="7" r:id="rId7"/>
    <sheet name="P&amp;L" sheetId="8" r:id="rId8"/>
    <sheet name="Balance Sheet" sheetId="9" r:id="rId9"/>
    <sheet name="Cash Flow" sheetId="10" r:id="rId10"/>
    <sheet name="Cash &amp; Runway" sheetId="11" r:id="rId11"/>
    <sheet name="Scenarios" sheetId="12" r:id="rId12"/>
    <sheet name="Visuals" sheetId="13" r:id="rId13"/>
    <sheet name="Checks" sheetId="14" r:id="rId14"/>
  </sheets>
  <definedNames>
    <definedName name="_xlnm.Print_Titles" localSheetId="9">'Balance Sheet'!$1:$4</definedName>
    <definedName name="_xlnm.Print_Titles" localSheetId="10">'Cash &amp; Runway'!$1:$4</definedName>
    <definedName name="_xlnm.Print_Titles" localSheetId="8">'Cash Flow'!$1:$4</definedName>
    <definedName name="_xlnm.Print_Titles" localSheetId="4">'COGS &amp; GM'!$1:$4</definedName>
    <definedName name="_xlnm.Print_Titles" localSheetId="2">Headcount!$1:$4</definedName>
    <definedName name="_xlnm.Print_Titles" localSheetId="5">Opex!$1:$4</definedName>
    <definedName name="_xlnm.Print_Titles" localSheetId="7">'P&amp;L'!$1:$4</definedName>
    <definedName name="_xlnm.Print_Titles" localSheetId="3">Revenue!$1:$4</definedName>
    <definedName name="_xlnm.Print_Titles" localSheetId="6">'Working Capital'!$1:$4</definedName>
  </definedNames>
  <calcPr calcId="124519" fullCalcOnLoad="1"/>
</workbook>
</file>

<file path=xl/sharedStrings.xml><?xml version="1.0" encoding="utf-8"?>
<sst xmlns="http://schemas.openxmlformats.org/spreadsheetml/2006/main" count="671" uniqueCount="449">
  <si>
    <t xml:space="preserve">  Consumer Subscription — 3-Year Financial Model</t>
  </si>
  <si>
    <t xml:space="preserve">  36-month integrated financial model — Read Me</t>
  </si>
  <si>
    <t>Overview</t>
  </si>
  <si>
    <t>A 36-month, formula-driven financial model for a consumer subscription business. Start on the Assumptions tab: set Base / Upside / Downside inputs and pick a scenario. Every downstream tab recalculates automatically across acquisition, MAU, paid conversion, revenue, costs, burn, and runway.</t>
  </si>
  <si>
    <t>How this workbook is organized</t>
  </si>
  <si>
    <t>Assumptions -&gt; Headcount -&gt; Revenue -&gt; COGS &amp; GM -&gt; Opex -&gt; Working Capital -&gt; P&amp;L -&gt; Balance Sheet -&gt; Cash Flow -&gt; Cash &amp; Runway -&gt; Scenarios -&gt; Visuals -&gt; Checks. Data flows strictly left-to-right through that order: change an assumption, and every downstream tab recalculates automatically (workbook calculation mode is Automatic).</t>
  </si>
  <si>
    <t>Formatting legend</t>
  </si>
  <si>
    <t>Blue text on light-blue fill = an input you can edit (Assumptions tab, and scenario selector).</t>
  </si>
  <si>
    <t>Black text on white = a live formula. Do not hard-code over these cells.</t>
  </si>
  <si>
    <t>Cells on a light-gray band = a value linked in from another tab.</t>
  </si>
  <si>
    <t>Color palette</t>
  </si>
  <si>
    <t>Purple  (#7B68EE)</t>
  </si>
  <si>
    <t>Blue  (#49CCF9)</t>
  </si>
  <si>
    <t>Teal  (#79D9B9)</t>
  </si>
  <si>
    <t>Pink  (#FD71AF)</t>
  </si>
  <si>
    <t>Orange  (#FFB08E)</t>
  </si>
  <si>
    <t>Business model</t>
  </si>
  <si>
    <t>This workbook models a consumer subscription app over 36 months. Users enter through paid, organic / viral, and influencer / referral channels, become monthly active users, and a portion converts from free to paid. Paid subscribers monetize through a blended two-tier subscription ARPU.</t>
  </si>
  <si>
    <t>Key KPIs</t>
  </si>
  <si>
    <t>Headline metrics include MAU, paid subscribers, free-to-paid conversion, paid retention and churn, blended ARPU, CAC, LTV, LTV:CAC, CAC payback, gross margin, contribution margin, burn, and runway. Revenue and COGS tabs expose these directly, and the Scenarios tab summarizes six headline comparisons.</t>
  </si>
  <si>
    <t>Modeling notes</t>
  </si>
  <si>
    <t>MAU churn and paid churn are modeled separately: paid churned subscribers are assumed to remain in the free MAU pool unless total MAU churn removes them. Acquisition spend is derived as channel signups multiplied by channel CAC, and app-store economics are simplified into a single blended platform-fee percentage.</t>
  </si>
  <si>
    <t>Limitations &amp; disclaimer</t>
  </si>
  <si>
    <t>This workbook is a lightweight planning tool built to help you reason about unit economics, burn, and runway. It is NOT accounting, tax, or investment advice, and it is not a substitute for GAAP/IFRS-compliant books, a CPA, or legal/financial counsel. Formulas use simplified, transparent approximations (documented on each tab) rather than full cohort- or lot-level accounting. Validate every assumption against your own data before using this model for fundraising, budgeting, or compliance decisions.</t>
  </si>
  <si>
    <t>Timeline &amp; recalculation</t>
  </si>
  <si>
    <t>36 monthly periods, plus quarterly (12) and annual (3) roll-up columns on each schedule tab. Workbook calculation is set to Automatic — Excel recalculates on every edit. Deterministic, seeded default assumptions are provided so the model is internally consistent out of the box; replace them with your own numbers on the Assumptions tab.</t>
  </si>
  <si>
    <t xml:space="preserve">  Consumer Subscription — 3-Year Financial Model — Assumptions</t>
  </si>
  <si>
    <t xml:space="preserve">  Plain-language inputs. Edit the Base / Upside / Downside columns only — everything else in this workbook is a formula.</t>
  </si>
  <si>
    <t>Scenario selector:</t>
  </si>
  <si>
    <t>Base</t>
  </si>
  <si>
    <t>&lt;&lt; Pick Base / Upside / Downside. This one cell drives every formula in the model.</t>
  </si>
  <si>
    <t>Assumption</t>
  </si>
  <si>
    <t>Unit</t>
  </si>
  <si>
    <t>Upside</t>
  </si>
  <si>
    <t>Downside</t>
  </si>
  <si>
    <t>Active (used in model)</t>
  </si>
  <si>
    <t>Notes / definition</t>
  </si>
  <si>
    <t xml:space="preserve">  Company &amp; Financial</t>
  </si>
  <si>
    <t>Starting cash balance</t>
  </si>
  <si>
    <t>$</t>
  </si>
  <si>
    <t>Cash on hand at the start of month 1.</t>
  </si>
  <si>
    <t>Starting paid-in capital</t>
  </si>
  <si>
    <t>Cumulative equity raised before the modeled period.</t>
  </si>
  <si>
    <t>Income tax rate</t>
  </si>
  <si>
    <t>%</t>
  </si>
  <si>
    <t>Applied only when Earnings Before Tax is positive; no NOL schedule modeled.</t>
  </si>
  <si>
    <t xml:space="preserve">  Acquisition &amp; Funnel</t>
  </si>
  <si>
    <t>Starting monthly active users (MAU)</t>
  </si>
  <si>
    <t>#</t>
  </si>
  <si>
    <t>All active users at the start of month 1, including paid subscribers.</t>
  </si>
  <si>
    <t>Monthly active-user churn rate</t>
  </si>
  <si>
    <t>Share of beginning MAU that goes inactive each month.</t>
  </si>
  <si>
    <t>Starting paid subscribers</t>
  </si>
  <si>
    <t>Active subscribers paying at the start of month 1.</t>
  </si>
  <si>
    <t>Paid-channel new signups, month 1</t>
  </si>
  <si>
    <t>Users acquired from paid media in month 1.</t>
  </si>
  <si>
    <t>Paid-channel signups growth, month over month</t>
  </si>
  <si>
    <t>Compounding growth in paid-media signups each month.</t>
  </si>
  <si>
    <t>Paid-channel CAC per new signup</t>
  </si>
  <si>
    <t>$/user</t>
  </si>
  <si>
    <t>Blended paid-media acquisition cost per new user.</t>
  </si>
  <si>
    <t>Organic / viral new signups, month 1</t>
  </si>
  <si>
    <t>Users arriving via word-of-mouth, SEO, app-store discovery, and product virality.</t>
  </si>
  <si>
    <t>Organic / viral signups growth, month over month</t>
  </si>
  <si>
    <t>Organic signups often scale with awareness and product-market fit.</t>
  </si>
  <si>
    <t>Organic / viral CAC equivalent per signup</t>
  </si>
  <si>
    <t>Represents community/content/program costs allocated per organic user.</t>
  </si>
  <si>
    <t>Influencer / referral new signups, month 1</t>
  </si>
  <si>
    <t>Users acquired from creators, affiliate partners, and referral loops.</t>
  </si>
  <si>
    <t>Influencer / referral signups growth, month over month</t>
  </si>
  <si>
    <t>Compounding growth in creator and referral-driven acquisition.</t>
  </si>
  <si>
    <t>Influencer / referral CAC per new signup</t>
  </si>
  <si>
    <t>Creator fees, referral rewards, and affiliate payouts per acquired user.</t>
  </si>
  <si>
    <t xml:space="preserve">  Retention &amp; Monetization</t>
  </si>
  <si>
    <t>Free-to-paid conversion rate</t>
  </si>
  <si>
    <t>Share of free MAU that converts to paid each month.</t>
  </si>
  <si>
    <t>Paid subscriber churn rate</t>
  </si>
  <si>
    <t>Monthly churn of beginning paid subscribers.</t>
  </si>
  <si>
    <t>Plus plan price per subscriber</t>
  </si>
  <si>
    <t>$/mo</t>
  </si>
  <si>
    <t>Blended realized monthly price for the standard paid tier.</t>
  </si>
  <si>
    <t>Premium / family plan price per subscriber</t>
  </si>
  <si>
    <t>Higher-value tier with more seats/features.</t>
  </si>
  <si>
    <t>Premium-tier mix, month 1</t>
  </si>
  <si>
    <t>Share of paid subscribers on the higher-value plan at the start of the model.</t>
  </si>
  <si>
    <t>Premium-tier mix shift, month over month</t>
  </si>
  <si>
    <t>Monthly change in premium-plan mix, capped inside the model.</t>
  </si>
  <si>
    <t xml:space="preserve">  COGS &amp; Platform Fees</t>
  </si>
  <si>
    <t>App-store / platform fee, % of revenue</t>
  </si>
  <si>
    <t>Blended app-store take rate / merchant-of-record fee on subscription revenue.</t>
  </si>
  <si>
    <t>Payment processing fee, % of revenue</t>
  </si>
  <si>
    <t>Card and payment-processor fees on direct-web billing.</t>
  </si>
  <si>
    <t>Hosting &amp; infra cost per MAU</t>
  </si>
  <si>
    <t>$/MAU/mo</t>
  </si>
  <si>
    <t>Storage, delivery, and core application infrastructure per active user.</t>
  </si>
  <si>
    <t>AI inference / premium support cost per paid subscriber</t>
  </si>
  <si>
    <t>$/sub/mo</t>
  </si>
  <si>
    <t>Variable AI feature cost and premium support burden per active paid subscriber.</t>
  </si>
  <si>
    <t xml:space="preserve">  Headcount — Support / Community Ops (COGS)</t>
  </si>
  <si>
    <t>Starting Support / Community Ops FTEs</t>
  </si>
  <si>
    <t>Customer support, trust &amp; safety, and community operations.</t>
  </si>
  <si>
    <t>Support / Community Ops net adds per quarter</t>
  </si>
  <si>
    <t>Support / Community Ops fully-loaded cost per FTE</t>
  </si>
  <si>
    <t>Salary + benefits + payroll tax, monthly.</t>
  </si>
  <si>
    <t xml:space="preserve">  Headcount — Growth / Marketing (Opex)</t>
  </si>
  <si>
    <t>Starting Growth / Marketing FTEs</t>
  </si>
  <si>
    <t>Performance marketing, lifecycle CRM, and growth analytics.</t>
  </si>
  <si>
    <t>Growth / Marketing net adds per quarter</t>
  </si>
  <si>
    <t>Growth / Marketing fully-loaded cost per FTE</t>
  </si>
  <si>
    <t xml:space="preserve">  Headcount — Product &amp; Engineering (Opex)</t>
  </si>
  <si>
    <t>Starting Product / Engineering FTEs</t>
  </si>
  <si>
    <t>Engineering, product, design, and data roles building the app.</t>
  </si>
  <si>
    <t>Product / Engineering net adds per quarter</t>
  </si>
  <si>
    <t>Product / Engineering fully-loaded cost per FTE</t>
  </si>
  <si>
    <t xml:space="preserve">  Headcount — G&amp;A (Opex)</t>
  </si>
  <si>
    <t>Starting G&amp;A FTEs</t>
  </si>
  <si>
    <t>Finance, HR, legal, and operations.</t>
  </si>
  <si>
    <t>G&amp;A net adds per quarter</t>
  </si>
  <si>
    <t>G&amp;A fully-loaded cost per FTE</t>
  </si>
  <si>
    <t xml:space="preserve">  Marketing / Opex</t>
  </si>
  <si>
    <t>CRM / analytics / lifecycle tools</t>
  </si>
  <si>
    <t>Braze/Iterable, attribution, mobile analytics, and experimentation tooling.</t>
  </si>
  <si>
    <t>Product software / tools</t>
  </si>
  <si>
    <t>Developer tools, observability, data tooling, and collaboration software.</t>
  </si>
  <si>
    <t>Facilities / admin fixed monthly spend</t>
  </si>
  <si>
    <t>Office, insurance, recruiting, audit, and other overhead.</t>
  </si>
  <si>
    <t xml:space="preserve">  Working Capital &amp; Financing</t>
  </si>
  <si>
    <t>Days Sales Outstanding (AR)</t>
  </si>
  <si>
    <t>days</t>
  </si>
  <si>
    <t>Low receivables balance reflecting payment-processor / app-store settlement timing.</t>
  </si>
  <si>
    <t>Days Payable Outstanding (AP)</t>
  </si>
  <si>
    <t>Deferred revenue held in advance</t>
  </si>
  <si>
    <t>mo</t>
  </si>
  <si>
    <t>Reflects modest annual-prepay or app-store cash received before recognition.</t>
  </si>
  <si>
    <t>Capex, % of revenue</t>
  </si>
  <si>
    <t>Capitalized internal tools, office equipment, and small-scale infrastructure.</t>
  </si>
  <si>
    <t>Useful life of capitalized assets</t>
  </si>
  <si>
    <t>months</t>
  </si>
  <si>
    <t>Other current assets, % of revenue</t>
  </si>
  <si>
    <t>Prepaids, deposits, and other small current assets.</t>
  </si>
  <si>
    <t>Venture debt annual interest rate</t>
  </si>
  <si>
    <t>Venture debt draw (one-time)</t>
  </si>
  <si>
    <t>Venture debt monthly repayment</t>
  </si>
  <si>
    <t>Growth equity raise (month 6)</t>
  </si>
  <si>
    <t>Follow-on equity raise (month 22)</t>
  </si>
  <si>
    <t>Tip: start with Base, then stress-test acquisition, conversion, churn, platform fees, and burn in Upside / Downside.</t>
  </si>
  <si>
    <t xml:space="preserve">  Consumer Subscription — 3-Year Financial Model — Headcount</t>
  </si>
  <si>
    <t xml:space="preserve">  Fully-loaded FTE ramps by role — flows into COGS or Opex by classification.</t>
  </si>
  <si>
    <t>Monthly (36 months)</t>
  </si>
  <si>
    <t>Quarterly</t>
  </si>
  <si>
    <t>Annual</t>
  </si>
  <si>
    <t>Line item</t>
  </si>
  <si>
    <t>Units / source</t>
  </si>
  <si>
    <t>Q1</t>
  </si>
  <si>
    <t>Q2</t>
  </si>
  <si>
    <t>Q3</t>
  </si>
  <si>
    <t>Q4</t>
  </si>
  <si>
    <t>Q5</t>
  </si>
  <si>
    <t>Q6</t>
  </si>
  <si>
    <t>Q7</t>
  </si>
  <si>
    <t>Q8</t>
  </si>
  <si>
    <t>Q9</t>
  </si>
  <si>
    <t>Q10</t>
  </si>
  <si>
    <t>Q11</t>
  </si>
  <si>
    <t>Q12</t>
  </si>
  <si>
    <t>FY1</t>
  </si>
  <si>
    <t>FY2</t>
  </si>
  <si>
    <t>FY3</t>
  </si>
  <si>
    <t xml:space="preserve">  Cost of Goods Sold headcount (COGS-classified)</t>
  </si>
  <si>
    <t>Support / Community Ops — headcount (FTE)</t>
  </si>
  <si>
    <t>Cost of Revenue · start + net adds/qtr ÷ 3</t>
  </si>
  <si>
    <t>Support / Community Ops — fully-loaded cost</t>
  </si>
  <si>
    <t>Headcount × monthly fully-loaded cost/FTE</t>
  </si>
  <si>
    <t xml:space="preserve">  Operating expense headcount (Opex-classified)</t>
  </si>
  <si>
    <t>Growth / Marketing — headcount (FTE)</t>
  </si>
  <si>
    <t>Growth &amp; Marketing · start + net adds/qtr ÷ 3</t>
  </si>
  <si>
    <t>Growth / Marketing — fully-loaded cost</t>
  </si>
  <si>
    <t>Product / Engineering — headcount (FTE)</t>
  </si>
  <si>
    <t>Product &amp; Engineering · start + net adds/qtr ÷ 3</t>
  </si>
  <si>
    <t>Product / Engineering — fully-loaded cost</t>
  </si>
  <si>
    <t>G&amp;A — headcount (FTE)</t>
  </si>
  <si>
    <t>General &amp; Administrative · start + net adds/qtr ÷ 3</t>
  </si>
  <si>
    <t>G&amp;A — fully-loaded cost</t>
  </si>
  <si>
    <t xml:space="preserve">  Totals</t>
  </si>
  <si>
    <t>Total headcount (FTE)</t>
  </si>
  <si>
    <t>Sum of all roles</t>
  </si>
  <si>
    <t>Total COGS-classified people cost</t>
  </si>
  <si>
    <t>Feeds COGS &amp; GM tab</t>
  </si>
  <si>
    <t>Total Opex-classified people cost</t>
  </si>
  <si>
    <t>Feeds Opex tab</t>
  </si>
  <si>
    <t xml:space="preserve">  General &amp; Administrative people cost</t>
  </si>
  <si>
    <t xml:space="preserve">  Growth &amp; Marketing people cost</t>
  </si>
  <si>
    <t xml:space="preserve">  Product &amp; Engineering people cost</t>
  </si>
  <si>
    <t xml:space="preserve">  Consumer Subscription — 3-Year Financial Model — Revenue</t>
  </si>
  <si>
    <t xml:space="preserve">  Channel acquisition -&gt; MAU bridge -&gt; free-to-paid conversion -&gt; paid subscriber bridge -&gt; blended ARPU.</t>
  </si>
  <si>
    <t xml:space="preserve">  Acquisition by Channel</t>
  </si>
  <si>
    <t>Paid new signups</t>
  </si>
  <si>
    <t>Monthly new users from this channel</t>
  </si>
  <si>
    <t>Paid acquisition spend</t>
  </si>
  <si>
    <t>New signups × CAC / signup</t>
  </si>
  <si>
    <t>Organic / Viral new signups</t>
  </si>
  <si>
    <t>Organic / Viral acquisition spend</t>
  </si>
  <si>
    <t>Influencer / Referral new signups</t>
  </si>
  <si>
    <t>Influencer / Referral acquisition spend</t>
  </si>
  <si>
    <t>Total new signups</t>
  </si>
  <si>
    <t>Sum of paid, organic / viral, and influencer / referral channels</t>
  </si>
  <si>
    <t>Total acquisition spend</t>
  </si>
  <si>
    <t>Channel acquisition spend that flows into Growth &amp; Marketing Opex</t>
  </si>
  <si>
    <t xml:space="preserve">  MAU &amp; Paid Subscriber Funnel</t>
  </si>
  <si>
    <t>Beginning MAU</t>
  </si>
  <si>
    <t>Prior month ending MAU (or starting MAU in month 1)</t>
  </si>
  <si>
    <t>New signups</t>
  </si>
  <si>
    <t>Linked from channel acquisition above</t>
  </si>
  <si>
    <t>Churned / inactive MAU</t>
  </si>
  <si>
    <t>Beginning MAU × active-user churn rate</t>
  </si>
  <si>
    <t>Ending MAU</t>
  </si>
  <si>
    <t>Beginning MAU + new signups − MAU churn</t>
  </si>
  <si>
    <t>Beginning paid subscribers</t>
  </si>
  <si>
    <t>Prior month ending paid subscribers</t>
  </si>
  <si>
    <t>Churned paid subscribers</t>
  </si>
  <si>
    <t>Beginning paid subscribers × paid churn</t>
  </si>
  <si>
    <t>Retained paid before new adds</t>
  </si>
  <si>
    <t>Beginning paid subscribers net of subscriber churn</t>
  </si>
  <si>
    <t>Free MAU available to convert</t>
  </si>
  <si>
    <t>Ending MAU less retained paid subscribers</t>
  </si>
  <si>
    <t>Free-to-paid conversion %</t>
  </si>
  <si>
    <t>Monthly free-user conversion assumption</t>
  </si>
  <si>
    <t>New paid adds</t>
  </si>
  <si>
    <t>Free MAU pool × conversion %</t>
  </si>
  <si>
    <t>Ending paid subscribers</t>
  </si>
  <si>
    <t>Retained paid subscribers + new paid adds</t>
  </si>
  <si>
    <t xml:space="preserve">  Plans, ARPU &amp; Revenue</t>
  </si>
  <si>
    <t>Premium-tier subscriber mix</t>
  </si>
  <si>
    <t>Higher-value plan mix, capped inside the model</t>
  </si>
  <si>
    <t>Blended ARPU</t>
  </si>
  <si>
    <t>Weighted average of standard and premium plan pricing</t>
  </si>
  <si>
    <t>Subscription revenue</t>
  </si>
  <si>
    <t>Ending paid subscribers × blended ARPU</t>
  </si>
  <si>
    <t>Revenue run-rate (monthly revenue x 12)</t>
  </si>
  <si>
    <t>Illustrative ARR-equivalent for a monthly consumer subscription business</t>
  </si>
  <si>
    <t>Total Revenue</t>
  </si>
  <si>
    <t>Subscription revenue only; no ads or IAP modeled</t>
  </si>
  <si>
    <t xml:space="preserve">  Consumer Subscription KPIs</t>
  </si>
  <si>
    <t>MAU growth (month over month)</t>
  </si>
  <si>
    <t>Paid subscribers as % of MAU</t>
  </si>
  <si>
    <t>Paid retention %</t>
  </si>
  <si>
    <t>Paid churn %</t>
  </si>
  <si>
    <t>Blended CAC</t>
  </si>
  <si>
    <t>Total acquisition spend ÷ new paid adds</t>
  </si>
  <si>
    <t>Revenue per MAU</t>
  </si>
  <si>
    <t xml:space="preserve">  Consumer Subscription — 3-Year Financial Model — COGS &amp; GM</t>
  </si>
  <si>
    <t xml:space="preserve">  App-store / payment fees, hosting, AI inference cost, and Support / Community Ops people cost.</t>
  </si>
  <si>
    <t xml:space="preserve">  COGS Components</t>
  </si>
  <si>
    <t>App-store / platform fees</t>
  </si>
  <si>
    <t>Payment processing fees</t>
  </si>
  <si>
    <t>Hosting &amp; infrastructure</t>
  </si>
  <si>
    <t>AI inference / premium support</t>
  </si>
  <si>
    <t>Support / Community Ops people cost</t>
  </si>
  <si>
    <t>Total COGS</t>
  </si>
  <si>
    <t xml:space="preserve">  Gross Profit &amp; Unit Economics</t>
  </si>
  <si>
    <t>Gross Profit</t>
  </si>
  <si>
    <t>Gross Margin %</t>
  </si>
  <si>
    <t>Contribution Margin %</t>
  </si>
  <si>
    <t>(Gross profit − acquisition spend) ÷ revenue</t>
  </si>
  <si>
    <t>LTV</t>
  </si>
  <si>
    <t>Blended ARPU × contribution margin % ÷ monthly paid churn</t>
  </si>
  <si>
    <t>LTV : CAC</t>
  </si>
  <si>
    <t>CAC payback (months)</t>
  </si>
  <si>
    <t>Blended CAC ÷ (ARPU × contribution margin %)</t>
  </si>
  <si>
    <t>Runway (months)</t>
  </si>
  <si>
    <t>Linked from the Cash &amp; Runway tab</t>
  </si>
  <si>
    <t xml:space="preserve">  Consumer Subscription — 3-Year Financial Model — Opex</t>
  </si>
  <si>
    <t xml:space="preserve">  Operating expenses by department — headcount cost plus program spend.</t>
  </si>
  <si>
    <t xml:space="preserve">  Growth &amp; Marketing</t>
  </si>
  <si>
    <t>Growth &amp; Marketing — people cost</t>
  </si>
  <si>
    <t>Linked from Headcount tab</t>
  </si>
  <si>
    <t>Paid Acquisition Spend</t>
  </si>
  <si>
    <t>Linked from Revenue tab: paid signups × CAC</t>
  </si>
  <si>
    <t>Organic / Viral Program Spend</t>
  </si>
  <si>
    <t>Linked from Revenue tab: organic signups × CAC equivalent</t>
  </si>
  <si>
    <t>Influencer / Referral Spend</t>
  </si>
  <si>
    <t>Linked from Revenue tab: referral signups × CAC</t>
  </si>
  <si>
    <t>CRM / Analytics / Lifecycle Tools</t>
  </si>
  <si>
    <t>Fixed monthly</t>
  </si>
  <si>
    <t>Total Growth &amp; Marketing</t>
  </si>
  <si>
    <t xml:space="preserve">  Product &amp; Engineering</t>
  </si>
  <si>
    <t>Product &amp; Engineering — people cost</t>
  </si>
  <si>
    <t>Product Software &amp; Tools</t>
  </si>
  <si>
    <t>Total Product &amp; Engineering</t>
  </si>
  <si>
    <t xml:space="preserve">  General &amp; Administrative</t>
  </si>
  <si>
    <t>General &amp; Administrative — people cost</t>
  </si>
  <si>
    <t>Facilities &amp; Admin</t>
  </si>
  <si>
    <t>Total General &amp; Administrative</t>
  </si>
  <si>
    <t xml:space="preserve">  Total Operating Expenses</t>
  </si>
  <si>
    <t>Total Opex</t>
  </si>
  <si>
    <t xml:space="preserve">  Consumer Subscription — 3-Year Financial Model — Working Capital</t>
  </si>
  <si>
    <t xml:space="preserve">  Balance-sheet drivers: receivables, payables, deferred revenue, capex/depreciation, debt &amp; equity financing.</t>
  </si>
  <si>
    <t xml:space="preserve">  Receivables, Payables &amp; Deferred Revenue</t>
  </si>
  <si>
    <t>Accounts Receivable balance</t>
  </si>
  <si>
    <t>Revenue × DSO ÷ 30</t>
  </si>
  <si>
    <t>Accounts Payable balance</t>
  </si>
  <si>
    <t>(COGS + Opex) × DPO ÷ 30</t>
  </si>
  <si>
    <t>Deferred Revenue balance</t>
  </si>
  <si>
    <t>Revenue × months collected in advance</t>
  </si>
  <si>
    <t>Other Current Assets balance</t>
  </si>
  <si>
    <t>Revenue × assumption % (prepaid expenses, etc.)</t>
  </si>
  <si>
    <t xml:space="preserve">  Change in Accounts Receivable</t>
  </si>
  <si>
    <t xml:space="preserve">  Change in Accounts Payable</t>
  </si>
  <si>
    <t xml:space="preserve">  Change in Deferred Revenue</t>
  </si>
  <si>
    <t xml:space="preserve">  Change in Other Current Assets</t>
  </si>
  <si>
    <t xml:space="preserve">  Capex &amp; Depreciation (PP&amp;E)</t>
  </si>
  <si>
    <t>Capital expenditures</t>
  </si>
  <si>
    <t>Revenue × capex % of revenue</t>
  </si>
  <si>
    <t>Depreciation &amp; amortization</t>
  </si>
  <si>
    <t>Straight-line over useful life; trailing-window formula</t>
  </si>
  <si>
    <t>Net PP&amp;E balance</t>
  </si>
  <si>
    <t xml:space="preserve">  Debt Schedule</t>
  </si>
  <si>
    <t>Debt draw</t>
  </si>
  <si>
    <t>One-time draw in month 10</t>
  </si>
  <si>
    <t>Debt repayment</t>
  </si>
  <si>
    <t>Fixed $/month once balance exists, starting the assumed month</t>
  </si>
  <si>
    <t>Debt balance (ending)</t>
  </si>
  <si>
    <t>Prior balance + draw − repayment</t>
  </si>
  <si>
    <t>Interest expense</t>
  </si>
  <si>
    <t>Prior month balance × annual rate ÷ 12</t>
  </si>
  <si>
    <t xml:space="preserve">  Equity Financing</t>
  </si>
  <si>
    <t>Equity raised</t>
  </si>
  <si>
    <t>Growth Equity in month 6; Follow-on Equity in month 22</t>
  </si>
  <si>
    <t>Cumulative paid-in capital</t>
  </si>
  <si>
    <t xml:space="preserve">  Consumer Subscription — 3-Year Financial Model — P&amp;L</t>
  </si>
  <si>
    <t xml:space="preserve">  Integrated income statement — every line links to Revenue, COGS &amp; GM, Opex, or Working Capital.</t>
  </si>
  <si>
    <t>Revenue</t>
  </si>
  <si>
    <t>Cost of Goods Sold</t>
  </si>
  <si>
    <t xml:space="preserve">  Operating Expenses</t>
  </si>
  <si>
    <t>Growth &amp; Marketing</t>
  </si>
  <si>
    <t>Product &amp; Engineering</t>
  </si>
  <si>
    <t>General &amp; Administrative</t>
  </si>
  <si>
    <t>Total Operating Expenses</t>
  </si>
  <si>
    <t>EBITDA</t>
  </si>
  <si>
    <t>Depreciation &amp; Amortization</t>
  </si>
  <si>
    <t>EBIT (Operating Income)</t>
  </si>
  <si>
    <t>Interest Expense</t>
  </si>
  <si>
    <t>Earnings Before Tax</t>
  </si>
  <si>
    <t>Income Tax Expense</t>
  </si>
  <si>
    <t>MAX(0, EBT) × tax rate — no NOL modeling</t>
  </si>
  <si>
    <t>Net Income</t>
  </si>
  <si>
    <t xml:space="preserve">  Consumer Subscription — 3-Year Financial Model — Cash Flow</t>
  </si>
  <si>
    <t xml:space="preserve">  Indirect method — Net Income reconciled to the change in cash.</t>
  </si>
  <si>
    <t xml:space="preserve">  Cash from Operations</t>
  </si>
  <si>
    <t>+ Depreciation &amp; Amortization</t>
  </si>
  <si>
    <t>− Change in Accounts Receivable</t>
  </si>
  <si>
    <t>− Change in Other Current Assets</t>
  </si>
  <si>
    <t>+ Change in Accounts Payable</t>
  </si>
  <si>
    <t>+ Change in Deferred Revenue</t>
  </si>
  <si>
    <t>Cash from Operations</t>
  </si>
  <si>
    <t xml:space="preserve">  Cash from Investing</t>
  </si>
  <si>
    <t>− Capital Expenditures</t>
  </si>
  <si>
    <t>Cash from Investing</t>
  </si>
  <si>
    <t xml:space="preserve">  Cash from Financing</t>
  </si>
  <si>
    <t>+ Debt Draw</t>
  </si>
  <si>
    <t>− Debt Repayment</t>
  </si>
  <si>
    <t>+ Equity Raised</t>
  </si>
  <si>
    <t>Cash from Financing</t>
  </si>
  <si>
    <t>Net Change in Cash</t>
  </si>
  <si>
    <t>Beginning Cash</t>
  </si>
  <si>
    <t>Prior month ending cash (or starting cash in month 1)</t>
  </si>
  <si>
    <t>Ending Cash</t>
  </si>
  <si>
    <t>Beginning cash + net change in cash</t>
  </si>
  <si>
    <t xml:space="preserve">  Consumer Subscription — 3-Year Financial Model — Balance Sheet</t>
  </si>
  <si>
    <t xml:space="preserve">  Assets = Liabilities + Equity every month, by construction.</t>
  </si>
  <si>
    <t xml:space="preserve">  Assets</t>
  </si>
  <si>
    <t>Cash &amp; equivalents</t>
  </si>
  <si>
    <t>Linked from Cash Flow tab</t>
  </si>
  <si>
    <t>Accounts Receivable</t>
  </si>
  <si>
    <t>Other Current Assets (prepaid, etc.)</t>
  </si>
  <si>
    <t>Linked from Working Capital tab</t>
  </si>
  <si>
    <t>Net PP&amp;E</t>
  </si>
  <si>
    <t>Total Assets</t>
  </si>
  <si>
    <t xml:space="preserve">  Liabilities</t>
  </si>
  <si>
    <t>Accounts Payable</t>
  </si>
  <si>
    <t>Deferred Revenue</t>
  </si>
  <si>
    <t>Debt</t>
  </si>
  <si>
    <t>Total Liabilities</t>
  </si>
  <si>
    <t xml:space="preserve">  Equity</t>
  </si>
  <si>
    <t>Paid-in Capital</t>
  </si>
  <si>
    <t>Starting paid-in capital + cumulative equity raised</t>
  </si>
  <si>
    <t>Retained Earnings</t>
  </si>
  <si>
    <t>Starting RE (= starting cash − starting paid-in capital) + cumulative Net Income</t>
  </si>
  <si>
    <t>Total Equity</t>
  </si>
  <si>
    <t>Total Liabilities + Equity</t>
  </si>
  <si>
    <t>Balance check (Assets − Liab&amp;Equity)</t>
  </si>
  <si>
    <t>Must equal ~0 every month</t>
  </si>
  <si>
    <t xml:space="preserve">  Consumer Subscription — 3-Year Financial Model — Cash &amp; Runway</t>
  </si>
  <si>
    <t xml:space="preserve">  Burn rate and runway — reconciled to the Cash Flow tab.</t>
  </si>
  <si>
    <t xml:space="preserve">  Cash Position</t>
  </si>
  <si>
    <t>Ending Cash Balance</t>
  </si>
  <si>
    <t>Monthly Net Burn (pre-financing)</t>
  </si>
  <si>
    <t>MAX(0, −(operating + investing cash flow)); excludes debt and equity proceeds</t>
  </si>
  <si>
    <t>Trailing 3-Month Avg Burn</t>
  </si>
  <si>
    <t>Ending cash ÷ trailing 3-month pre-financing burn; 0 if cash is depleted; 999 if cash-flow positive</t>
  </si>
  <si>
    <t xml:space="preserve">  Headline</t>
  </si>
  <si>
    <t>Runway as of final month (36)</t>
  </si>
  <si>
    <t xml:space="preserve">  Consumer Subscription — 3-Year Financial Model — Scenario Comparison</t>
  </si>
  <si>
    <t xml:space="preserve">  Base/Upside/Downside columns are a fast analytical approximation for side-by-side comparison. The 'Full model' column reflects the detailed 36-month model at the scenario currently selected on the Assumptions tab.</t>
  </si>
  <si>
    <t>Currently selected scenario:</t>
  </si>
  <si>
    <t>KPI</t>
  </si>
  <si>
    <t>Definition</t>
  </si>
  <si>
    <t>Full model (selected)</t>
  </si>
  <si>
    <t>Revenue run-rate (Month 1 x 12)</t>
  </si>
  <si>
    <t>Month-1 subscription revenue annualized as a simple ARR-equivalent headline.</t>
  </si>
  <si>
    <t>Paid retention % (illustrative)</t>
  </si>
  <si>
    <t>1 − monthly paid subscriber churn rate.</t>
  </si>
  <si>
    <t>Implied Revenue at Month 36 (approx.)</t>
  </si>
  <si>
    <t>Month-1 revenue compounded at an illustrative blended paid-user growth trend for 35 more months.</t>
  </si>
  <si>
    <t>Gross Margin % (illustrative, Month 1)</t>
  </si>
  <si>
    <t>Month-1 revenue less platform fees, hosting, AI inference, and support people cost.</t>
  </si>
  <si>
    <t>Month-1 Net Burn (illustrative)</t>
  </si>
  <si>
    <t>Month-1 COGS + Opex less revenue; floored at zero.</t>
  </si>
  <si>
    <t>Runway (illustrative, months)</t>
  </si>
  <si>
    <t>Starting cash divided by illustrative month-1 net burn.</t>
  </si>
  <si>
    <t xml:space="preserve">  Scenario Validity</t>
  </si>
  <si>
    <t>Selector value is valid (Base/Upside/Downside)?</t>
  </si>
  <si>
    <t xml:space="preserve">  Consumer Subscription — 3-Year Financial Model — Visuals</t>
  </si>
  <si>
    <t xml:space="preserve">  MAU, paid conversion, unit economics, cash, headcount, and scenario trends for the Consumer Subscription model.</t>
  </si>
  <si>
    <t>MAU (Month 36)</t>
  </si>
  <si>
    <t>Paid Subs (Month 36)</t>
  </si>
  <si>
    <t>Revenue (Month 36)</t>
  </si>
  <si>
    <t>Gross Margin % (Month 36)</t>
  </si>
  <si>
    <t>LTV : CAC (Month 36)</t>
  </si>
  <si>
    <t xml:space="preserve">  Consumer Subscription — 3-Year Financial Model — Checks</t>
  </si>
  <si>
    <t xml:space="preserve">  Every control below should read PASS. If anything reads FAIL, trace it back through the linked tabs before trusting the outputs.</t>
  </si>
  <si>
    <t>Check</t>
  </si>
  <si>
    <t>Description</t>
  </si>
  <si>
    <t>Metric</t>
  </si>
  <si>
    <t>Status</t>
  </si>
  <si>
    <t>Balance Sheet balances</t>
  </si>
  <si>
    <t>MAX absolute (Assets − Liabilities&amp;Equity) across all 36 months</t>
  </si>
  <si>
    <t>Cash Flow reconciles to Balance Sheet</t>
  </si>
  <si>
    <t>MAX absolute difference between BS cash and CF ending cash across all 36 months</t>
  </si>
  <si>
    <t>Retained Earnings roll-forward</t>
  </si>
  <si>
    <t>MAX absolute (RE(m) − RE(m−1) − NetIncome(m)) for months 2-36</t>
  </si>
  <si>
    <t>P&amp;L subtotal integrity</t>
  </si>
  <si>
    <t>MAX absolute error across Gross Profit / EBITDA / EBIT / EBT / Net Income subtotals</t>
  </si>
  <si>
    <t>Scenario selector validity</t>
  </si>
  <si>
    <t>Assumptions scenario selector must equal Base, Upside, or Downside</t>
  </si>
  <si>
    <t>No formula errors</t>
  </si>
  <si>
    <t>Count of #REF!/#DIV0!/#VALUE! etc. across all key schedules (Headcount through Cash &amp; Runway)</t>
  </si>
  <si>
    <t>ALL CHECKS</t>
  </si>
  <si>
    <t>Overall model integrity status</t>
  </si>
</sst>
</file>

<file path=xl/styles.xml><?xml version="1.0" encoding="utf-8"?>
<styleSheet xmlns="http://schemas.openxmlformats.org/spreadsheetml/2006/main">
  <numFmts count="9">
    <numFmt numFmtId="164" formatCode="#,##0;(#,##0)"/>
    <numFmt numFmtId="165" formatCode="0%;(0%)"/>
    <numFmt numFmtId="166" formatCode="0.0%;(0.0%)"/>
    <numFmt numFmtId="167" formatCode="mmm-yy"/>
    <numFmt numFmtId="168" formatCode="#,##0.0"/>
    <numFmt numFmtId="169" formatCode="#,##0.00;(#,##0.00)"/>
    <numFmt numFmtId="170" formatCode="0.00&quot;x&quot;"/>
    <numFmt numFmtId="171" formatCode="#,##0.0&quot; mo&quot;"/>
    <numFmt numFmtId="172" formatCode="0.0000"/>
  </numFmts>
  <fonts count="13">
    <font>
      <sz val="11"/>
      <color theme="1"/>
      <name val="Calibri"/>
      <family val="2"/>
      <scheme val="minor"/>
    </font>
    <font>
      <b/>
      <sz val="14"/>
      <color rgb="FFFFFFFF"/>
      <name val="Calibri"/>
      <family val="2"/>
      <scheme val="minor"/>
    </font>
    <font>
      <i/>
      <sz val="10"/>
      <color rgb="FFFFFFFF"/>
      <name val="Calibri"/>
      <family val="2"/>
      <scheme val="minor"/>
    </font>
    <font>
      <b/>
      <sz val="16"/>
      <color rgb="FF7B68EE"/>
      <name val="Calibri"/>
      <family val="2"/>
      <scheme val="minor"/>
    </font>
    <font>
      <sz val="10"/>
      <color rgb="FF1B1F2A"/>
      <name val="Calibri"/>
      <family val="2"/>
      <scheme val="minor"/>
    </font>
    <font>
      <b/>
      <sz val="12"/>
      <color rgb="FF1B1F2A"/>
      <name val="Calibri"/>
      <family val="2"/>
      <scheme val="minor"/>
    </font>
    <font>
      <sz val="10"/>
      <color rgb="FF1B5FD6"/>
      <name val="Calibri"/>
      <family val="2"/>
      <scheme val="minor"/>
    </font>
    <font>
      <b/>
      <sz val="11"/>
      <color rgb="FFFFFFFF"/>
      <name val="Calibri"/>
      <family val="2"/>
      <scheme val="minor"/>
    </font>
    <font>
      <b/>
      <sz val="10"/>
      <color rgb="FF1B5FD6"/>
      <name val="Calibri"/>
      <family val="2"/>
      <scheme val="minor"/>
    </font>
    <font>
      <i/>
      <sz val="9"/>
      <color rgb="FF6B7280"/>
      <name val="Calibri"/>
      <family val="2"/>
      <scheme val="minor"/>
    </font>
    <font>
      <b/>
      <sz val="10"/>
      <color rgb="FF1B1F2A"/>
      <name val="Calibri"/>
      <family val="2"/>
      <scheme val="minor"/>
    </font>
    <font>
      <b/>
      <sz val="10"/>
      <color rgb="FFFFFFFF"/>
      <name val="Calibri"/>
      <family val="2"/>
      <scheme val="minor"/>
    </font>
    <font>
      <b/>
      <sz val="16"/>
      <color rgb="FF1B1F2A"/>
      <name val="Calibri"/>
      <family val="2"/>
      <scheme val="minor"/>
    </font>
  </fonts>
  <fills count="13">
    <fill>
      <patternFill patternType="none"/>
    </fill>
    <fill>
      <patternFill patternType="gray125"/>
    </fill>
    <fill>
      <patternFill patternType="solid">
        <fgColor rgb="FF1B1F2A"/>
        <bgColor indexed="64"/>
      </patternFill>
    </fill>
    <fill>
      <patternFill patternType="solid">
        <fgColor rgb="FFF5F8FF"/>
        <bgColor indexed="64"/>
      </patternFill>
    </fill>
    <fill>
      <patternFill patternType="solid">
        <fgColor rgb="FFFFFFFF"/>
        <bgColor indexed="64"/>
      </patternFill>
    </fill>
    <fill>
      <patternFill patternType="solid">
        <fgColor rgb="FFEEF0FA"/>
        <bgColor indexed="64"/>
      </patternFill>
    </fill>
    <fill>
      <patternFill patternType="solid">
        <fgColor rgb="FF7B68EE"/>
        <bgColor indexed="64"/>
      </patternFill>
    </fill>
    <fill>
      <patternFill patternType="solid">
        <fgColor rgb="FF49CCF9"/>
        <bgColor indexed="64"/>
      </patternFill>
    </fill>
    <fill>
      <patternFill patternType="solid">
        <fgColor rgb="FF79D9B9"/>
        <bgColor indexed="64"/>
      </patternFill>
    </fill>
    <fill>
      <patternFill patternType="solid">
        <fgColor rgb="FFFD71AF"/>
        <bgColor indexed="64"/>
      </patternFill>
    </fill>
    <fill>
      <patternFill patternType="solid">
        <fgColor rgb="FFFFB08E"/>
        <bgColor indexed="64"/>
      </patternFill>
    </fill>
    <fill>
      <patternFill patternType="solid">
        <fgColor rgb="FFFFF7E6"/>
        <bgColor indexed="64"/>
      </patternFill>
    </fill>
    <fill>
      <patternFill patternType="solid">
        <fgColor rgb="FFF7F8FC"/>
        <bgColor indexed="64"/>
      </patternFill>
    </fill>
  </fills>
  <borders count="4">
    <border>
      <left/>
      <right/>
      <top/>
      <bottom/>
      <diagonal/>
    </border>
    <border>
      <left style="thin">
        <color rgb="FFD7DAE6"/>
      </left>
      <right style="thin">
        <color rgb="FFD7DAE6"/>
      </right>
      <top style="thin">
        <color rgb="FFD7DAE6"/>
      </top>
      <bottom style="thin">
        <color rgb="FFD7DAE6"/>
      </bottom>
      <diagonal/>
    </border>
    <border>
      <left style="medium">
        <color rgb="FFFFB08E"/>
      </left>
      <right style="medium">
        <color rgb="FFFFB08E"/>
      </right>
      <top style="medium">
        <color rgb="FFFFB08E"/>
      </top>
      <bottom style="medium">
        <color rgb="FFFFB08E"/>
      </bottom>
      <diagonal/>
    </border>
    <border>
      <left/>
      <right/>
      <top style="thin">
        <color rgb="FFD7DAE6"/>
      </top>
      <bottom/>
      <diagonal/>
    </border>
  </borders>
  <cellStyleXfs count="1">
    <xf numFmtId="0" fontId="0" fillId="0" borderId="0"/>
  </cellStyleXfs>
  <cellXfs count="41">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0" borderId="0" xfId="0" applyFont="1"/>
    <xf numFmtId="0" fontId="4" fillId="0" borderId="0" xfId="0" applyFont="1" applyAlignment="1">
      <alignment vertical="top" wrapText="1"/>
    </xf>
    <xf numFmtId="0" fontId="5" fillId="0" borderId="0" xfId="0" applyFont="1"/>
    <xf numFmtId="0" fontId="6" fillId="3" borderId="1" xfId="0" applyFont="1" applyFill="1" applyBorder="1" applyAlignment="1">
      <alignment horizontal="center"/>
    </xf>
    <xf numFmtId="0" fontId="4" fillId="4" borderId="1" xfId="0" applyFont="1" applyFill="1" applyBorder="1" applyAlignment="1">
      <alignment horizontal="center"/>
    </xf>
    <xf numFmtId="0" fontId="4" fillId="5" borderId="1" xfId="0" applyFont="1" applyFill="1" applyBorder="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7" fillId="8" borderId="0" xfId="0" applyFont="1" applyFill="1" applyAlignment="1">
      <alignment horizontal="center"/>
    </xf>
    <xf numFmtId="0" fontId="7" fillId="9" borderId="0" xfId="0" applyFont="1" applyFill="1" applyAlignment="1">
      <alignment horizontal="center"/>
    </xf>
    <xf numFmtId="0" fontId="7" fillId="10" borderId="0" xfId="0" applyFont="1" applyFill="1" applyAlignment="1">
      <alignment horizontal="center"/>
    </xf>
    <xf numFmtId="0" fontId="7" fillId="6" borderId="0" xfId="0" applyFont="1" applyFill="1" applyAlignment="1">
      <alignment horizontal="left" vertical="center" indent="1"/>
    </xf>
    <xf numFmtId="0" fontId="8" fillId="11" borderId="2" xfId="0" applyFont="1" applyFill="1" applyBorder="1" applyAlignment="1">
      <alignment horizontal="center"/>
    </xf>
    <xf numFmtId="0" fontId="9" fillId="0" borderId="0" xfId="0" applyFont="1"/>
    <xf numFmtId="0" fontId="10" fillId="5" borderId="1" xfId="0" applyFont="1" applyFill="1" applyBorder="1" applyAlignment="1">
      <alignment horizontal="center" vertical="center"/>
    </xf>
    <xf numFmtId="0" fontId="4" fillId="0" borderId="0" xfId="0" applyFont="1" applyAlignment="1">
      <alignment horizontal="left" indent="1"/>
    </xf>
    <xf numFmtId="164" fontId="6" fillId="3" borderId="0" xfId="0" applyNumberFormat="1" applyFont="1" applyFill="1"/>
    <xf numFmtId="164" fontId="4" fillId="0" borderId="0" xfId="0" applyNumberFormat="1" applyFont="1"/>
    <xf numFmtId="0" fontId="9" fillId="0" borderId="0" xfId="0" applyFont="1" applyAlignment="1">
      <alignment vertical="top" wrapText="1"/>
    </xf>
    <xf numFmtId="165" fontId="6" fillId="3" borderId="0" xfId="0" applyNumberFormat="1" applyFont="1" applyFill="1"/>
    <xf numFmtId="165" fontId="4" fillId="0" borderId="0" xfId="0" applyNumberFormat="1" applyFont="1"/>
    <xf numFmtId="166" fontId="6" fillId="3" borderId="0" xfId="0" applyNumberFormat="1" applyFont="1" applyFill="1"/>
    <xf numFmtId="166" fontId="4" fillId="0" borderId="0" xfId="0" applyNumberFormat="1" applyFont="1"/>
    <xf numFmtId="167" fontId="10" fillId="5" borderId="1" xfId="0" applyNumberFormat="1" applyFont="1" applyFill="1" applyBorder="1" applyAlignment="1">
      <alignment horizontal="center"/>
    </xf>
    <xf numFmtId="168" fontId="4" fillId="0" borderId="0" xfId="0" applyNumberFormat="1" applyFont="1"/>
    <xf numFmtId="0" fontId="10" fillId="0" borderId="3" xfId="0" applyFont="1" applyBorder="1"/>
    <xf numFmtId="164" fontId="10" fillId="0" borderId="3" xfId="0" applyNumberFormat="1" applyFont="1" applyBorder="1"/>
    <xf numFmtId="169" fontId="4" fillId="0" borderId="0" xfId="0" applyNumberFormat="1" applyFont="1"/>
    <xf numFmtId="0" fontId="11" fillId="2" borderId="0" xfId="0" applyFont="1" applyFill="1"/>
    <xf numFmtId="164" fontId="11" fillId="2" borderId="0" xfId="0" applyNumberFormat="1" applyFont="1" applyFill="1"/>
    <xf numFmtId="170" fontId="4" fillId="0" borderId="0" xfId="0" applyNumberFormat="1" applyFont="1"/>
    <xf numFmtId="171" fontId="4" fillId="0" borderId="0" xfId="0" applyNumberFormat="1" applyFont="1"/>
    <xf numFmtId="0" fontId="10" fillId="0" borderId="0" xfId="0" applyFont="1"/>
    <xf numFmtId="0" fontId="4" fillId="0" borderId="0" xfId="0" applyFont="1"/>
    <xf numFmtId="0" fontId="11" fillId="6" borderId="0" xfId="0" applyFont="1" applyFill="1" applyAlignment="1">
      <alignment horizontal="center" vertical="center"/>
    </xf>
    <xf numFmtId="0" fontId="12" fillId="12" borderId="1" xfId="0" applyFont="1" applyFill="1" applyBorder="1" applyAlignment="1">
      <alignment horizontal="center" vertical="center"/>
    </xf>
    <xf numFmtId="166" fontId="12" fillId="12" borderId="1" xfId="0" applyNumberFormat="1" applyFont="1" applyFill="1" applyBorder="1" applyAlignment="1">
      <alignment horizontal="center" vertical="center"/>
    </xf>
    <xf numFmtId="172" fontId="4" fillId="0" borderId="0" xfId="0" applyNumberFormat="1" applyFont="1"/>
  </cellXfs>
  <cellStyles count="1">
    <cellStyle name="Normal" xfId="0" builtinId="0"/>
  </cellStyles>
  <dxfs count="2">
    <dxf>
      <font>
        <b/>
        <color rgb="FFFFFFFF"/>
      </font>
      <fill>
        <patternFill>
          <bgColor rgb="FF1E8A5F"/>
        </patternFill>
      </fill>
    </dxf>
    <dxf>
      <font>
        <b/>
        <color rgb="FFFFFFFF"/>
      </font>
      <fill>
        <patternFill>
          <bgColor rgb="FFC0392B"/>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MAU &amp; Revenue</a:t>
            </a:r>
          </a:p>
        </c:rich>
      </c:tx>
      <c:layout/>
    </c:title>
    <c:plotArea>
      <c:layout/>
      <c:lineChart>
        <c:grouping val="standard"/>
        <c:ser>
          <c:idx val="0"/>
          <c:order val="0"/>
          <c:tx>
            <c:v>Ending MAU</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'Revenue'!$C$21:$AL$21</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Total Revenue</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'Revenue'!$C$35:$AL$35</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10001"/>
        <c:axId val="50010002"/>
      </c:lineChart>
      <c:catAx>
        <c:axId val="50010001"/>
        <c:scaling>
          <c:orientation val="minMax"/>
        </c:scaling>
        <c:axPos val="b"/>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users / $</a:t>
                </a:r>
              </a:p>
            </c:rich>
          </c:tx>
          <c:layout/>
        </c:title>
        <c:numFmt formatCode="General" sourceLinked="1"/>
        <c:tickLblPos val="nextTo"/>
        <c:crossAx val="5001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Paid Subs &amp; Free-to-Paid Conversion</a:t>
            </a:r>
          </a:p>
        </c:rich>
      </c:tx>
      <c:layout/>
    </c:title>
    <c:plotArea>
      <c:layout/>
      <c:lineChart>
        <c:grouping val="standard"/>
        <c:ser>
          <c:idx val="0"/>
          <c:order val="0"/>
          <c:tx>
            <c:v>Ending Paid Subs</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'Revenue'!$C$28:$AL$28</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Free-to-Paid %</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'Revenue'!$C$40:$AL$40</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title>
          <c:tx>
            <c:rich>
              <a:bodyPr rot="-5400000" vert="horz"/>
              <a:lstStyle/>
              <a:p>
                <a:pPr>
                  <a:defRPr/>
                </a:pPr>
                <a:r>
                  <a:rPr lang="en-US"/>
                  <a:t>subs / %</a:t>
                </a:r>
              </a:p>
            </c:rich>
          </c:tx>
          <c:layout/>
        </c:title>
        <c:numFmt formatCode="General" sourceLinked="1"/>
        <c:tickLblPos val="nextTo"/>
        <c:crossAx val="5002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Gross Margin &amp; Contribution Margin</a:t>
            </a:r>
          </a:p>
        </c:rich>
      </c:tx>
      <c:layout/>
    </c:title>
    <c:plotArea>
      <c:layout/>
      <c:lineChart>
        <c:grouping val="standard"/>
        <c:ser>
          <c:idx val="0"/>
          <c:order val="0"/>
          <c:tx>
            <c:v>Gross Margin %</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'COGS &amp; GM'!$C$17:$AL$17</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Contribution Margin %</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'COGS &amp; GM'!$C$18:$AL$18</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30001"/>
        <c:axId val="50030002"/>
      </c:lineChart>
      <c:catAx>
        <c:axId val="50030001"/>
        <c:scaling>
          <c:orientation val="minMax"/>
        </c:scaling>
        <c:axPos val="b"/>
        <c:numFmt formatCode="General" sourceLinked="1"/>
        <c:tickLblPos val="nextTo"/>
        <c:crossAx val="50030002"/>
        <c:crosses val="autoZero"/>
        <c:auto val="1"/>
        <c:lblAlgn val="ctr"/>
        <c:lblOffset val="100"/>
      </c:catAx>
      <c:valAx>
        <c:axId val="50030002"/>
        <c:scaling>
          <c:orientation val="minMax"/>
        </c:scaling>
        <c:axPos val="l"/>
        <c:majorGridlines/>
        <c:title>
          <c:tx>
            <c:rich>
              <a:bodyPr rot="-5400000" vert="horz"/>
              <a:lstStyle/>
              <a:p>
                <a:pPr>
                  <a:defRPr/>
                </a:pPr>
                <a:r>
                  <a:rPr lang="en-US"/>
                  <a:t>%</a:t>
                </a:r>
              </a:p>
            </c:rich>
          </c:tx>
          <c:layout/>
        </c:title>
        <c:numFmt formatCode="General" sourceLinked="1"/>
        <c:tickLblPos val="nextTo"/>
        <c:crossAx val="5003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Cash &amp; Runway</a:t>
            </a:r>
          </a:p>
        </c:rich>
      </c:tx>
      <c:layout/>
    </c:title>
    <c:plotArea>
      <c:layout/>
      <c:lineChart>
        <c:grouping val="standard"/>
        <c:ser>
          <c:idx val="0"/>
          <c:order val="0"/>
          <c:tx>
            <c:v>Ending Cash</c:v>
          </c:tx>
          <c:spPr>
            <a:solidFill>
              <a:srgbClr val="7B68EE"/>
            </a:solidFill>
            <a:ln w="28575">
              <a:solidFill>
                <a:srgbClr val="7B68EE"/>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'Cash &amp; Runway'!$C$8:$AL$8</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ser>
          <c:idx val="1"/>
          <c:order val="1"/>
          <c:tx>
            <c:v>Runway (months)</c:v>
          </c:tx>
          <c:spPr>
            <a:solidFill>
              <a:srgbClr val="49CCF9"/>
            </a:solidFill>
            <a:ln w="28575">
              <a:solidFill>
                <a:srgbClr val="49CCF9"/>
              </a:solidFill>
            </a:ln>
          </c:spPr>
          <c:marker>
            <c:symbol val="none"/>
          </c:marke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'Cash &amp; Runway'!$C$11:$AL$11</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marker val="1"/>
        <c:axId val="50040001"/>
        <c:axId val="50040002"/>
      </c:lineChart>
      <c:catAx>
        <c:axId val="50040001"/>
        <c:scaling>
          <c:orientation val="minMax"/>
        </c:scaling>
        <c:axPos val="b"/>
        <c:numFmt formatCode="General" sourceLinked="1"/>
        <c:tickLblPos val="nextTo"/>
        <c:crossAx val="50040002"/>
        <c:crosses val="autoZero"/>
        <c:auto val="1"/>
        <c:lblAlgn val="ctr"/>
        <c:lblOffset val="100"/>
      </c:catAx>
      <c:valAx>
        <c:axId val="50040002"/>
        <c:scaling>
          <c:orientation val="minMax"/>
        </c:scaling>
        <c:axPos val="l"/>
        <c:majorGridlines/>
        <c:title>
          <c:tx>
            <c:rich>
              <a:bodyPr rot="-5400000" vert="horz"/>
              <a:lstStyle/>
              <a:p>
                <a:pPr>
                  <a:defRPr/>
                </a:pPr>
                <a:r>
                  <a:rPr lang="en-US"/>
                  <a:t>$ / months</a:t>
                </a:r>
              </a:p>
            </c:rich>
          </c:tx>
          <c:layout/>
        </c:title>
        <c:numFmt formatCode="General" sourceLinked="1"/>
        <c:tickLblPos val="nextTo"/>
        <c:crossAx val="5004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Headcount by Month</a:t>
            </a:r>
          </a:p>
        </c:rich>
      </c:tx>
      <c:layout/>
    </c:title>
    <c:plotArea>
      <c:layout/>
      <c:barChart>
        <c:barDir val="col"/>
        <c:grouping val="clustered"/>
        <c:ser>
          <c:idx val="0"/>
          <c:order val="0"/>
          <c:tx>
            <c:v>Total Headcount</c:v>
          </c:tx>
          <c:spPr>
            <a:solidFill>
              <a:srgbClr val="7B68EE"/>
            </a:solidFill>
            <a:ln w="28575">
              <a:solidFill>
                <a:srgbClr val="7B68EE"/>
              </a:solidFill>
            </a:ln>
          </c:spPr>
          <c:cat>
            <c:numRef>
              <c:f>'Revenue'!$C$6:$AL$6</c:f>
              <c:numCache>
                <c:formatCode>General</c:formatCode>
                <c:ptCount val="36"/>
                <c:pt idx="0">
                  <c:v>46023</c:v>
                </c:pt>
                <c:pt idx="1">
                  <c:v>46054</c:v>
                </c:pt>
                <c:pt idx="2">
                  <c:v>46082</c:v>
                </c:pt>
                <c:pt idx="3">
                  <c:v>46113</c:v>
                </c:pt>
                <c:pt idx="4">
                  <c:v>46143</c:v>
                </c:pt>
                <c:pt idx="5">
                  <c:v>46174</c:v>
                </c:pt>
                <c:pt idx="6">
                  <c:v>46204</c:v>
                </c:pt>
                <c:pt idx="7">
                  <c:v>46235</c:v>
                </c:pt>
                <c:pt idx="8">
                  <c:v>46266</c:v>
                </c:pt>
                <c:pt idx="9">
                  <c:v>46296</c:v>
                </c:pt>
                <c:pt idx="10">
                  <c:v>46327</c:v>
                </c:pt>
                <c:pt idx="11">
                  <c:v>46357</c:v>
                </c:pt>
                <c:pt idx="12">
                  <c:v>46388</c:v>
                </c:pt>
                <c:pt idx="13">
                  <c:v>46419</c:v>
                </c:pt>
                <c:pt idx="14">
                  <c:v>46447</c:v>
                </c:pt>
                <c:pt idx="15">
                  <c:v>46478</c:v>
                </c:pt>
                <c:pt idx="16">
                  <c:v>46508</c:v>
                </c:pt>
                <c:pt idx="17">
                  <c:v>46539</c:v>
                </c:pt>
                <c:pt idx="18">
                  <c:v>46569</c:v>
                </c:pt>
                <c:pt idx="19">
                  <c:v>46600</c:v>
                </c:pt>
                <c:pt idx="20">
                  <c:v>46631</c:v>
                </c:pt>
                <c:pt idx="21">
                  <c:v>46661</c:v>
                </c:pt>
                <c:pt idx="22">
                  <c:v>46692</c:v>
                </c:pt>
                <c:pt idx="23">
                  <c:v>46722</c:v>
                </c:pt>
                <c:pt idx="24">
                  <c:v>46753</c:v>
                </c:pt>
                <c:pt idx="25">
                  <c:v>46784</c:v>
                </c:pt>
                <c:pt idx="26">
                  <c:v>46813</c:v>
                </c:pt>
                <c:pt idx="27">
                  <c:v>46844</c:v>
                </c:pt>
                <c:pt idx="28">
                  <c:v>46874</c:v>
                </c:pt>
                <c:pt idx="29">
                  <c:v>46905</c:v>
                </c:pt>
                <c:pt idx="30">
                  <c:v>46935</c:v>
                </c:pt>
                <c:pt idx="31">
                  <c:v>46966</c:v>
                </c:pt>
                <c:pt idx="32">
                  <c:v>46997</c:v>
                </c:pt>
                <c:pt idx="33">
                  <c:v>47027</c:v>
                </c:pt>
                <c:pt idx="34">
                  <c:v>47058</c:v>
                </c:pt>
                <c:pt idx="35">
                  <c:v>47088</c:v>
                </c:pt>
              </c:numCache>
            </c:numRef>
          </c:cat>
          <c:val>
            <c:numRef>
              <c:f>'Headcount'!$C$20:$AL$20</c:f>
              <c:numCache>
                <c:formatCode>General</c:formatCode>
                <c:ptCount val="3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numCache>
            </c:numRef>
          </c:val>
        </c:ser>
        <c:axId val="50050001"/>
        <c:axId val="50050002"/>
      </c:barChart>
      <c:catAx>
        <c:axId val="50050001"/>
        <c:scaling>
          <c:orientation val="minMax"/>
        </c:scaling>
        <c:axPos val="b"/>
        <c:numFmt formatCode="General" sourceLinked="1"/>
        <c:tickLblPos val="nextTo"/>
        <c:crossAx val="50050002"/>
        <c:crosses val="autoZero"/>
        <c:auto val="1"/>
        <c:lblAlgn val="ctr"/>
        <c:lblOffset val="100"/>
      </c:catAx>
      <c:valAx>
        <c:axId val="50050002"/>
        <c:scaling>
          <c:orientation val="minMax"/>
        </c:scaling>
        <c:axPos val="l"/>
        <c:majorGridlines/>
        <c:title>
          <c:tx>
            <c:rich>
              <a:bodyPr/>
              <a:lstStyle/>
              <a:p>
                <a:pPr>
                  <a:defRPr/>
                </a:pPr>
                <a:r>
                  <a:rPr lang="en-US"/>
                  <a:t>FTE</a:t>
                </a:r>
              </a:p>
            </c:rich>
          </c:tx>
          <c:layout/>
        </c:title>
        <c:numFmt formatCode="General" sourceLinked="1"/>
        <c:tickLblPos val="nextTo"/>
        <c:crossAx val="5005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200" b="1" baseline="0">
                <a:solidFill>
                  <a:srgbClr val="1B1F2A"/>
                </a:solidFill>
              </a:defRPr>
            </a:pPr>
            <a:r>
              <a:rPr lang="en-US" sz="1200" b="1" baseline="0">
                <a:solidFill>
                  <a:srgbClr val="1B1F2A"/>
                </a:solidFill>
              </a:rPr>
              <a:t>Scenario Comparison — Implied Revenue at Month 36</a:t>
            </a:r>
          </a:p>
        </c:rich>
      </c:tx>
      <c:layout/>
    </c:title>
    <c:plotArea>
      <c:layout/>
      <c:barChart>
        <c:barDir val="col"/>
        <c:grouping val="clustered"/>
        <c:ser>
          <c:idx val="0"/>
          <c:order val="0"/>
          <c:tx>
            <c:v>Base / Upside / Downside</c:v>
          </c:tx>
          <c:spPr>
            <a:solidFill>
              <a:srgbClr val="7B68EE"/>
            </a:solidFill>
            <a:ln w="28575">
              <a:solidFill>
                <a:srgbClr val="7B68EE"/>
              </a:solidFill>
            </a:ln>
          </c:spPr>
          <c:val>
            <c:numRef>
              <c:f>'Scenarios'!$C$9:$E$9</c:f>
              <c:numCache>
                <c:formatCode>General</c:formatCode>
                <c:ptCount val="3"/>
                <c:pt idx="0">
                  <c:v>0</c:v>
                </c:pt>
                <c:pt idx="1">
                  <c:v>0</c:v>
                </c:pt>
                <c:pt idx="2">
                  <c:v>0</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numFmt formatCode="General" sourceLinked="1"/>
        <c:tickLblPos val="nextTo"/>
        <c:crossAx val="50060001"/>
        <c:crosses val="autoZero"/>
        <c:crossBetween val="between"/>
      </c:valAx>
    </c:plotArea>
    <c:legend>
      <c:legendPos val="b"/>
      <c:layout/>
    </c:legend>
    <c:plotVisOnly val="1"/>
  </c:chart>
  <c:spPr>
    <a:solidFill>
      <a:srgbClr val="FFFFFF"/>
    </a:solidFill>
    <a:ln>
      <a:no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 Id="rId5" Type="http://schemas.openxmlformats.org/officeDocument/2006/relationships/chart" Target="../charts/chart5.xml"/><Relationship Id="rId6"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0</xdr:rowOff>
    </xdr:from>
    <xdr:to>
      <xdr:col>7</xdr:col>
      <xdr:colOff>38100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12</xdr:row>
      <xdr:rowOff>0</xdr:rowOff>
    </xdr:from>
    <xdr:to>
      <xdr:col>16</xdr:col>
      <xdr:colOff>38100</xdr:colOff>
      <xdr:row>27</xdr:row>
      <xdr:rowOff>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0</xdr:rowOff>
    </xdr:from>
    <xdr:to>
      <xdr:col>7</xdr:col>
      <xdr:colOff>38100</xdr:colOff>
      <xdr:row>44</xdr:row>
      <xdr:rowOff>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29</xdr:row>
      <xdr:rowOff>0</xdr:rowOff>
    </xdr:from>
    <xdr:to>
      <xdr:col>16</xdr:col>
      <xdr:colOff>38100</xdr:colOff>
      <xdr:row>44</xdr:row>
      <xdr:rowOff>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46</xdr:row>
      <xdr:rowOff>0</xdr:rowOff>
    </xdr:from>
    <xdr:to>
      <xdr:col>7</xdr:col>
      <xdr:colOff>38100</xdr:colOff>
      <xdr:row>61</xdr:row>
      <xdr:rowOff>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46</xdr:row>
      <xdr:rowOff>0</xdr:rowOff>
    </xdr:from>
    <xdr:to>
      <xdr:col>16</xdr:col>
      <xdr:colOff>38100</xdr:colOff>
      <xdr:row>61</xdr:row>
      <xdr:rowOff>0</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A35"/>
  <sheetViews>
    <sheetView showGridLines="0" tabSelected="1" zoomScale="110" zoomScaleNormal="110" workbookViewId="0">
      <pane ySplit="3" topLeftCell="A4" activePane="bottomLeft" state="frozen"/>
      <selection pane="bottomLeft"/>
    </sheetView>
  </sheetViews>
  <sheetFormatPr defaultRowHeight="15"/>
  <cols>
    <col min="1" max="1" width="100.7109375" customWidth="1"/>
  </cols>
  <sheetData>
    <row r="1" spans="1:1" ht="26" customHeight="1">
      <c r="A1" s="1" t="s">
        <v>0</v>
      </c>
    </row>
    <row r="2" spans="1:1" ht="18" customHeight="1">
      <c r="A2" s="2" t="s">
        <v>1</v>
      </c>
    </row>
    <row r="4" spans="1:1">
      <c r="A4" s="3" t="s">
        <v>2</v>
      </c>
    </row>
    <row r="5" spans="1:1" ht="90" customHeight="1">
      <c r="A5" s="4" t="s">
        <v>3</v>
      </c>
    </row>
    <row r="7" spans="1:1">
      <c r="A7" s="5" t="s">
        <v>4</v>
      </c>
    </row>
    <row r="8" spans="1:1" ht="45" customHeight="1">
      <c r="A8" s="4" t="s">
        <v>5</v>
      </c>
    </row>
    <row r="10" spans="1:1">
      <c r="A10" s="5" t="s">
        <v>6</v>
      </c>
    </row>
    <row r="11" spans="1:1" ht="18" customHeight="1">
      <c r="A11" s="6" t="s">
        <v>7</v>
      </c>
    </row>
    <row r="12" spans="1:1" ht="18" customHeight="1">
      <c r="A12" s="7" t="s">
        <v>8</v>
      </c>
    </row>
    <row r="13" spans="1:1" ht="18" customHeight="1">
      <c r="A13" s="8" t="s">
        <v>9</v>
      </c>
    </row>
    <row r="15" spans="1:1">
      <c r="A15" s="5" t="s">
        <v>10</v>
      </c>
    </row>
    <row r="16" spans="1:1" ht="16" customHeight="1">
      <c r="A16" s="9" t="s">
        <v>11</v>
      </c>
    </row>
    <row r="17" spans="1:1" ht="16" customHeight="1">
      <c r="A17" s="10" t="s">
        <v>12</v>
      </c>
    </row>
    <row r="18" spans="1:1" ht="16" customHeight="1">
      <c r="A18" s="11" t="s">
        <v>13</v>
      </c>
    </row>
    <row r="19" spans="1:1" ht="16" customHeight="1">
      <c r="A19" s="12" t="s">
        <v>14</v>
      </c>
    </row>
    <row r="20" spans="1:1" ht="16" customHeight="1">
      <c r="A20" s="13" t="s">
        <v>15</v>
      </c>
    </row>
    <row r="22" spans="1:1">
      <c r="A22" s="5" t="s">
        <v>16</v>
      </c>
    </row>
    <row r="23" spans="1:1" ht="60" customHeight="1">
      <c r="A23" s="4" t="s">
        <v>17</v>
      </c>
    </row>
    <row r="25" spans="1:1">
      <c r="A25" s="5" t="s">
        <v>18</v>
      </c>
    </row>
    <row r="26" spans="1:1" ht="60" customHeight="1">
      <c r="A26" s="4" t="s">
        <v>19</v>
      </c>
    </row>
    <row r="28" spans="1:1">
      <c r="A28" s="5" t="s">
        <v>20</v>
      </c>
    </row>
    <row r="29" spans="1:1" ht="60" customHeight="1">
      <c r="A29" s="4" t="s">
        <v>21</v>
      </c>
    </row>
    <row r="31" spans="1:1">
      <c r="A31" s="5" t="s">
        <v>22</v>
      </c>
    </row>
    <row r="32" spans="1:1" ht="75" customHeight="1">
      <c r="A32" s="4" t="s">
        <v>23</v>
      </c>
    </row>
    <row r="34" spans="1:1">
      <c r="A34" s="5" t="s">
        <v>24</v>
      </c>
    </row>
    <row r="35" spans="1:1" ht="45" customHeight="1">
      <c r="A35" s="4" t="s">
        <v>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G79"/>
  <sheetViews>
    <sheetView showGridLines="0" zoomScale="110" zoomScaleNormal="11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42.7109375" customWidth="1"/>
    <col min="2" max="2" width="14.7109375" customWidth="1"/>
    <col min="3" max="5" width="13.7109375" customWidth="1"/>
    <col min="6" max="6" width="14.7109375" customWidth="1"/>
    <col min="7" max="7" width="46.7109375" customWidth="1"/>
  </cols>
  <sheetData>
    <row r="1" spans="1:7" ht="22" customHeight="1">
      <c r="A1" s="1" t="s">
        <v>26</v>
      </c>
      <c r="B1" s="1"/>
      <c r="C1" s="1"/>
      <c r="D1" s="1"/>
      <c r="E1" s="1"/>
      <c r="F1" s="1"/>
      <c r="G1" s="1"/>
    </row>
    <row r="2" spans="1:7" ht="16" customHeight="1">
      <c r="A2" s="2" t="s">
        <v>27</v>
      </c>
      <c r="B2" s="2"/>
      <c r="C2" s="2"/>
      <c r="D2" s="2"/>
      <c r="E2" s="2"/>
      <c r="F2" s="2"/>
      <c r="G2" s="2"/>
    </row>
    <row r="4" spans="1:7">
      <c r="A4" s="14" t="s">
        <v>28</v>
      </c>
      <c r="C4" s="15" t="s">
        <v>29</v>
      </c>
      <c r="D4" s="16" t="s">
        <v>30</v>
      </c>
    </row>
    <row r="6" spans="1:7">
      <c r="A6" s="17" t="s">
        <v>31</v>
      </c>
      <c r="B6" s="17" t="s">
        <v>32</v>
      </c>
      <c r="C6" s="17" t="s">
        <v>29</v>
      </c>
      <c r="D6" s="17" t="s">
        <v>33</v>
      </c>
      <c r="E6" s="17" t="s">
        <v>34</v>
      </c>
      <c r="F6" s="17" t="s">
        <v>35</v>
      </c>
      <c r="G6" s="17" t="s">
        <v>36</v>
      </c>
    </row>
    <row r="7" spans="1:7">
      <c r="A7" s="14" t="s">
        <v>37</v>
      </c>
      <c r="B7" s="14"/>
      <c r="C7" s="14"/>
      <c r="D7" s="14"/>
      <c r="E7" s="14"/>
      <c r="F7" s="14"/>
      <c r="G7" s="14"/>
    </row>
    <row r="8" spans="1:7">
      <c r="A8" s="18" t="s">
        <v>38</v>
      </c>
      <c r="B8" s="16" t="s">
        <v>39</v>
      </c>
      <c r="C8" s="19">
        <v>2250000</v>
      </c>
      <c r="D8" s="19">
        <v>2250000</v>
      </c>
      <c r="E8" s="19">
        <v>2250000</v>
      </c>
      <c r="F8" s="20">
        <f>CHOOSE(MATCH('Assumptions'!$C$4,{"Base","Upside","Downside"},0),C8,D8,E8)</f>
        <v>0</v>
      </c>
      <c r="G8" s="21" t="s">
        <v>40</v>
      </c>
    </row>
    <row r="9" spans="1:7">
      <c r="A9" s="18" t="s">
        <v>41</v>
      </c>
      <c r="B9" s="16" t="s">
        <v>39</v>
      </c>
      <c r="C9" s="19">
        <v>3000000</v>
      </c>
      <c r="D9" s="19">
        <v>3000000</v>
      </c>
      <c r="E9" s="19">
        <v>3000000</v>
      </c>
      <c r="F9" s="20">
        <f>CHOOSE(MATCH('Assumptions'!$C$4,{"Base","Upside","Downside"},0),C9,D9,E9)</f>
        <v>0</v>
      </c>
      <c r="G9" s="21" t="s">
        <v>42</v>
      </c>
    </row>
    <row r="10" spans="1:7">
      <c r="A10" s="18" t="s">
        <v>43</v>
      </c>
      <c r="B10" s="16" t="s">
        <v>44</v>
      </c>
      <c r="C10" s="22">
        <v>0</v>
      </c>
      <c r="D10" s="22">
        <v>0</v>
      </c>
      <c r="E10" s="22">
        <v>0</v>
      </c>
      <c r="F10" s="23">
        <f>CHOOSE(MATCH('Assumptions'!$C$4,{"Base","Upside","Downside"},0),C10,D10,E10)</f>
        <v>0</v>
      </c>
      <c r="G10" s="21" t="s">
        <v>45</v>
      </c>
    </row>
    <row r="11" spans="1:7" ht="5" customHeight="1"/>
    <row r="12" spans="1:7">
      <c r="A12" s="14" t="s">
        <v>46</v>
      </c>
      <c r="B12" s="14"/>
      <c r="C12" s="14"/>
      <c r="D12" s="14"/>
      <c r="E12" s="14"/>
      <c r="F12" s="14"/>
      <c r="G12" s="14"/>
    </row>
    <row r="13" spans="1:7">
      <c r="A13" s="18" t="s">
        <v>47</v>
      </c>
      <c r="B13" s="16" t="s">
        <v>48</v>
      </c>
      <c r="C13" s="19">
        <v>80000</v>
      </c>
      <c r="D13" s="19">
        <v>90000</v>
      </c>
      <c r="E13" s="19">
        <v>70000</v>
      </c>
      <c r="F13" s="20">
        <f>CHOOSE(MATCH('Assumptions'!$C$4,{"Base","Upside","Downside"},0),C13,D13,E13)</f>
        <v>0</v>
      </c>
      <c r="G13" s="21" t="s">
        <v>49</v>
      </c>
    </row>
    <row r="14" spans="1:7">
      <c r="A14" s="18" t="s">
        <v>50</v>
      </c>
      <c r="B14" s="16" t="s">
        <v>44</v>
      </c>
      <c r="C14" s="24">
        <v>0.08</v>
      </c>
      <c r="D14" s="24">
        <v>0.06</v>
      </c>
      <c r="E14" s="24">
        <v>0.105</v>
      </c>
      <c r="F14" s="25">
        <f>CHOOSE(MATCH('Assumptions'!$C$4,{"Base","Upside","Downside"},0),C14,D14,E14)</f>
        <v>0</v>
      </c>
      <c r="G14" s="21" t="s">
        <v>51</v>
      </c>
    </row>
    <row r="15" spans="1:7">
      <c r="A15" s="18" t="s">
        <v>52</v>
      </c>
      <c r="B15" s="16" t="s">
        <v>48</v>
      </c>
      <c r="C15" s="19">
        <v>4000</v>
      </c>
      <c r="D15" s="19">
        <v>4500</v>
      </c>
      <c r="E15" s="19">
        <v>3500</v>
      </c>
      <c r="F15" s="20">
        <f>CHOOSE(MATCH('Assumptions'!$C$4,{"Base","Upside","Downside"},0),C15,D15,E15)</f>
        <v>0</v>
      </c>
      <c r="G15" s="21" t="s">
        <v>53</v>
      </c>
    </row>
    <row r="16" spans="1:7">
      <c r="A16" s="18" t="s">
        <v>54</v>
      </c>
      <c r="B16" s="16" t="s">
        <v>48</v>
      </c>
      <c r="C16" s="19">
        <v>2500</v>
      </c>
      <c r="D16" s="19">
        <v>3000</v>
      </c>
      <c r="E16" s="19">
        <v>2000</v>
      </c>
      <c r="F16" s="20">
        <f>CHOOSE(MATCH('Assumptions'!$C$4,{"Base","Upside","Downside"},0),C16,D16,E16)</f>
        <v>0</v>
      </c>
      <c r="G16" s="21" t="s">
        <v>55</v>
      </c>
    </row>
    <row r="17" spans="1:7">
      <c r="A17" s="18" t="s">
        <v>56</v>
      </c>
      <c r="B17" s="16" t="s">
        <v>44</v>
      </c>
      <c r="C17" s="24">
        <v>0.0635</v>
      </c>
      <c r="D17" s="24">
        <v>0.09429999999999999</v>
      </c>
      <c r="E17" s="24">
        <v>0.0147</v>
      </c>
      <c r="F17" s="25">
        <f>CHOOSE(MATCH('Assumptions'!$C$4,{"Base","Upside","Downside"},0),C17,D17,E17)</f>
        <v>0</v>
      </c>
      <c r="G17" s="21" t="s">
        <v>57</v>
      </c>
    </row>
    <row r="18" spans="1:7">
      <c r="A18" s="18" t="s">
        <v>58</v>
      </c>
      <c r="B18" s="16" t="s">
        <v>59</v>
      </c>
      <c r="C18" s="19">
        <v>28</v>
      </c>
      <c r="D18" s="19">
        <v>24</v>
      </c>
      <c r="E18" s="19">
        <v>34</v>
      </c>
      <c r="F18" s="20">
        <f>CHOOSE(MATCH('Assumptions'!$C$4,{"Base","Upside","Downside"},0),C18,D18,E18)</f>
        <v>0</v>
      </c>
      <c r="G18" s="21" t="s">
        <v>60</v>
      </c>
    </row>
    <row r="19" spans="1:7">
      <c r="A19" s="18" t="s">
        <v>61</v>
      </c>
      <c r="B19" s="16" t="s">
        <v>48</v>
      </c>
      <c r="C19" s="19">
        <v>3500</v>
      </c>
      <c r="D19" s="19">
        <v>4200</v>
      </c>
      <c r="E19" s="19">
        <v>2800</v>
      </c>
      <c r="F19" s="20">
        <f>CHOOSE(MATCH('Assumptions'!$C$4,{"Base","Upside","Downside"},0),C19,D19,E19)</f>
        <v>0</v>
      </c>
      <c r="G19" s="21" t="s">
        <v>62</v>
      </c>
    </row>
    <row r="20" spans="1:7">
      <c r="A20" s="18" t="s">
        <v>63</v>
      </c>
      <c r="B20" s="16" t="s">
        <v>44</v>
      </c>
      <c r="C20" s="24">
        <v>0.0279</v>
      </c>
      <c r="D20" s="24">
        <v>0.0607</v>
      </c>
      <c r="E20" s="24">
        <v>0.012</v>
      </c>
      <c r="F20" s="25">
        <f>CHOOSE(MATCH('Assumptions'!$C$4,{"Base","Upside","Downside"},0),C20,D20,E20)</f>
        <v>0</v>
      </c>
      <c r="G20" s="21" t="s">
        <v>64</v>
      </c>
    </row>
    <row r="21" spans="1:7">
      <c r="A21" s="18" t="s">
        <v>65</v>
      </c>
      <c r="B21" s="16" t="s">
        <v>59</v>
      </c>
      <c r="C21" s="19">
        <v>4</v>
      </c>
      <c r="D21" s="19">
        <v>3</v>
      </c>
      <c r="E21" s="19">
        <v>5.5</v>
      </c>
      <c r="F21" s="20">
        <f>CHOOSE(MATCH('Assumptions'!$C$4,{"Base","Upside","Downside"},0),C21,D21,E21)</f>
        <v>0</v>
      </c>
      <c r="G21" s="21" t="s">
        <v>66</v>
      </c>
    </row>
    <row r="22" spans="1:7">
      <c r="A22" s="18" t="s">
        <v>67</v>
      </c>
      <c r="B22" s="16" t="s">
        <v>48</v>
      </c>
      <c r="C22" s="19">
        <v>1200</v>
      </c>
      <c r="D22" s="19">
        <v>1500</v>
      </c>
      <c r="E22" s="19">
        <v>900</v>
      </c>
      <c r="F22" s="20">
        <f>CHOOSE(MATCH('Assumptions'!$C$4,{"Base","Upside","Downside"},0),C22,D22,E22)</f>
        <v>0</v>
      </c>
      <c r="G22" s="21" t="s">
        <v>68</v>
      </c>
    </row>
    <row r="23" spans="1:7">
      <c r="A23" s="18" t="s">
        <v>69</v>
      </c>
      <c r="B23" s="16" t="s">
        <v>44</v>
      </c>
      <c r="C23" s="24">
        <v>0.0422</v>
      </c>
      <c r="D23" s="24">
        <v>0.0625</v>
      </c>
      <c r="E23" s="24">
        <v>0.0075</v>
      </c>
      <c r="F23" s="25">
        <f>CHOOSE(MATCH('Assumptions'!$C$4,{"Base","Upside","Downside"},0),C23,D23,E23)</f>
        <v>0</v>
      </c>
      <c r="G23" s="21" t="s">
        <v>70</v>
      </c>
    </row>
    <row r="24" spans="1:7">
      <c r="A24" s="18" t="s">
        <v>71</v>
      </c>
      <c r="B24" s="16" t="s">
        <v>59</v>
      </c>
      <c r="C24" s="19">
        <v>16</v>
      </c>
      <c r="D24" s="19">
        <v>13</v>
      </c>
      <c r="E24" s="19">
        <v>20</v>
      </c>
      <c r="F24" s="20">
        <f>CHOOSE(MATCH('Assumptions'!$C$4,{"Base","Upside","Downside"},0),C24,D24,E24)</f>
        <v>0</v>
      </c>
      <c r="G24" s="21" t="s">
        <v>72</v>
      </c>
    </row>
    <row r="25" spans="1:7" ht="5" customHeight="1"/>
    <row r="26" spans="1:7">
      <c r="A26" s="14" t="s">
        <v>73</v>
      </c>
      <c r="B26" s="14"/>
      <c r="C26" s="14"/>
      <c r="D26" s="14"/>
      <c r="E26" s="14"/>
      <c r="F26" s="14"/>
      <c r="G26" s="14"/>
    </row>
    <row r="27" spans="1:7">
      <c r="A27" s="18" t="s">
        <v>74</v>
      </c>
      <c r="B27" s="16" t="s">
        <v>44</v>
      </c>
      <c r="C27" s="24">
        <v>0.025</v>
      </c>
      <c r="D27" s="24">
        <v>0.032</v>
      </c>
      <c r="E27" s="24">
        <v>0.018</v>
      </c>
      <c r="F27" s="25">
        <f>CHOOSE(MATCH('Assumptions'!$C$4,{"Base","Upside","Downside"},0),C27,D27,E27)</f>
        <v>0</v>
      </c>
      <c r="G27" s="21" t="s">
        <v>75</v>
      </c>
    </row>
    <row r="28" spans="1:7">
      <c r="A28" s="18" t="s">
        <v>76</v>
      </c>
      <c r="B28" s="16" t="s">
        <v>44</v>
      </c>
      <c r="C28" s="24">
        <v>0.045</v>
      </c>
      <c r="D28" s="24">
        <v>0.032</v>
      </c>
      <c r="E28" s="24">
        <v>0.06</v>
      </c>
      <c r="F28" s="25">
        <f>CHOOSE(MATCH('Assumptions'!$C$4,{"Base","Upside","Downside"},0),C28,D28,E28)</f>
        <v>0</v>
      </c>
      <c r="G28" s="21" t="s">
        <v>77</v>
      </c>
    </row>
    <row r="29" spans="1:7">
      <c r="A29" s="18" t="s">
        <v>78</v>
      </c>
      <c r="B29" s="16" t="s">
        <v>79</v>
      </c>
      <c r="C29" s="19">
        <v>12</v>
      </c>
      <c r="D29" s="19">
        <v>13</v>
      </c>
      <c r="E29" s="19">
        <v>11</v>
      </c>
      <c r="F29" s="20">
        <f>CHOOSE(MATCH('Assumptions'!$C$4,{"Base","Upside","Downside"},0),C29,D29,E29)</f>
        <v>0</v>
      </c>
      <c r="G29" s="21" t="s">
        <v>80</v>
      </c>
    </row>
    <row r="30" spans="1:7">
      <c r="A30" s="18" t="s">
        <v>81</v>
      </c>
      <c r="B30" s="16" t="s">
        <v>79</v>
      </c>
      <c r="C30" s="19">
        <v>24</v>
      </c>
      <c r="D30" s="19">
        <v>26</v>
      </c>
      <c r="E30" s="19">
        <v>22</v>
      </c>
      <c r="F30" s="20">
        <f>CHOOSE(MATCH('Assumptions'!$C$4,{"Base","Upside","Downside"},0),C30,D30,E30)</f>
        <v>0</v>
      </c>
      <c r="G30" s="21" t="s">
        <v>82</v>
      </c>
    </row>
    <row r="31" spans="1:7">
      <c r="A31" s="18" t="s">
        <v>83</v>
      </c>
      <c r="B31" s="16" t="s">
        <v>44</v>
      </c>
      <c r="C31" s="24">
        <v>0.18</v>
      </c>
      <c r="D31" s="24">
        <v>0.24</v>
      </c>
      <c r="E31" s="24">
        <v>0.12</v>
      </c>
      <c r="F31" s="25">
        <f>CHOOSE(MATCH('Assumptions'!$C$4,{"Base","Upside","Downside"},0),C31,D31,E31)</f>
        <v>0</v>
      </c>
      <c r="G31" s="21" t="s">
        <v>84</v>
      </c>
    </row>
    <row r="32" spans="1:7">
      <c r="A32" s="18" t="s">
        <v>85</v>
      </c>
      <c r="B32" s="16" t="s">
        <v>44</v>
      </c>
      <c r="C32" s="24">
        <v>0.0045</v>
      </c>
      <c r="D32" s="24">
        <v>0.007</v>
      </c>
      <c r="E32" s="24">
        <v>-0.0005999999999999999</v>
      </c>
      <c r="F32" s="25">
        <f>CHOOSE(MATCH('Assumptions'!$C$4,{"Base","Upside","Downside"},0),C32,D32,E32)</f>
        <v>0</v>
      </c>
      <c r="G32" s="21" t="s">
        <v>86</v>
      </c>
    </row>
    <row r="33" spans="1:7" ht="5" customHeight="1"/>
    <row r="34" spans="1:7">
      <c r="A34" s="14" t="s">
        <v>87</v>
      </c>
      <c r="B34" s="14"/>
      <c r="C34" s="14"/>
      <c r="D34" s="14"/>
      <c r="E34" s="14"/>
      <c r="F34" s="14"/>
      <c r="G34" s="14"/>
    </row>
    <row r="35" spans="1:7">
      <c r="A35" s="18" t="s">
        <v>88</v>
      </c>
      <c r="B35" s="16" t="s">
        <v>44</v>
      </c>
      <c r="C35" s="24">
        <v>0.18</v>
      </c>
      <c r="D35" s="24">
        <v>0.15</v>
      </c>
      <c r="E35" s="24">
        <v>0.22</v>
      </c>
      <c r="F35" s="25">
        <f>CHOOSE(MATCH('Assumptions'!$C$4,{"Base","Upside","Downside"},0),C35,D35,E35)</f>
        <v>0</v>
      </c>
      <c r="G35" s="21" t="s">
        <v>89</v>
      </c>
    </row>
    <row r="36" spans="1:7">
      <c r="A36" s="18" t="s">
        <v>90</v>
      </c>
      <c r="B36" s="16" t="s">
        <v>44</v>
      </c>
      <c r="C36" s="24">
        <v>0.03</v>
      </c>
      <c r="D36" s="24">
        <v>0.025</v>
      </c>
      <c r="E36" s="24">
        <v>0.035</v>
      </c>
      <c r="F36" s="25">
        <f>CHOOSE(MATCH('Assumptions'!$C$4,{"Base","Upside","Downside"},0),C36,D36,E36)</f>
        <v>0</v>
      </c>
      <c r="G36" s="21" t="s">
        <v>91</v>
      </c>
    </row>
    <row r="37" spans="1:7">
      <c r="A37" s="18" t="s">
        <v>92</v>
      </c>
      <c r="B37" s="16" t="s">
        <v>93</v>
      </c>
      <c r="C37" s="19">
        <v>0.35</v>
      </c>
      <c r="D37" s="19">
        <v>0.3</v>
      </c>
      <c r="E37" s="19">
        <v>0.42</v>
      </c>
      <c r="F37" s="20">
        <f>CHOOSE(MATCH('Assumptions'!$C$4,{"Base","Upside","Downside"},0),C37,D37,E37)</f>
        <v>0</v>
      </c>
      <c r="G37" s="21" t="s">
        <v>94</v>
      </c>
    </row>
    <row r="38" spans="1:7">
      <c r="A38" s="18" t="s">
        <v>95</v>
      </c>
      <c r="B38" s="16" t="s">
        <v>96</v>
      </c>
      <c r="C38" s="19">
        <v>1.8</v>
      </c>
      <c r="D38" s="19">
        <v>1.5</v>
      </c>
      <c r="E38" s="19">
        <v>2.2</v>
      </c>
      <c r="F38" s="20">
        <f>CHOOSE(MATCH('Assumptions'!$C$4,{"Base","Upside","Downside"},0),C38,D38,E38)</f>
        <v>0</v>
      </c>
      <c r="G38" s="21" t="s">
        <v>97</v>
      </c>
    </row>
    <row r="39" spans="1:7" ht="5" customHeight="1"/>
    <row r="40" spans="1:7">
      <c r="A40" s="14" t="s">
        <v>98</v>
      </c>
      <c r="B40" s="14"/>
      <c r="C40" s="14"/>
      <c r="D40" s="14"/>
      <c r="E40" s="14"/>
      <c r="F40" s="14"/>
      <c r="G40" s="14"/>
    </row>
    <row r="41" spans="1:7">
      <c r="A41" s="18" t="s">
        <v>99</v>
      </c>
      <c r="B41" s="16" t="s">
        <v>48</v>
      </c>
      <c r="C41" s="19">
        <v>5</v>
      </c>
      <c r="D41" s="19">
        <v>5</v>
      </c>
      <c r="E41" s="19">
        <v>5</v>
      </c>
      <c r="F41" s="20">
        <f>CHOOSE(MATCH('Assumptions'!$C$4,{"Base","Upside","Downside"},0),C41,D41,E41)</f>
        <v>0</v>
      </c>
      <c r="G41" s="21" t="s">
        <v>100</v>
      </c>
    </row>
    <row r="42" spans="1:7">
      <c r="A42" s="18" t="s">
        <v>101</v>
      </c>
      <c r="B42" s="16" t="s">
        <v>48</v>
      </c>
      <c r="C42" s="19">
        <v>1</v>
      </c>
      <c r="D42" s="19">
        <v>1.5</v>
      </c>
      <c r="E42" s="19">
        <v>0.5</v>
      </c>
      <c r="F42" s="20">
        <f>CHOOSE(MATCH('Assumptions'!$C$4,{"Base","Upside","Downside"},0),C42,D42,E42)</f>
        <v>0</v>
      </c>
      <c r="G42" s="21"/>
    </row>
    <row r="43" spans="1:7">
      <c r="A43" s="18" t="s">
        <v>102</v>
      </c>
      <c r="B43" s="16" t="s">
        <v>79</v>
      </c>
      <c r="C43" s="19">
        <v>7000</v>
      </c>
      <c r="D43" s="19">
        <v>7000</v>
      </c>
      <c r="E43" s="19">
        <v>7000</v>
      </c>
      <c r="F43" s="20">
        <f>CHOOSE(MATCH('Assumptions'!$C$4,{"Base","Upside","Downside"},0),C43,D43,E43)</f>
        <v>0</v>
      </c>
      <c r="G43" s="21" t="s">
        <v>103</v>
      </c>
    </row>
    <row r="44" spans="1:7" ht="5" customHeight="1"/>
    <row r="45" spans="1:7">
      <c r="A45" s="14" t="s">
        <v>104</v>
      </c>
      <c r="B45" s="14"/>
      <c r="C45" s="14"/>
      <c r="D45" s="14"/>
      <c r="E45" s="14"/>
      <c r="F45" s="14"/>
      <c r="G45" s="14"/>
    </row>
    <row r="46" spans="1:7">
      <c r="A46" s="18" t="s">
        <v>105</v>
      </c>
      <c r="B46" s="16" t="s">
        <v>48</v>
      </c>
      <c r="C46" s="19">
        <v>4</v>
      </c>
      <c r="D46" s="19">
        <v>4</v>
      </c>
      <c r="E46" s="19">
        <v>4</v>
      </c>
      <c r="F46" s="20">
        <f>CHOOSE(MATCH('Assumptions'!$C$4,{"Base","Upside","Downside"},0),C46,D46,E46)</f>
        <v>0</v>
      </c>
      <c r="G46" s="21" t="s">
        <v>106</v>
      </c>
    </row>
    <row r="47" spans="1:7">
      <c r="A47" s="18" t="s">
        <v>107</v>
      </c>
      <c r="B47" s="16" t="s">
        <v>48</v>
      </c>
      <c r="C47" s="19">
        <v>1</v>
      </c>
      <c r="D47" s="19">
        <v>1.5</v>
      </c>
      <c r="E47" s="19">
        <v>0.5</v>
      </c>
      <c r="F47" s="20">
        <f>CHOOSE(MATCH('Assumptions'!$C$4,{"Base","Upside","Downside"},0),C47,D47,E47)</f>
        <v>0</v>
      </c>
      <c r="G47" s="21"/>
    </row>
    <row r="48" spans="1:7">
      <c r="A48" s="18" t="s">
        <v>108</v>
      </c>
      <c r="B48" s="16" t="s">
        <v>79</v>
      </c>
      <c r="C48" s="19">
        <v>10000</v>
      </c>
      <c r="D48" s="19">
        <v>10000</v>
      </c>
      <c r="E48" s="19">
        <v>10000</v>
      </c>
      <c r="F48" s="20">
        <f>CHOOSE(MATCH('Assumptions'!$C$4,{"Base","Upside","Downside"},0),C48,D48,E48)</f>
        <v>0</v>
      </c>
      <c r="G48" s="21"/>
    </row>
    <row r="49" spans="1:7" ht="5" customHeight="1"/>
    <row r="50" spans="1:7">
      <c r="A50" s="14" t="s">
        <v>109</v>
      </c>
      <c r="B50" s="14"/>
      <c r="C50" s="14"/>
      <c r="D50" s="14"/>
      <c r="E50" s="14"/>
      <c r="F50" s="14"/>
      <c r="G50" s="14"/>
    </row>
    <row r="51" spans="1:7">
      <c r="A51" s="18" t="s">
        <v>110</v>
      </c>
      <c r="B51" s="16" t="s">
        <v>48</v>
      </c>
      <c r="C51" s="19">
        <v>8</v>
      </c>
      <c r="D51" s="19">
        <v>8</v>
      </c>
      <c r="E51" s="19">
        <v>8</v>
      </c>
      <c r="F51" s="20">
        <f>CHOOSE(MATCH('Assumptions'!$C$4,{"Base","Upside","Downside"},0),C51,D51,E51)</f>
        <v>0</v>
      </c>
      <c r="G51" s="21" t="s">
        <v>111</v>
      </c>
    </row>
    <row r="52" spans="1:7">
      <c r="A52" s="18" t="s">
        <v>112</v>
      </c>
      <c r="B52" s="16" t="s">
        <v>48</v>
      </c>
      <c r="C52" s="19">
        <v>2</v>
      </c>
      <c r="D52" s="19">
        <v>2.5</v>
      </c>
      <c r="E52" s="19">
        <v>1</v>
      </c>
      <c r="F52" s="20">
        <f>CHOOSE(MATCH('Assumptions'!$C$4,{"Base","Upside","Downside"},0),C52,D52,E52)</f>
        <v>0</v>
      </c>
      <c r="G52" s="21"/>
    </row>
    <row r="53" spans="1:7">
      <c r="A53" s="18" t="s">
        <v>113</v>
      </c>
      <c r="B53" s="16" t="s">
        <v>79</v>
      </c>
      <c r="C53" s="19">
        <v>15000</v>
      </c>
      <c r="D53" s="19">
        <v>15000</v>
      </c>
      <c r="E53" s="19">
        <v>15000</v>
      </c>
      <c r="F53" s="20">
        <f>CHOOSE(MATCH('Assumptions'!$C$4,{"Base","Upside","Downside"},0),C53,D53,E53)</f>
        <v>0</v>
      </c>
      <c r="G53" s="21"/>
    </row>
    <row r="54" spans="1:7" ht="5" customHeight="1"/>
    <row r="55" spans="1:7">
      <c r="A55" s="14" t="s">
        <v>114</v>
      </c>
      <c r="B55" s="14"/>
      <c r="C55" s="14"/>
      <c r="D55" s="14"/>
      <c r="E55" s="14"/>
      <c r="F55" s="14"/>
      <c r="G55" s="14"/>
    </row>
    <row r="56" spans="1:7">
      <c r="A56" s="18" t="s">
        <v>115</v>
      </c>
      <c r="B56" s="16" t="s">
        <v>48</v>
      </c>
      <c r="C56" s="19">
        <v>2</v>
      </c>
      <c r="D56" s="19">
        <v>2</v>
      </c>
      <c r="E56" s="19">
        <v>2</v>
      </c>
      <c r="F56" s="20">
        <f>CHOOSE(MATCH('Assumptions'!$C$4,{"Base","Upside","Downside"},0),C56,D56,E56)</f>
        <v>0</v>
      </c>
      <c r="G56" s="21" t="s">
        <v>116</v>
      </c>
    </row>
    <row r="57" spans="1:7">
      <c r="A57" s="18" t="s">
        <v>117</v>
      </c>
      <c r="B57" s="16" t="s">
        <v>48</v>
      </c>
      <c r="C57" s="19">
        <v>0.5</v>
      </c>
      <c r="D57" s="19">
        <v>0.5</v>
      </c>
      <c r="E57" s="19">
        <v>0.25</v>
      </c>
      <c r="F57" s="20">
        <f>CHOOSE(MATCH('Assumptions'!$C$4,{"Base","Upside","Downside"},0),C57,D57,E57)</f>
        <v>0</v>
      </c>
      <c r="G57" s="21"/>
    </row>
    <row r="58" spans="1:7">
      <c r="A58" s="18" t="s">
        <v>118</v>
      </c>
      <c r="B58" s="16" t="s">
        <v>79</v>
      </c>
      <c r="C58" s="19">
        <v>11000</v>
      </c>
      <c r="D58" s="19">
        <v>11000</v>
      </c>
      <c r="E58" s="19">
        <v>11000</v>
      </c>
      <c r="F58" s="20">
        <f>CHOOSE(MATCH('Assumptions'!$C$4,{"Base","Upside","Downside"},0),C58,D58,E58)</f>
        <v>0</v>
      </c>
      <c r="G58" s="21"/>
    </row>
    <row r="59" spans="1:7" ht="5" customHeight="1"/>
    <row r="60" spans="1:7">
      <c r="A60" s="14" t="s">
        <v>119</v>
      </c>
      <c r="B60" s="14"/>
      <c r="C60" s="14"/>
      <c r="D60" s="14"/>
      <c r="E60" s="14"/>
      <c r="F60" s="14"/>
      <c r="G60" s="14"/>
    </row>
    <row r="61" spans="1:7">
      <c r="A61" s="18" t="s">
        <v>120</v>
      </c>
      <c r="B61" s="16" t="s">
        <v>79</v>
      </c>
      <c r="C61" s="19">
        <v>10000</v>
      </c>
      <c r="D61" s="19">
        <v>10000</v>
      </c>
      <c r="E61" s="19">
        <v>10000</v>
      </c>
      <c r="F61" s="20">
        <f>CHOOSE(MATCH('Assumptions'!$C$4,{"Base","Upside","Downside"},0),C61,D61,E61)</f>
        <v>0</v>
      </c>
      <c r="G61" s="21" t="s">
        <v>121</v>
      </c>
    </row>
    <row r="62" spans="1:7">
      <c r="A62" s="18" t="s">
        <v>122</v>
      </c>
      <c r="B62" s="16" t="s">
        <v>79</v>
      </c>
      <c r="C62" s="19">
        <v>14000</v>
      </c>
      <c r="D62" s="19">
        <v>14000</v>
      </c>
      <c r="E62" s="19">
        <v>14000</v>
      </c>
      <c r="F62" s="20">
        <f>CHOOSE(MATCH('Assumptions'!$C$4,{"Base","Upside","Downside"},0),C62,D62,E62)</f>
        <v>0</v>
      </c>
      <c r="G62" s="21" t="s">
        <v>123</v>
      </c>
    </row>
    <row r="63" spans="1:7">
      <c r="A63" s="18" t="s">
        <v>124</v>
      </c>
      <c r="B63" s="16" t="s">
        <v>79</v>
      </c>
      <c r="C63" s="19">
        <v>8000</v>
      </c>
      <c r="D63" s="19">
        <v>8000</v>
      </c>
      <c r="E63" s="19">
        <v>8000</v>
      </c>
      <c r="F63" s="20">
        <f>CHOOSE(MATCH('Assumptions'!$C$4,{"Base","Upside","Downside"},0),C63,D63,E63)</f>
        <v>0</v>
      </c>
      <c r="G63" s="21" t="s">
        <v>125</v>
      </c>
    </row>
    <row r="64" spans="1:7" ht="5" customHeight="1"/>
    <row r="65" spans="1:7">
      <c r="A65" s="14" t="s">
        <v>126</v>
      </c>
      <c r="B65" s="14"/>
      <c r="C65" s="14"/>
      <c r="D65" s="14"/>
      <c r="E65" s="14"/>
      <c r="F65" s="14"/>
      <c r="G65" s="14"/>
    </row>
    <row r="66" spans="1:7">
      <c r="A66" s="18" t="s">
        <v>127</v>
      </c>
      <c r="B66" s="16" t="s">
        <v>128</v>
      </c>
      <c r="C66" s="19">
        <v>3</v>
      </c>
      <c r="D66" s="19">
        <v>2</v>
      </c>
      <c r="E66" s="19">
        <v>5</v>
      </c>
      <c r="F66" s="20">
        <f>CHOOSE(MATCH('Assumptions'!$C$4,{"Base","Upside","Downside"},0),C66,D66,E66)</f>
        <v>0</v>
      </c>
      <c r="G66" s="21" t="s">
        <v>129</v>
      </c>
    </row>
    <row r="67" spans="1:7">
      <c r="A67" s="18" t="s">
        <v>130</v>
      </c>
      <c r="B67" s="16" t="s">
        <v>128</v>
      </c>
      <c r="C67" s="19">
        <v>25</v>
      </c>
      <c r="D67" s="19">
        <v>28</v>
      </c>
      <c r="E67" s="19">
        <v>20</v>
      </c>
      <c r="F67" s="20">
        <f>CHOOSE(MATCH('Assumptions'!$C$4,{"Base","Upside","Downside"},0),C67,D67,E67)</f>
        <v>0</v>
      </c>
      <c r="G67" s="21"/>
    </row>
    <row r="68" spans="1:7">
      <c r="A68" s="18" t="s">
        <v>131</v>
      </c>
      <c r="B68" s="16" t="s">
        <v>132</v>
      </c>
      <c r="C68" s="19">
        <v>0.3</v>
      </c>
      <c r="D68" s="19">
        <v>0.4</v>
      </c>
      <c r="E68" s="19">
        <v>0.2</v>
      </c>
      <c r="F68" s="20">
        <f>CHOOSE(MATCH('Assumptions'!$C$4,{"Base","Upside","Downside"},0),C68,D68,E68)</f>
        <v>0</v>
      </c>
      <c r="G68" s="21" t="s">
        <v>133</v>
      </c>
    </row>
    <row r="69" spans="1:7">
      <c r="A69" s="18" t="s">
        <v>134</v>
      </c>
      <c r="B69" s="16" t="s">
        <v>44</v>
      </c>
      <c r="C69" s="24">
        <v>0.015</v>
      </c>
      <c r="D69" s="24">
        <v>0.012</v>
      </c>
      <c r="E69" s="24">
        <v>0.02</v>
      </c>
      <c r="F69" s="25">
        <f>CHOOSE(MATCH('Assumptions'!$C$4,{"Base","Upside","Downside"},0),C69,D69,E69)</f>
        <v>0</v>
      </c>
      <c r="G69" s="21" t="s">
        <v>135</v>
      </c>
    </row>
    <row r="70" spans="1:7">
      <c r="A70" s="18" t="s">
        <v>136</v>
      </c>
      <c r="B70" s="16" t="s">
        <v>137</v>
      </c>
      <c r="C70" s="19">
        <v>24</v>
      </c>
      <c r="D70" s="19">
        <v>24</v>
      </c>
      <c r="E70" s="19">
        <v>24</v>
      </c>
      <c r="F70" s="20">
        <f>CHOOSE(MATCH('Assumptions'!$C$4,{"Base","Upside","Downside"},0),C70,D70,E70)</f>
        <v>0</v>
      </c>
      <c r="G70" s="21"/>
    </row>
    <row r="71" spans="1:7">
      <c r="A71" s="18" t="s">
        <v>138</v>
      </c>
      <c r="B71" s="16" t="s">
        <v>44</v>
      </c>
      <c r="C71" s="24">
        <v>0.02</v>
      </c>
      <c r="D71" s="24">
        <v>0.02</v>
      </c>
      <c r="E71" s="24">
        <v>0.02</v>
      </c>
      <c r="F71" s="25">
        <f>CHOOSE(MATCH('Assumptions'!$C$4,{"Base","Upside","Downside"},0),C71,D71,E71)</f>
        <v>0</v>
      </c>
      <c r="G71" s="21" t="s">
        <v>139</v>
      </c>
    </row>
    <row r="72" spans="1:7">
      <c r="A72" s="18" t="s">
        <v>140</v>
      </c>
      <c r="B72" s="16" t="s">
        <v>44</v>
      </c>
      <c r="C72" s="24">
        <v>0.1</v>
      </c>
      <c r="D72" s="24">
        <v>0.09</v>
      </c>
      <c r="E72" s="24">
        <v>0.12</v>
      </c>
      <c r="F72" s="25">
        <f>CHOOSE(MATCH('Assumptions'!$C$4,{"Base","Upside","Downside"},0),C72,D72,E72)</f>
        <v>0</v>
      </c>
      <c r="G72" s="21"/>
    </row>
    <row r="73" spans="1:7">
      <c r="A73" s="18" t="s">
        <v>141</v>
      </c>
      <c r="B73" s="16" t="s">
        <v>39</v>
      </c>
      <c r="C73" s="19">
        <v>500000</v>
      </c>
      <c r="D73" s="19">
        <v>750000</v>
      </c>
      <c r="E73" s="19">
        <v>350000</v>
      </c>
      <c r="F73" s="20">
        <f>CHOOSE(MATCH('Assumptions'!$C$4,{"Base","Upside","Downside"},0),C73,D73,E73)</f>
        <v>0</v>
      </c>
      <c r="G73" s="21"/>
    </row>
    <row r="74" spans="1:7">
      <c r="A74" s="18" t="s">
        <v>142</v>
      </c>
      <c r="B74" s="16" t="s">
        <v>79</v>
      </c>
      <c r="C74" s="19">
        <v>20000</v>
      </c>
      <c r="D74" s="19">
        <v>20000</v>
      </c>
      <c r="E74" s="19">
        <v>15000</v>
      </c>
      <c r="F74" s="20">
        <f>CHOOSE(MATCH('Assumptions'!$C$4,{"Base","Upside","Downside"},0),C74,D74,E74)</f>
        <v>0</v>
      </c>
      <c r="G74" s="21"/>
    </row>
    <row r="75" spans="1:7">
      <c r="A75" s="18" t="s">
        <v>143</v>
      </c>
      <c r="B75" s="16" t="s">
        <v>39</v>
      </c>
      <c r="C75" s="19">
        <v>3000000</v>
      </c>
      <c r="D75" s="19">
        <v>4000000</v>
      </c>
      <c r="E75" s="19">
        <v>2250000</v>
      </c>
      <c r="F75" s="20">
        <f>CHOOSE(MATCH('Assumptions'!$C$4,{"Base","Upside","Downside"},0),C75,D75,E75)</f>
        <v>0</v>
      </c>
      <c r="G75" s="21"/>
    </row>
    <row r="76" spans="1:7">
      <c r="A76" s="18" t="s">
        <v>144</v>
      </c>
      <c r="B76" s="16" t="s">
        <v>39</v>
      </c>
      <c r="C76" s="19">
        <v>6000000</v>
      </c>
      <c r="D76" s="19">
        <v>7500000</v>
      </c>
      <c r="E76" s="19">
        <v>4500000</v>
      </c>
      <c r="F76" s="20">
        <f>CHOOSE(MATCH('Assumptions'!$C$4,{"Base","Upside","Downside"},0),C76,D76,E76)</f>
        <v>0</v>
      </c>
      <c r="G76" s="21"/>
    </row>
    <row r="77" spans="1:7" ht="5" customHeight="1"/>
    <row r="79" spans="1:7" ht="30" customHeight="1">
      <c r="A79" s="21" t="s">
        <v>145</v>
      </c>
      <c r="B79" s="21"/>
      <c r="C79" s="21"/>
      <c r="D79" s="21"/>
      <c r="E79" s="21"/>
      <c r="F79" s="21"/>
      <c r="G79" s="21"/>
    </row>
  </sheetData>
  <mergeCells count="13">
    <mergeCell ref="A1:G1"/>
    <mergeCell ref="A2:G2"/>
    <mergeCell ref="A7:G7"/>
    <mergeCell ref="A12:G12"/>
    <mergeCell ref="A26:G26"/>
    <mergeCell ref="A34:G34"/>
    <mergeCell ref="A40:G40"/>
    <mergeCell ref="A45:G45"/>
    <mergeCell ref="A50:G50"/>
    <mergeCell ref="A55:G55"/>
    <mergeCell ref="A60:G60"/>
    <mergeCell ref="A65:G65"/>
    <mergeCell ref="A79:G79"/>
  </mergeCells>
  <dataValidations count="1">
    <dataValidation type="list" allowBlank="1" showInputMessage="1" showErrorMessage="1" promptTitle="Choose a scenario" prompt="Base, Upside, or Downside." sqref="C4">
      <formula1>"Base,Upside,Downside"</formula1>
    </dataValidation>
  </dataValidations>
  <pageMargins left="0.7" right="0.7" top="0.75" bottom="0.75" header="0.3" footer="0.3"/>
  <pageSetup fitToHeight="0" orientation="landscape"/>
</worksheet>
</file>

<file path=xl/worksheets/sheet3.xml><?xml version="1.0" encoding="utf-8"?>
<worksheet xmlns="http://schemas.openxmlformats.org/spreadsheetml/2006/main" xmlns:r="http://schemas.openxmlformats.org/officeDocument/2006/relationships">
  <dimension ref="A1:BC25"/>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146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147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168</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169</v>
      </c>
      <c r="B8" s="16" t="s">
        <v>170</v>
      </c>
      <c r="C8" s="27">
        <f>ROUND('Assumptions'!$F$41,1)</f>
        <v>0</v>
      </c>
      <c r="D8" s="27">
        <f>ROUND(C8+'Assumptions'!$F$42/3,1)</f>
        <v>0</v>
      </c>
      <c r="E8" s="27">
        <f>ROUND(D8+'Assumptions'!$F$42/3,1)</f>
        <v>0</v>
      </c>
      <c r="F8" s="27">
        <f>ROUND(E8+'Assumptions'!$F$42/3,1)</f>
        <v>0</v>
      </c>
      <c r="G8" s="27">
        <f>ROUND(F8+'Assumptions'!$F$42/3,1)</f>
        <v>0</v>
      </c>
      <c r="H8" s="27">
        <f>ROUND(G8+'Assumptions'!$F$42/3,1)</f>
        <v>0</v>
      </c>
      <c r="I8" s="27">
        <f>ROUND(H8+'Assumptions'!$F$42/3,1)</f>
        <v>0</v>
      </c>
      <c r="J8" s="27">
        <f>ROUND(I8+'Assumptions'!$F$42/3,1)</f>
        <v>0</v>
      </c>
      <c r="K8" s="27">
        <f>ROUND(J8+'Assumptions'!$F$42/3,1)</f>
        <v>0</v>
      </c>
      <c r="L8" s="27">
        <f>ROUND(K8+'Assumptions'!$F$42/3,1)</f>
        <v>0</v>
      </c>
      <c r="M8" s="27">
        <f>ROUND(L8+'Assumptions'!$F$42/3,1)</f>
        <v>0</v>
      </c>
      <c r="N8" s="27">
        <f>ROUND(M8+'Assumptions'!$F$42/3,1)</f>
        <v>0</v>
      </c>
      <c r="O8" s="27">
        <f>ROUND(N8+'Assumptions'!$F$42/3,1)</f>
        <v>0</v>
      </c>
      <c r="P8" s="27">
        <f>ROUND(O8+'Assumptions'!$F$42/3,1)</f>
        <v>0</v>
      </c>
      <c r="Q8" s="27">
        <f>ROUND(P8+'Assumptions'!$F$42/3,1)</f>
        <v>0</v>
      </c>
      <c r="R8" s="27">
        <f>ROUND(Q8+'Assumptions'!$F$42/3,1)</f>
        <v>0</v>
      </c>
      <c r="S8" s="27">
        <f>ROUND(R8+'Assumptions'!$F$42/3,1)</f>
        <v>0</v>
      </c>
      <c r="T8" s="27">
        <f>ROUND(S8+'Assumptions'!$F$42/3,1)</f>
        <v>0</v>
      </c>
      <c r="U8" s="27">
        <f>ROUND(T8+'Assumptions'!$F$42/3,1)</f>
        <v>0</v>
      </c>
      <c r="V8" s="27">
        <f>ROUND(U8+'Assumptions'!$F$42/3,1)</f>
        <v>0</v>
      </c>
      <c r="W8" s="27">
        <f>ROUND(V8+'Assumptions'!$F$42/3,1)</f>
        <v>0</v>
      </c>
      <c r="X8" s="27">
        <f>ROUND(W8+'Assumptions'!$F$42/3,1)</f>
        <v>0</v>
      </c>
      <c r="Y8" s="27">
        <f>ROUND(X8+'Assumptions'!$F$42/3,1)</f>
        <v>0</v>
      </c>
      <c r="Z8" s="27">
        <f>ROUND(Y8+'Assumptions'!$F$42/3,1)</f>
        <v>0</v>
      </c>
      <c r="AA8" s="27">
        <f>ROUND(Z8+'Assumptions'!$F$42/3,1)</f>
        <v>0</v>
      </c>
      <c r="AB8" s="27">
        <f>ROUND(AA8+'Assumptions'!$F$42/3,1)</f>
        <v>0</v>
      </c>
      <c r="AC8" s="27">
        <f>ROUND(AB8+'Assumptions'!$F$42/3,1)</f>
        <v>0</v>
      </c>
      <c r="AD8" s="27">
        <f>ROUND(AC8+'Assumptions'!$F$42/3,1)</f>
        <v>0</v>
      </c>
      <c r="AE8" s="27">
        <f>ROUND(AD8+'Assumptions'!$F$42/3,1)</f>
        <v>0</v>
      </c>
      <c r="AF8" s="27">
        <f>ROUND(AE8+'Assumptions'!$F$42/3,1)</f>
        <v>0</v>
      </c>
      <c r="AG8" s="27">
        <f>ROUND(AF8+'Assumptions'!$F$42/3,1)</f>
        <v>0</v>
      </c>
      <c r="AH8" s="27">
        <f>ROUND(AG8+'Assumptions'!$F$42/3,1)</f>
        <v>0</v>
      </c>
      <c r="AI8" s="27">
        <f>ROUND(AH8+'Assumptions'!$F$42/3,1)</f>
        <v>0</v>
      </c>
      <c r="AJ8" s="27">
        <f>ROUND(AI8+'Assumptions'!$F$42/3,1)</f>
        <v>0</v>
      </c>
      <c r="AK8" s="27">
        <f>ROUND(AJ8+'Assumptions'!$F$42/3,1)</f>
        <v>0</v>
      </c>
      <c r="AL8" s="27">
        <f>ROUND(AK8+'Assumptions'!$F$42/3,1)</f>
        <v>0</v>
      </c>
      <c r="AN8" s="27">
        <f>E8</f>
        <v>0</v>
      </c>
      <c r="AO8" s="27">
        <f>H8</f>
        <v>0</v>
      </c>
      <c r="AP8" s="27">
        <f>K8</f>
        <v>0</v>
      </c>
      <c r="AQ8" s="27">
        <f>N8</f>
        <v>0</v>
      </c>
      <c r="AR8" s="27">
        <f>Q8</f>
        <v>0</v>
      </c>
      <c r="AS8" s="27">
        <f>T8</f>
        <v>0</v>
      </c>
      <c r="AT8" s="27">
        <f>W8</f>
        <v>0</v>
      </c>
      <c r="AU8" s="27">
        <f>Z8</f>
        <v>0</v>
      </c>
      <c r="AV8" s="27">
        <f>AC8</f>
        <v>0</v>
      </c>
      <c r="AW8" s="27">
        <f>AF8</f>
        <v>0</v>
      </c>
      <c r="AX8" s="27">
        <f>AI8</f>
        <v>0</v>
      </c>
      <c r="AY8" s="27">
        <f>AL8</f>
        <v>0</v>
      </c>
      <c r="BA8" s="27">
        <f>N8</f>
        <v>0</v>
      </c>
      <c r="BB8" s="27">
        <f>Z8</f>
        <v>0</v>
      </c>
      <c r="BC8" s="27">
        <f>AL8</f>
        <v>0</v>
      </c>
    </row>
    <row r="9" spans="1:55">
      <c r="A9" s="18" t="s">
        <v>171</v>
      </c>
      <c r="B9" s="16" t="s">
        <v>172</v>
      </c>
      <c r="C9" s="20">
        <f>C8*'Assumptions'!$F$43</f>
        <v>0</v>
      </c>
      <c r="D9" s="20">
        <f>D8*'Assumptions'!$F$43</f>
        <v>0</v>
      </c>
      <c r="E9" s="20">
        <f>E8*'Assumptions'!$F$43</f>
        <v>0</v>
      </c>
      <c r="F9" s="20">
        <f>F8*'Assumptions'!$F$43</f>
        <v>0</v>
      </c>
      <c r="G9" s="20">
        <f>G8*'Assumptions'!$F$43</f>
        <v>0</v>
      </c>
      <c r="H9" s="20">
        <f>H8*'Assumptions'!$F$43</f>
        <v>0</v>
      </c>
      <c r="I9" s="20">
        <f>I8*'Assumptions'!$F$43</f>
        <v>0</v>
      </c>
      <c r="J9" s="20">
        <f>J8*'Assumptions'!$F$43</f>
        <v>0</v>
      </c>
      <c r="K9" s="20">
        <f>K8*'Assumptions'!$F$43</f>
        <v>0</v>
      </c>
      <c r="L9" s="20">
        <f>L8*'Assumptions'!$F$43</f>
        <v>0</v>
      </c>
      <c r="M9" s="20">
        <f>M8*'Assumptions'!$F$43</f>
        <v>0</v>
      </c>
      <c r="N9" s="20">
        <f>N8*'Assumptions'!$F$43</f>
        <v>0</v>
      </c>
      <c r="O9" s="20">
        <f>O8*'Assumptions'!$F$43</f>
        <v>0</v>
      </c>
      <c r="P9" s="20">
        <f>P8*'Assumptions'!$F$43</f>
        <v>0</v>
      </c>
      <c r="Q9" s="20">
        <f>Q8*'Assumptions'!$F$43</f>
        <v>0</v>
      </c>
      <c r="R9" s="20">
        <f>R8*'Assumptions'!$F$43</f>
        <v>0</v>
      </c>
      <c r="S9" s="20">
        <f>S8*'Assumptions'!$F$43</f>
        <v>0</v>
      </c>
      <c r="T9" s="20">
        <f>T8*'Assumptions'!$F$43</f>
        <v>0</v>
      </c>
      <c r="U9" s="20">
        <f>U8*'Assumptions'!$F$43</f>
        <v>0</v>
      </c>
      <c r="V9" s="20">
        <f>V8*'Assumptions'!$F$43</f>
        <v>0</v>
      </c>
      <c r="W9" s="20">
        <f>W8*'Assumptions'!$F$43</f>
        <v>0</v>
      </c>
      <c r="X9" s="20">
        <f>X8*'Assumptions'!$F$43</f>
        <v>0</v>
      </c>
      <c r="Y9" s="20">
        <f>Y8*'Assumptions'!$F$43</f>
        <v>0</v>
      </c>
      <c r="Z9" s="20">
        <f>Z8*'Assumptions'!$F$43</f>
        <v>0</v>
      </c>
      <c r="AA9" s="20">
        <f>AA8*'Assumptions'!$F$43</f>
        <v>0</v>
      </c>
      <c r="AB9" s="20">
        <f>AB8*'Assumptions'!$F$43</f>
        <v>0</v>
      </c>
      <c r="AC9" s="20">
        <f>AC8*'Assumptions'!$F$43</f>
        <v>0</v>
      </c>
      <c r="AD9" s="20">
        <f>AD8*'Assumptions'!$F$43</f>
        <v>0</v>
      </c>
      <c r="AE9" s="20">
        <f>AE8*'Assumptions'!$F$43</f>
        <v>0</v>
      </c>
      <c r="AF9" s="20">
        <f>AF8*'Assumptions'!$F$43</f>
        <v>0</v>
      </c>
      <c r="AG9" s="20">
        <f>AG8*'Assumptions'!$F$43</f>
        <v>0</v>
      </c>
      <c r="AH9" s="20">
        <f>AH8*'Assumptions'!$F$43</f>
        <v>0</v>
      </c>
      <c r="AI9" s="20">
        <f>AI8*'Assumptions'!$F$43</f>
        <v>0</v>
      </c>
      <c r="AJ9" s="20">
        <f>AJ8*'Assumptions'!$F$43</f>
        <v>0</v>
      </c>
      <c r="AK9" s="20">
        <f>AK8*'Assumptions'!$F$43</f>
        <v>0</v>
      </c>
      <c r="AL9" s="20">
        <f>AL8*'Assumptions'!$F$43</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ht="5" customHeight="1"/>
    <row r="11" spans="1:55" ht="16" customHeight="1">
      <c r="A11" s="14" t="s">
        <v>173</v>
      </c>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row>
    <row r="12" spans="1:55">
      <c r="A12" s="18" t="s">
        <v>174</v>
      </c>
      <c r="B12" s="16" t="s">
        <v>175</v>
      </c>
      <c r="C12" s="27">
        <f>ROUND('Assumptions'!$F$46,1)</f>
        <v>0</v>
      </c>
      <c r="D12" s="27">
        <f>ROUND(C12+'Assumptions'!$F$47/3,1)</f>
        <v>0</v>
      </c>
      <c r="E12" s="27">
        <f>ROUND(D12+'Assumptions'!$F$47/3,1)</f>
        <v>0</v>
      </c>
      <c r="F12" s="27">
        <f>ROUND(E12+'Assumptions'!$F$47/3,1)</f>
        <v>0</v>
      </c>
      <c r="G12" s="27">
        <f>ROUND(F12+'Assumptions'!$F$47/3,1)</f>
        <v>0</v>
      </c>
      <c r="H12" s="27">
        <f>ROUND(G12+'Assumptions'!$F$47/3,1)</f>
        <v>0</v>
      </c>
      <c r="I12" s="27">
        <f>ROUND(H12+'Assumptions'!$F$47/3,1)</f>
        <v>0</v>
      </c>
      <c r="J12" s="27">
        <f>ROUND(I12+'Assumptions'!$F$47/3,1)</f>
        <v>0</v>
      </c>
      <c r="K12" s="27">
        <f>ROUND(J12+'Assumptions'!$F$47/3,1)</f>
        <v>0</v>
      </c>
      <c r="L12" s="27">
        <f>ROUND(K12+'Assumptions'!$F$47/3,1)</f>
        <v>0</v>
      </c>
      <c r="M12" s="27">
        <f>ROUND(L12+'Assumptions'!$F$47/3,1)</f>
        <v>0</v>
      </c>
      <c r="N12" s="27">
        <f>ROUND(M12+'Assumptions'!$F$47/3,1)</f>
        <v>0</v>
      </c>
      <c r="O12" s="27">
        <f>ROUND(N12+'Assumptions'!$F$47/3,1)</f>
        <v>0</v>
      </c>
      <c r="P12" s="27">
        <f>ROUND(O12+'Assumptions'!$F$47/3,1)</f>
        <v>0</v>
      </c>
      <c r="Q12" s="27">
        <f>ROUND(P12+'Assumptions'!$F$47/3,1)</f>
        <v>0</v>
      </c>
      <c r="R12" s="27">
        <f>ROUND(Q12+'Assumptions'!$F$47/3,1)</f>
        <v>0</v>
      </c>
      <c r="S12" s="27">
        <f>ROUND(R12+'Assumptions'!$F$47/3,1)</f>
        <v>0</v>
      </c>
      <c r="T12" s="27">
        <f>ROUND(S12+'Assumptions'!$F$47/3,1)</f>
        <v>0</v>
      </c>
      <c r="U12" s="27">
        <f>ROUND(T12+'Assumptions'!$F$47/3,1)</f>
        <v>0</v>
      </c>
      <c r="V12" s="27">
        <f>ROUND(U12+'Assumptions'!$F$47/3,1)</f>
        <v>0</v>
      </c>
      <c r="W12" s="27">
        <f>ROUND(V12+'Assumptions'!$F$47/3,1)</f>
        <v>0</v>
      </c>
      <c r="X12" s="27">
        <f>ROUND(W12+'Assumptions'!$F$47/3,1)</f>
        <v>0</v>
      </c>
      <c r="Y12" s="27">
        <f>ROUND(X12+'Assumptions'!$F$47/3,1)</f>
        <v>0</v>
      </c>
      <c r="Z12" s="27">
        <f>ROUND(Y12+'Assumptions'!$F$47/3,1)</f>
        <v>0</v>
      </c>
      <c r="AA12" s="27">
        <f>ROUND(Z12+'Assumptions'!$F$47/3,1)</f>
        <v>0</v>
      </c>
      <c r="AB12" s="27">
        <f>ROUND(AA12+'Assumptions'!$F$47/3,1)</f>
        <v>0</v>
      </c>
      <c r="AC12" s="27">
        <f>ROUND(AB12+'Assumptions'!$F$47/3,1)</f>
        <v>0</v>
      </c>
      <c r="AD12" s="27">
        <f>ROUND(AC12+'Assumptions'!$F$47/3,1)</f>
        <v>0</v>
      </c>
      <c r="AE12" s="27">
        <f>ROUND(AD12+'Assumptions'!$F$47/3,1)</f>
        <v>0</v>
      </c>
      <c r="AF12" s="27">
        <f>ROUND(AE12+'Assumptions'!$F$47/3,1)</f>
        <v>0</v>
      </c>
      <c r="AG12" s="27">
        <f>ROUND(AF12+'Assumptions'!$F$47/3,1)</f>
        <v>0</v>
      </c>
      <c r="AH12" s="27">
        <f>ROUND(AG12+'Assumptions'!$F$47/3,1)</f>
        <v>0</v>
      </c>
      <c r="AI12" s="27">
        <f>ROUND(AH12+'Assumptions'!$F$47/3,1)</f>
        <v>0</v>
      </c>
      <c r="AJ12" s="27">
        <f>ROUND(AI12+'Assumptions'!$F$47/3,1)</f>
        <v>0</v>
      </c>
      <c r="AK12" s="27">
        <f>ROUND(AJ12+'Assumptions'!$F$47/3,1)</f>
        <v>0</v>
      </c>
      <c r="AL12" s="27">
        <f>ROUND(AK12+'Assumptions'!$F$47/3,1)</f>
        <v>0</v>
      </c>
      <c r="AN12" s="27">
        <f>E12</f>
        <v>0</v>
      </c>
      <c r="AO12" s="27">
        <f>H12</f>
        <v>0</v>
      </c>
      <c r="AP12" s="27">
        <f>K12</f>
        <v>0</v>
      </c>
      <c r="AQ12" s="27">
        <f>N12</f>
        <v>0</v>
      </c>
      <c r="AR12" s="27">
        <f>Q12</f>
        <v>0</v>
      </c>
      <c r="AS12" s="27">
        <f>T12</f>
        <v>0</v>
      </c>
      <c r="AT12" s="27">
        <f>W12</f>
        <v>0</v>
      </c>
      <c r="AU12" s="27">
        <f>Z12</f>
        <v>0</v>
      </c>
      <c r="AV12" s="27">
        <f>AC12</f>
        <v>0</v>
      </c>
      <c r="AW12" s="27">
        <f>AF12</f>
        <v>0</v>
      </c>
      <c r="AX12" s="27">
        <f>AI12</f>
        <v>0</v>
      </c>
      <c r="AY12" s="27">
        <f>AL12</f>
        <v>0</v>
      </c>
      <c r="BA12" s="27">
        <f>N12</f>
        <v>0</v>
      </c>
      <c r="BB12" s="27">
        <f>Z12</f>
        <v>0</v>
      </c>
      <c r="BC12" s="27">
        <f>AL12</f>
        <v>0</v>
      </c>
    </row>
    <row r="13" spans="1:55">
      <c r="A13" s="18" t="s">
        <v>176</v>
      </c>
      <c r="B13" s="16" t="s">
        <v>172</v>
      </c>
      <c r="C13" s="20">
        <f>C12*'Assumptions'!$F$48</f>
        <v>0</v>
      </c>
      <c r="D13" s="20">
        <f>D12*'Assumptions'!$F$48</f>
        <v>0</v>
      </c>
      <c r="E13" s="20">
        <f>E12*'Assumptions'!$F$48</f>
        <v>0</v>
      </c>
      <c r="F13" s="20">
        <f>F12*'Assumptions'!$F$48</f>
        <v>0</v>
      </c>
      <c r="G13" s="20">
        <f>G12*'Assumptions'!$F$48</f>
        <v>0</v>
      </c>
      <c r="H13" s="20">
        <f>H12*'Assumptions'!$F$48</f>
        <v>0</v>
      </c>
      <c r="I13" s="20">
        <f>I12*'Assumptions'!$F$48</f>
        <v>0</v>
      </c>
      <c r="J13" s="20">
        <f>J12*'Assumptions'!$F$48</f>
        <v>0</v>
      </c>
      <c r="K13" s="20">
        <f>K12*'Assumptions'!$F$48</f>
        <v>0</v>
      </c>
      <c r="L13" s="20">
        <f>L12*'Assumptions'!$F$48</f>
        <v>0</v>
      </c>
      <c r="M13" s="20">
        <f>M12*'Assumptions'!$F$48</f>
        <v>0</v>
      </c>
      <c r="N13" s="20">
        <f>N12*'Assumptions'!$F$48</f>
        <v>0</v>
      </c>
      <c r="O13" s="20">
        <f>O12*'Assumptions'!$F$48</f>
        <v>0</v>
      </c>
      <c r="P13" s="20">
        <f>P12*'Assumptions'!$F$48</f>
        <v>0</v>
      </c>
      <c r="Q13" s="20">
        <f>Q12*'Assumptions'!$F$48</f>
        <v>0</v>
      </c>
      <c r="R13" s="20">
        <f>R12*'Assumptions'!$F$48</f>
        <v>0</v>
      </c>
      <c r="S13" s="20">
        <f>S12*'Assumptions'!$F$48</f>
        <v>0</v>
      </c>
      <c r="T13" s="20">
        <f>T12*'Assumptions'!$F$48</f>
        <v>0</v>
      </c>
      <c r="U13" s="20">
        <f>U12*'Assumptions'!$F$48</f>
        <v>0</v>
      </c>
      <c r="V13" s="20">
        <f>V12*'Assumptions'!$F$48</f>
        <v>0</v>
      </c>
      <c r="W13" s="20">
        <f>W12*'Assumptions'!$F$48</f>
        <v>0</v>
      </c>
      <c r="X13" s="20">
        <f>X12*'Assumptions'!$F$48</f>
        <v>0</v>
      </c>
      <c r="Y13" s="20">
        <f>Y12*'Assumptions'!$F$48</f>
        <v>0</v>
      </c>
      <c r="Z13" s="20">
        <f>Z12*'Assumptions'!$F$48</f>
        <v>0</v>
      </c>
      <c r="AA13" s="20">
        <f>AA12*'Assumptions'!$F$48</f>
        <v>0</v>
      </c>
      <c r="AB13" s="20">
        <f>AB12*'Assumptions'!$F$48</f>
        <v>0</v>
      </c>
      <c r="AC13" s="20">
        <f>AC12*'Assumptions'!$F$48</f>
        <v>0</v>
      </c>
      <c r="AD13" s="20">
        <f>AD12*'Assumptions'!$F$48</f>
        <v>0</v>
      </c>
      <c r="AE13" s="20">
        <f>AE12*'Assumptions'!$F$48</f>
        <v>0</v>
      </c>
      <c r="AF13" s="20">
        <f>AF12*'Assumptions'!$F$48</f>
        <v>0</v>
      </c>
      <c r="AG13" s="20">
        <f>AG12*'Assumptions'!$F$48</f>
        <v>0</v>
      </c>
      <c r="AH13" s="20">
        <f>AH12*'Assumptions'!$F$48</f>
        <v>0</v>
      </c>
      <c r="AI13" s="20">
        <f>AI12*'Assumptions'!$F$48</f>
        <v>0</v>
      </c>
      <c r="AJ13" s="20">
        <f>AJ12*'Assumptions'!$F$48</f>
        <v>0</v>
      </c>
      <c r="AK13" s="20">
        <f>AK12*'Assumptions'!$F$48</f>
        <v>0</v>
      </c>
      <c r="AL13" s="20">
        <f>AL12*'Assumptions'!$F$48</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18" t="s">
        <v>177</v>
      </c>
      <c r="B14" s="16" t="s">
        <v>178</v>
      </c>
      <c r="C14" s="27">
        <f>ROUND('Assumptions'!$F$51,1)</f>
        <v>0</v>
      </c>
      <c r="D14" s="27">
        <f>ROUND(C14+'Assumptions'!$F$52/3,1)</f>
        <v>0</v>
      </c>
      <c r="E14" s="27">
        <f>ROUND(D14+'Assumptions'!$F$52/3,1)</f>
        <v>0</v>
      </c>
      <c r="F14" s="27">
        <f>ROUND(E14+'Assumptions'!$F$52/3,1)</f>
        <v>0</v>
      </c>
      <c r="G14" s="27">
        <f>ROUND(F14+'Assumptions'!$F$52/3,1)</f>
        <v>0</v>
      </c>
      <c r="H14" s="27">
        <f>ROUND(G14+'Assumptions'!$F$52/3,1)</f>
        <v>0</v>
      </c>
      <c r="I14" s="27">
        <f>ROUND(H14+'Assumptions'!$F$52/3,1)</f>
        <v>0</v>
      </c>
      <c r="J14" s="27">
        <f>ROUND(I14+'Assumptions'!$F$52/3,1)</f>
        <v>0</v>
      </c>
      <c r="K14" s="27">
        <f>ROUND(J14+'Assumptions'!$F$52/3,1)</f>
        <v>0</v>
      </c>
      <c r="L14" s="27">
        <f>ROUND(K14+'Assumptions'!$F$52/3,1)</f>
        <v>0</v>
      </c>
      <c r="M14" s="27">
        <f>ROUND(L14+'Assumptions'!$F$52/3,1)</f>
        <v>0</v>
      </c>
      <c r="N14" s="27">
        <f>ROUND(M14+'Assumptions'!$F$52/3,1)</f>
        <v>0</v>
      </c>
      <c r="O14" s="27">
        <f>ROUND(N14+'Assumptions'!$F$52/3,1)</f>
        <v>0</v>
      </c>
      <c r="P14" s="27">
        <f>ROUND(O14+'Assumptions'!$F$52/3,1)</f>
        <v>0</v>
      </c>
      <c r="Q14" s="27">
        <f>ROUND(P14+'Assumptions'!$F$52/3,1)</f>
        <v>0</v>
      </c>
      <c r="R14" s="27">
        <f>ROUND(Q14+'Assumptions'!$F$52/3,1)</f>
        <v>0</v>
      </c>
      <c r="S14" s="27">
        <f>ROUND(R14+'Assumptions'!$F$52/3,1)</f>
        <v>0</v>
      </c>
      <c r="T14" s="27">
        <f>ROUND(S14+'Assumptions'!$F$52/3,1)</f>
        <v>0</v>
      </c>
      <c r="U14" s="27">
        <f>ROUND(T14+'Assumptions'!$F$52/3,1)</f>
        <v>0</v>
      </c>
      <c r="V14" s="27">
        <f>ROUND(U14+'Assumptions'!$F$52/3,1)</f>
        <v>0</v>
      </c>
      <c r="W14" s="27">
        <f>ROUND(V14+'Assumptions'!$F$52/3,1)</f>
        <v>0</v>
      </c>
      <c r="X14" s="27">
        <f>ROUND(W14+'Assumptions'!$F$52/3,1)</f>
        <v>0</v>
      </c>
      <c r="Y14" s="27">
        <f>ROUND(X14+'Assumptions'!$F$52/3,1)</f>
        <v>0</v>
      </c>
      <c r="Z14" s="27">
        <f>ROUND(Y14+'Assumptions'!$F$52/3,1)</f>
        <v>0</v>
      </c>
      <c r="AA14" s="27">
        <f>ROUND(Z14+'Assumptions'!$F$52/3,1)</f>
        <v>0</v>
      </c>
      <c r="AB14" s="27">
        <f>ROUND(AA14+'Assumptions'!$F$52/3,1)</f>
        <v>0</v>
      </c>
      <c r="AC14" s="27">
        <f>ROUND(AB14+'Assumptions'!$F$52/3,1)</f>
        <v>0</v>
      </c>
      <c r="AD14" s="27">
        <f>ROUND(AC14+'Assumptions'!$F$52/3,1)</f>
        <v>0</v>
      </c>
      <c r="AE14" s="27">
        <f>ROUND(AD14+'Assumptions'!$F$52/3,1)</f>
        <v>0</v>
      </c>
      <c r="AF14" s="27">
        <f>ROUND(AE14+'Assumptions'!$F$52/3,1)</f>
        <v>0</v>
      </c>
      <c r="AG14" s="27">
        <f>ROUND(AF14+'Assumptions'!$F$52/3,1)</f>
        <v>0</v>
      </c>
      <c r="AH14" s="27">
        <f>ROUND(AG14+'Assumptions'!$F$52/3,1)</f>
        <v>0</v>
      </c>
      <c r="AI14" s="27">
        <f>ROUND(AH14+'Assumptions'!$F$52/3,1)</f>
        <v>0</v>
      </c>
      <c r="AJ14" s="27">
        <f>ROUND(AI14+'Assumptions'!$F$52/3,1)</f>
        <v>0</v>
      </c>
      <c r="AK14" s="27">
        <f>ROUND(AJ14+'Assumptions'!$F$52/3,1)</f>
        <v>0</v>
      </c>
      <c r="AL14" s="27">
        <f>ROUND(AK14+'Assumptions'!$F$52/3,1)</f>
        <v>0</v>
      </c>
      <c r="AN14" s="27">
        <f>E14</f>
        <v>0</v>
      </c>
      <c r="AO14" s="27">
        <f>H14</f>
        <v>0</v>
      </c>
      <c r="AP14" s="27">
        <f>K14</f>
        <v>0</v>
      </c>
      <c r="AQ14" s="27">
        <f>N14</f>
        <v>0</v>
      </c>
      <c r="AR14" s="27">
        <f>Q14</f>
        <v>0</v>
      </c>
      <c r="AS14" s="27">
        <f>T14</f>
        <v>0</v>
      </c>
      <c r="AT14" s="27">
        <f>W14</f>
        <v>0</v>
      </c>
      <c r="AU14" s="27">
        <f>Z14</f>
        <v>0</v>
      </c>
      <c r="AV14" s="27">
        <f>AC14</f>
        <v>0</v>
      </c>
      <c r="AW14" s="27">
        <f>AF14</f>
        <v>0</v>
      </c>
      <c r="AX14" s="27">
        <f>AI14</f>
        <v>0</v>
      </c>
      <c r="AY14" s="27">
        <f>AL14</f>
        <v>0</v>
      </c>
      <c r="BA14" s="27">
        <f>N14</f>
        <v>0</v>
      </c>
      <c r="BB14" s="27">
        <f>Z14</f>
        <v>0</v>
      </c>
      <c r="BC14" s="27">
        <f>AL14</f>
        <v>0</v>
      </c>
    </row>
    <row r="15" spans="1:55">
      <c r="A15" s="18" t="s">
        <v>179</v>
      </c>
      <c r="B15" s="16" t="s">
        <v>172</v>
      </c>
      <c r="C15" s="20">
        <f>C14*'Assumptions'!$F$53</f>
        <v>0</v>
      </c>
      <c r="D15" s="20">
        <f>D14*'Assumptions'!$F$53</f>
        <v>0</v>
      </c>
      <c r="E15" s="20">
        <f>E14*'Assumptions'!$F$53</f>
        <v>0</v>
      </c>
      <c r="F15" s="20">
        <f>F14*'Assumptions'!$F$53</f>
        <v>0</v>
      </c>
      <c r="G15" s="20">
        <f>G14*'Assumptions'!$F$53</f>
        <v>0</v>
      </c>
      <c r="H15" s="20">
        <f>H14*'Assumptions'!$F$53</f>
        <v>0</v>
      </c>
      <c r="I15" s="20">
        <f>I14*'Assumptions'!$F$53</f>
        <v>0</v>
      </c>
      <c r="J15" s="20">
        <f>J14*'Assumptions'!$F$53</f>
        <v>0</v>
      </c>
      <c r="K15" s="20">
        <f>K14*'Assumptions'!$F$53</f>
        <v>0</v>
      </c>
      <c r="L15" s="20">
        <f>L14*'Assumptions'!$F$53</f>
        <v>0</v>
      </c>
      <c r="M15" s="20">
        <f>M14*'Assumptions'!$F$53</f>
        <v>0</v>
      </c>
      <c r="N15" s="20">
        <f>N14*'Assumptions'!$F$53</f>
        <v>0</v>
      </c>
      <c r="O15" s="20">
        <f>O14*'Assumptions'!$F$53</f>
        <v>0</v>
      </c>
      <c r="P15" s="20">
        <f>P14*'Assumptions'!$F$53</f>
        <v>0</v>
      </c>
      <c r="Q15" s="20">
        <f>Q14*'Assumptions'!$F$53</f>
        <v>0</v>
      </c>
      <c r="R15" s="20">
        <f>R14*'Assumptions'!$F$53</f>
        <v>0</v>
      </c>
      <c r="S15" s="20">
        <f>S14*'Assumptions'!$F$53</f>
        <v>0</v>
      </c>
      <c r="T15" s="20">
        <f>T14*'Assumptions'!$F$53</f>
        <v>0</v>
      </c>
      <c r="U15" s="20">
        <f>U14*'Assumptions'!$F$53</f>
        <v>0</v>
      </c>
      <c r="V15" s="20">
        <f>V14*'Assumptions'!$F$53</f>
        <v>0</v>
      </c>
      <c r="W15" s="20">
        <f>W14*'Assumptions'!$F$53</f>
        <v>0</v>
      </c>
      <c r="X15" s="20">
        <f>X14*'Assumptions'!$F$53</f>
        <v>0</v>
      </c>
      <c r="Y15" s="20">
        <f>Y14*'Assumptions'!$F$53</f>
        <v>0</v>
      </c>
      <c r="Z15" s="20">
        <f>Z14*'Assumptions'!$F$53</f>
        <v>0</v>
      </c>
      <c r="AA15" s="20">
        <f>AA14*'Assumptions'!$F$53</f>
        <v>0</v>
      </c>
      <c r="AB15" s="20">
        <f>AB14*'Assumptions'!$F$53</f>
        <v>0</v>
      </c>
      <c r="AC15" s="20">
        <f>AC14*'Assumptions'!$F$53</f>
        <v>0</v>
      </c>
      <c r="AD15" s="20">
        <f>AD14*'Assumptions'!$F$53</f>
        <v>0</v>
      </c>
      <c r="AE15" s="20">
        <f>AE14*'Assumptions'!$F$53</f>
        <v>0</v>
      </c>
      <c r="AF15" s="20">
        <f>AF14*'Assumptions'!$F$53</f>
        <v>0</v>
      </c>
      <c r="AG15" s="20">
        <f>AG14*'Assumptions'!$F$53</f>
        <v>0</v>
      </c>
      <c r="AH15" s="20">
        <f>AH14*'Assumptions'!$F$53</f>
        <v>0</v>
      </c>
      <c r="AI15" s="20">
        <f>AI14*'Assumptions'!$F$53</f>
        <v>0</v>
      </c>
      <c r="AJ15" s="20">
        <f>AJ14*'Assumptions'!$F$53</f>
        <v>0</v>
      </c>
      <c r="AK15" s="20">
        <f>AK14*'Assumptions'!$F$53</f>
        <v>0</v>
      </c>
      <c r="AL15" s="20">
        <f>AL14*'Assumptions'!$F$53</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c r="A16" s="18" t="s">
        <v>180</v>
      </c>
      <c r="B16" s="16" t="s">
        <v>181</v>
      </c>
      <c r="C16" s="27">
        <f>ROUND('Assumptions'!$F$56,1)</f>
        <v>0</v>
      </c>
      <c r="D16" s="27">
        <f>ROUND(C16+'Assumptions'!$F$57/3,1)</f>
        <v>0</v>
      </c>
      <c r="E16" s="27">
        <f>ROUND(D16+'Assumptions'!$F$57/3,1)</f>
        <v>0</v>
      </c>
      <c r="F16" s="27">
        <f>ROUND(E16+'Assumptions'!$F$57/3,1)</f>
        <v>0</v>
      </c>
      <c r="G16" s="27">
        <f>ROUND(F16+'Assumptions'!$F$57/3,1)</f>
        <v>0</v>
      </c>
      <c r="H16" s="27">
        <f>ROUND(G16+'Assumptions'!$F$57/3,1)</f>
        <v>0</v>
      </c>
      <c r="I16" s="27">
        <f>ROUND(H16+'Assumptions'!$F$57/3,1)</f>
        <v>0</v>
      </c>
      <c r="J16" s="27">
        <f>ROUND(I16+'Assumptions'!$F$57/3,1)</f>
        <v>0</v>
      </c>
      <c r="K16" s="27">
        <f>ROUND(J16+'Assumptions'!$F$57/3,1)</f>
        <v>0</v>
      </c>
      <c r="L16" s="27">
        <f>ROUND(K16+'Assumptions'!$F$57/3,1)</f>
        <v>0</v>
      </c>
      <c r="M16" s="27">
        <f>ROUND(L16+'Assumptions'!$F$57/3,1)</f>
        <v>0</v>
      </c>
      <c r="N16" s="27">
        <f>ROUND(M16+'Assumptions'!$F$57/3,1)</f>
        <v>0</v>
      </c>
      <c r="O16" s="27">
        <f>ROUND(N16+'Assumptions'!$F$57/3,1)</f>
        <v>0</v>
      </c>
      <c r="P16" s="27">
        <f>ROUND(O16+'Assumptions'!$F$57/3,1)</f>
        <v>0</v>
      </c>
      <c r="Q16" s="27">
        <f>ROUND(P16+'Assumptions'!$F$57/3,1)</f>
        <v>0</v>
      </c>
      <c r="R16" s="27">
        <f>ROUND(Q16+'Assumptions'!$F$57/3,1)</f>
        <v>0</v>
      </c>
      <c r="S16" s="27">
        <f>ROUND(R16+'Assumptions'!$F$57/3,1)</f>
        <v>0</v>
      </c>
      <c r="T16" s="27">
        <f>ROUND(S16+'Assumptions'!$F$57/3,1)</f>
        <v>0</v>
      </c>
      <c r="U16" s="27">
        <f>ROUND(T16+'Assumptions'!$F$57/3,1)</f>
        <v>0</v>
      </c>
      <c r="V16" s="27">
        <f>ROUND(U16+'Assumptions'!$F$57/3,1)</f>
        <v>0</v>
      </c>
      <c r="W16" s="27">
        <f>ROUND(V16+'Assumptions'!$F$57/3,1)</f>
        <v>0</v>
      </c>
      <c r="X16" s="27">
        <f>ROUND(W16+'Assumptions'!$F$57/3,1)</f>
        <v>0</v>
      </c>
      <c r="Y16" s="27">
        <f>ROUND(X16+'Assumptions'!$F$57/3,1)</f>
        <v>0</v>
      </c>
      <c r="Z16" s="27">
        <f>ROUND(Y16+'Assumptions'!$F$57/3,1)</f>
        <v>0</v>
      </c>
      <c r="AA16" s="27">
        <f>ROUND(Z16+'Assumptions'!$F$57/3,1)</f>
        <v>0</v>
      </c>
      <c r="AB16" s="27">
        <f>ROUND(AA16+'Assumptions'!$F$57/3,1)</f>
        <v>0</v>
      </c>
      <c r="AC16" s="27">
        <f>ROUND(AB16+'Assumptions'!$F$57/3,1)</f>
        <v>0</v>
      </c>
      <c r="AD16" s="27">
        <f>ROUND(AC16+'Assumptions'!$F$57/3,1)</f>
        <v>0</v>
      </c>
      <c r="AE16" s="27">
        <f>ROUND(AD16+'Assumptions'!$F$57/3,1)</f>
        <v>0</v>
      </c>
      <c r="AF16" s="27">
        <f>ROUND(AE16+'Assumptions'!$F$57/3,1)</f>
        <v>0</v>
      </c>
      <c r="AG16" s="27">
        <f>ROUND(AF16+'Assumptions'!$F$57/3,1)</f>
        <v>0</v>
      </c>
      <c r="AH16" s="27">
        <f>ROUND(AG16+'Assumptions'!$F$57/3,1)</f>
        <v>0</v>
      </c>
      <c r="AI16" s="27">
        <f>ROUND(AH16+'Assumptions'!$F$57/3,1)</f>
        <v>0</v>
      </c>
      <c r="AJ16" s="27">
        <f>ROUND(AI16+'Assumptions'!$F$57/3,1)</f>
        <v>0</v>
      </c>
      <c r="AK16" s="27">
        <f>ROUND(AJ16+'Assumptions'!$F$57/3,1)</f>
        <v>0</v>
      </c>
      <c r="AL16" s="27">
        <f>ROUND(AK16+'Assumptions'!$F$57/3,1)</f>
        <v>0</v>
      </c>
      <c r="AN16" s="27">
        <f>E16</f>
        <v>0</v>
      </c>
      <c r="AO16" s="27">
        <f>H16</f>
        <v>0</v>
      </c>
      <c r="AP16" s="27">
        <f>K16</f>
        <v>0</v>
      </c>
      <c r="AQ16" s="27">
        <f>N16</f>
        <v>0</v>
      </c>
      <c r="AR16" s="27">
        <f>Q16</f>
        <v>0</v>
      </c>
      <c r="AS16" s="27">
        <f>T16</f>
        <v>0</v>
      </c>
      <c r="AT16" s="27">
        <f>W16</f>
        <v>0</v>
      </c>
      <c r="AU16" s="27">
        <f>Z16</f>
        <v>0</v>
      </c>
      <c r="AV16" s="27">
        <f>AC16</f>
        <v>0</v>
      </c>
      <c r="AW16" s="27">
        <f>AF16</f>
        <v>0</v>
      </c>
      <c r="AX16" s="27">
        <f>AI16</f>
        <v>0</v>
      </c>
      <c r="AY16" s="27">
        <f>AL16</f>
        <v>0</v>
      </c>
      <c r="BA16" s="27">
        <f>N16</f>
        <v>0</v>
      </c>
      <c r="BB16" s="27">
        <f>Z16</f>
        <v>0</v>
      </c>
      <c r="BC16" s="27">
        <f>AL16</f>
        <v>0</v>
      </c>
    </row>
    <row r="17" spans="1:55">
      <c r="A17" s="18" t="s">
        <v>182</v>
      </c>
      <c r="B17" s="16" t="s">
        <v>172</v>
      </c>
      <c r="C17" s="20">
        <f>C16*'Assumptions'!$F$58</f>
        <v>0</v>
      </c>
      <c r="D17" s="20">
        <f>D16*'Assumptions'!$F$58</f>
        <v>0</v>
      </c>
      <c r="E17" s="20">
        <f>E16*'Assumptions'!$F$58</f>
        <v>0</v>
      </c>
      <c r="F17" s="20">
        <f>F16*'Assumptions'!$F$58</f>
        <v>0</v>
      </c>
      <c r="G17" s="20">
        <f>G16*'Assumptions'!$F$58</f>
        <v>0</v>
      </c>
      <c r="H17" s="20">
        <f>H16*'Assumptions'!$F$58</f>
        <v>0</v>
      </c>
      <c r="I17" s="20">
        <f>I16*'Assumptions'!$F$58</f>
        <v>0</v>
      </c>
      <c r="J17" s="20">
        <f>J16*'Assumptions'!$F$58</f>
        <v>0</v>
      </c>
      <c r="K17" s="20">
        <f>K16*'Assumptions'!$F$58</f>
        <v>0</v>
      </c>
      <c r="L17" s="20">
        <f>L16*'Assumptions'!$F$58</f>
        <v>0</v>
      </c>
      <c r="M17" s="20">
        <f>M16*'Assumptions'!$F$58</f>
        <v>0</v>
      </c>
      <c r="N17" s="20">
        <f>N16*'Assumptions'!$F$58</f>
        <v>0</v>
      </c>
      <c r="O17" s="20">
        <f>O16*'Assumptions'!$F$58</f>
        <v>0</v>
      </c>
      <c r="P17" s="20">
        <f>P16*'Assumptions'!$F$58</f>
        <v>0</v>
      </c>
      <c r="Q17" s="20">
        <f>Q16*'Assumptions'!$F$58</f>
        <v>0</v>
      </c>
      <c r="R17" s="20">
        <f>R16*'Assumptions'!$F$58</f>
        <v>0</v>
      </c>
      <c r="S17" s="20">
        <f>S16*'Assumptions'!$F$58</f>
        <v>0</v>
      </c>
      <c r="T17" s="20">
        <f>T16*'Assumptions'!$F$58</f>
        <v>0</v>
      </c>
      <c r="U17" s="20">
        <f>U16*'Assumptions'!$F$58</f>
        <v>0</v>
      </c>
      <c r="V17" s="20">
        <f>V16*'Assumptions'!$F$58</f>
        <v>0</v>
      </c>
      <c r="W17" s="20">
        <f>W16*'Assumptions'!$F$58</f>
        <v>0</v>
      </c>
      <c r="X17" s="20">
        <f>X16*'Assumptions'!$F$58</f>
        <v>0</v>
      </c>
      <c r="Y17" s="20">
        <f>Y16*'Assumptions'!$F$58</f>
        <v>0</v>
      </c>
      <c r="Z17" s="20">
        <f>Z16*'Assumptions'!$F$58</f>
        <v>0</v>
      </c>
      <c r="AA17" s="20">
        <f>AA16*'Assumptions'!$F$58</f>
        <v>0</v>
      </c>
      <c r="AB17" s="20">
        <f>AB16*'Assumptions'!$F$58</f>
        <v>0</v>
      </c>
      <c r="AC17" s="20">
        <f>AC16*'Assumptions'!$F$58</f>
        <v>0</v>
      </c>
      <c r="AD17" s="20">
        <f>AD16*'Assumptions'!$F$58</f>
        <v>0</v>
      </c>
      <c r="AE17" s="20">
        <f>AE16*'Assumptions'!$F$58</f>
        <v>0</v>
      </c>
      <c r="AF17" s="20">
        <f>AF16*'Assumptions'!$F$58</f>
        <v>0</v>
      </c>
      <c r="AG17" s="20">
        <f>AG16*'Assumptions'!$F$58</f>
        <v>0</v>
      </c>
      <c r="AH17" s="20">
        <f>AH16*'Assumptions'!$F$58</f>
        <v>0</v>
      </c>
      <c r="AI17" s="20">
        <f>AI16*'Assumptions'!$F$58</f>
        <v>0</v>
      </c>
      <c r="AJ17" s="20">
        <f>AJ16*'Assumptions'!$F$58</f>
        <v>0</v>
      </c>
      <c r="AK17" s="20">
        <f>AK16*'Assumptions'!$F$58</f>
        <v>0</v>
      </c>
      <c r="AL17" s="20">
        <f>AL16*'Assumptions'!$F$58</f>
        <v>0</v>
      </c>
      <c r="AN17" s="20">
        <f>SUM(C17:E17)</f>
        <v>0</v>
      </c>
      <c r="AO17" s="20">
        <f>SUM(F17:H17)</f>
        <v>0</v>
      </c>
      <c r="AP17" s="20">
        <f>SUM(I17:K17)</f>
        <v>0</v>
      </c>
      <c r="AQ17" s="20">
        <f>SUM(L17:N17)</f>
        <v>0</v>
      </c>
      <c r="AR17" s="20">
        <f>SUM(O17:Q17)</f>
        <v>0</v>
      </c>
      <c r="AS17" s="20">
        <f>SUM(R17:T17)</f>
        <v>0</v>
      </c>
      <c r="AT17" s="20">
        <f>SUM(U17:W17)</f>
        <v>0</v>
      </c>
      <c r="AU17" s="20">
        <f>SUM(X17:Z17)</f>
        <v>0</v>
      </c>
      <c r="AV17" s="20">
        <f>SUM(AA17:AC17)</f>
        <v>0</v>
      </c>
      <c r="AW17" s="20">
        <f>SUM(AD17:AF17)</f>
        <v>0</v>
      </c>
      <c r="AX17" s="20">
        <f>SUM(AG17:AI17)</f>
        <v>0</v>
      </c>
      <c r="AY17" s="20">
        <f>SUM(AJ17:AL17)</f>
        <v>0</v>
      </c>
      <c r="BA17" s="20">
        <f>SUM(C17:N17)</f>
        <v>0</v>
      </c>
      <c r="BB17" s="20">
        <f>SUM(O17:Z17)</f>
        <v>0</v>
      </c>
      <c r="BC17" s="20">
        <f>SUM(AA17:AL17)</f>
        <v>0</v>
      </c>
    </row>
    <row r="18" spans="1:55" ht="5" customHeight="1"/>
    <row r="19" spans="1:55" ht="16" customHeight="1">
      <c r="A19" s="14" t="s">
        <v>183</v>
      </c>
      <c r="B19" s="14"/>
      <c r="C19" s="14"/>
      <c r="D19" s="14"/>
      <c r="E19" s="14"/>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row>
    <row r="20" spans="1:55">
      <c r="A20" s="28" t="s">
        <v>184</v>
      </c>
      <c r="B20" s="16" t="s">
        <v>185</v>
      </c>
      <c r="C20" s="27">
        <f>C8+C12+C14+C16</f>
        <v>0</v>
      </c>
      <c r="D20" s="27">
        <f>D8+D12+D14+D16</f>
        <v>0</v>
      </c>
      <c r="E20" s="27">
        <f>E8+E12+E14+E16</f>
        <v>0</v>
      </c>
      <c r="F20" s="27">
        <f>F8+F12+F14+F16</f>
        <v>0</v>
      </c>
      <c r="G20" s="27">
        <f>G8+G12+G14+G16</f>
        <v>0</v>
      </c>
      <c r="H20" s="27">
        <f>H8+H12+H14+H16</f>
        <v>0</v>
      </c>
      <c r="I20" s="27">
        <f>I8+I12+I14+I16</f>
        <v>0</v>
      </c>
      <c r="J20" s="27">
        <f>J8+J12+J14+J16</f>
        <v>0</v>
      </c>
      <c r="K20" s="27">
        <f>K8+K12+K14+K16</f>
        <v>0</v>
      </c>
      <c r="L20" s="27">
        <f>L8+L12+L14+L16</f>
        <v>0</v>
      </c>
      <c r="M20" s="27">
        <f>M8+M12+M14+M16</f>
        <v>0</v>
      </c>
      <c r="N20" s="27">
        <f>N8+N12+N14+N16</f>
        <v>0</v>
      </c>
      <c r="O20" s="27">
        <f>O8+O12+O14+O16</f>
        <v>0</v>
      </c>
      <c r="P20" s="27">
        <f>P8+P12+P14+P16</f>
        <v>0</v>
      </c>
      <c r="Q20" s="27">
        <f>Q8+Q12+Q14+Q16</f>
        <v>0</v>
      </c>
      <c r="R20" s="27">
        <f>R8+R12+R14+R16</f>
        <v>0</v>
      </c>
      <c r="S20" s="27">
        <f>S8+S12+S14+S16</f>
        <v>0</v>
      </c>
      <c r="T20" s="27">
        <f>T8+T12+T14+T16</f>
        <v>0</v>
      </c>
      <c r="U20" s="27">
        <f>U8+U12+U14+U16</f>
        <v>0</v>
      </c>
      <c r="V20" s="27">
        <f>V8+V12+V14+V16</f>
        <v>0</v>
      </c>
      <c r="W20" s="27">
        <f>W8+W12+W14+W16</f>
        <v>0</v>
      </c>
      <c r="X20" s="27">
        <f>X8+X12+X14+X16</f>
        <v>0</v>
      </c>
      <c r="Y20" s="27">
        <f>Y8+Y12+Y14+Y16</f>
        <v>0</v>
      </c>
      <c r="Z20" s="27">
        <f>Z8+Z12+Z14+Z16</f>
        <v>0</v>
      </c>
      <c r="AA20" s="27">
        <f>AA8+AA12+AA14+AA16</f>
        <v>0</v>
      </c>
      <c r="AB20" s="27">
        <f>AB8+AB12+AB14+AB16</f>
        <v>0</v>
      </c>
      <c r="AC20" s="27">
        <f>AC8+AC12+AC14+AC16</f>
        <v>0</v>
      </c>
      <c r="AD20" s="27">
        <f>AD8+AD12+AD14+AD16</f>
        <v>0</v>
      </c>
      <c r="AE20" s="27">
        <f>AE8+AE12+AE14+AE16</f>
        <v>0</v>
      </c>
      <c r="AF20" s="27">
        <f>AF8+AF12+AF14+AF16</f>
        <v>0</v>
      </c>
      <c r="AG20" s="27">
        <f>AG8+AG12+AG14+AG16</f>
        <v>0</v>
      </c>
      <c r="AH20" s="27">
        <f>AH8+AH12+AH14+AH16</f>
        <v>0</v>
      </c>
      <c r="AI20" s="27">
        <f>AI8+AI12+AI14+AI16</f>
        <v>0</v>
      </c>
      <c r="AJ20" s="27">
        <f>AJ8+AJ12+AJ14+AJ16</f>
        <v>0</v>
      </c>
      <c r="AK20" s="27">
        <f>AK8+AK12+AK14+AK16</f>
        <v>0</v>
      </c>
      <c r="AL20" s="27">
        <f>AL8+AL12+AL14+AL16</f>
        <v>0</v>
      </c>
      <c r="AN20" s="27">
        <f>E20</f>
        <v>0</v>
      </c>
      <c r="AO20" s="27">
        <f>H20</f>
        <v>0</v>
      </c>
      <c r="AP20" s="27">
        <f>K20</f>
        <v>0</v>
      </c>
      <c r="AQ20" s="27">
        <f>N20</f>
        <v>0</v>
      </c>
      <c r="AR20" s="27">
        <f>Q20</f>
        <v>0</v>
      </c>
      <c r="AS20" s="27">
        <f>T20</f>
        <v>0</v>
      </c>
      <c r="AT20" s="27">
        <f>W20</f>
        <v>0</v>
      </c>
      <c r="AU20" s="27">
        <f>Z20</f>
        <v>0</v>
      </c>
      <c r="AV20" s="27">
        <f>AC20</f>
        <v>0</v>
      </c>
      <c r="AW20" s="27">
        <f>AF20</f>
        <v>0</v>
      </c>
      <c r="AX20" s="27">
        <f>AI20</f>
        <v>0</v>
      </c>
      <c r="AY20" s="27">
        <f>AL20</f>
        <v>0</v>
      </c>
      <c r="BA20" s="27">
        <f>N20</f>
        <v>0</v>
      </c>
      <c r="BB20" s="27">
        <f>Z20</f>
        <v>0</v>
      </c>
      <c r="BC20" s="27">
        <f>AL20</f>
        <v>0</v>
      </c>
    </row>
    <row r="21" spans="1:55">
      <c r="A21" s="28" t="s">
        <v>186</v>
      </c>
      <c r="B21" s="16" t="s">
        <v>187</v>
      </c>
      <c r="C21" s="29">
        <f>C9</f>
        <v>0</v>
      </c>
      <c r="D21" s="29">
        <f>D9</f>
        <v>0</v>
      </c>
      <c r="E21" s="29">
        <f>E9</f>
        <v>0</v>
      </c>
      <c r="F21" s="29">
        <f>F9</f>
        <v>0</v>
      </c>
      <c r="G21" s="29">
        <f>G9</f>
        <v>0</v>
      </c>
      <c r="H21" s="29">
        <f>H9</f>
        <v>0</v>
      </c>
      <c r="I21" s="29">
        <f>I9</f>
        <v>0</v>
      </c>
      <c r="J21" s="29">
        <f>J9</f>
        <v>0</v>
      </c>
      <c r="K21" s="29">
        <f>K9</f>
        <v>0</v>
      </c>
      <c r="L21" s="29">
        <f>L9</f>
        <v>0</v>
      </c>
      <c r="M21" s="29">
        <f>M9</f>
        <v>0</v>
      </c>
      <c r="N21" s="29">
        <f>N9</f>
        <v>0</v>
      </c>
      <c r="O21" s="29">
        <f>O9</f>
        <v>0</v>
      </c>
      <c r="P21" s="29">
        <f>P9</f>
        <v>0</v>
      </c>
      <c r="Q21" s="29">
        <f>Q9</f>
        <v>0</v>
      </c>
      <c r="R21" s="29">
        <f>R9</f>
        <v>0</v>
      </c>
      <c r="S21" s="29">
        <f>S9</f>
        <v>0</v>
      </c>
      <c r="T21" s="29">
        <f>T9</f>
        <v>0</v>
      </c>
      <c r="U21" s="29">
        <f>U9</f>
        <v>0</v>
      </c>
      <c r="V21" s="29">
        <f>V9</f>
        <v>0</v>
      </c>
      <c r="W21" s="29">
        <f>W9</f>
        <v>0</v>
      </c>
      <c r="X21" s="29">
        <f>X9</f>
        <v>0</v>
      </c>
      <c r="Y21" s="29">
        <f>Y9</f>
        <v>0</v>
      </c>
      <c r="Z21" s="29">
        <f>Z9</f>
        <v>0</v>
      </c>
      <c r="AA21" s="29">
        <f>AA9</f>
        <v>0</v>
      </c>
      <c r="AB21" s="29">
        <f>AB9</f>
        <v>0</v>
      </c>
      <c r="AC21" s="29">
        <f>AC9</f>
        <v>0</v>
      </c>
      <c r="AD21" s="29">
        <f>AD9</f>
        <v>0</v>
      </c>
      <c r="AE21" s="29">
        <f>AE9</f>
        <v>0</v>
      </c>
      <c r="AF21" s="29">
        <f>AF9</f>
        <v>0</v>
      </c>
      <c r="AG21" s="29">
        <f>AG9</f>
        <v>0</v>
      </c>
      <c r="AH21" s="29">
        <f>AH9</f>
        <v>0</v>
      </c>
      <c r="AI21" s="29">
        <f>AI9</f>
        <v>0</v>
      </c>
      <c r="AJ21" s="29">
        <f>AJ9</f>
        <v>0</v>
      </c>
      <c r="AK21" s="29">
        <f>AK9</f>
        <v>0</v>
      </c>
      <c r="AL21" s="29">
        <f>AL9</f>
        <v>0</v>
      </c>
      <c r="AN21" s="29">
        <f>SUM(C21:E21)</f>
        <v>0</v>
      </c>
      <c r="AO21" s="29">
        <f>SUM(F21:H21)</f>
        <v>0</v>
      </c>
      <c r="AP21" s="29">
        <f>SUM(I21:K21)</f>
        <v>0</v>
      </c>
      <c r="AQ21" s="29">
        <f>SUM(L21:N21)</f>
        <v>0</v>
      </c>
      <c r="AR21" s="29">
        <f>SUM(O21:Q21)</f>
        <v>0</v>
      </c>
      <c r="AS21" s="29">
        <f>SUM(R21:T21)</f>
        <v>0</v>
      </c>
      <c r="AT21" s="29">
        <f>SUM(U21:W21)</f>
        <v>0</v>
      </c>
      <c r="AU21" s="29">
        <f>SUM(X21:Z21)</f>
        <v>0</v>
      </c>
      <c r="AV21" s="29">
        <f>SUM(AA21:AC21)</f>
        <v>0</v>
      </c>
      <c r="AW21" s="29">
        <f>SUM(AD21:AF21)</f>
        <v>0</v>
      </c>
      <c r="AX21" s="29">
        <f>SUM(AG21:AI21)</f>
        <v>0</v>
      </c>
      <c r="AY21" s="29">
        <f>SUM(AJ21:AL21)</f>
        <v>0</v>
      </c>
      <c r="BA21" s="29">
        <f>SUM(C21:N21)</f>
        <v>0</v>
      </c>
      <c r="BB21" s="29">
        <f>SUM(O21:Z21)</f>
        <v>0</v>
      </c>
      <c r="BC21" s="29">
        <f>SUM(AA21:AL21)</f>
        <v>0</v>
      </c>
    </row>
    <row r="22" spans="1:55">
      <c r="A22" s="28" t="s">
        <v>188</v>
      </c>
      <c r="B22" s="16" t="s">
        <v>189</v>
      </c>
      <c r="C22" s="29">
        <f>C13+C15+C17</f>
        <v>0</v>
      </c>
      <c r="D22" s="29">
        <f>D13+D15+D17</f>
        <v>0</v>
      </c>
      <c r="E22" s="29">
        <f>E13+E15+E17</f>
        <v>0</v>
      </c>
      <c r="F22" s="29">
        <f>F13+F15+F17</f>
        <v>0</v>
      </c>
      <c r="G22" s="29">
        <f>G13+G15+G17</f>
        <v>0</v>
      </c>
      <c r="H22" s="29">
        <f>H13+H15+H17</f>
        <v>0</v>
      </c>
      <c r="I22" s="29">
        <f>I13+I15+I17</f>
        <v>0</v>
      </c>
      <c r="J22" s="29">
        <f>J13+J15+J17</f>
        <v>0</v>
      </c>
      <c r="K22" s="29">
        <f>K13+K15+K17</f>
        <v>0</v>
      </c>
      <c r="L22" s="29">
        <f>L13+L15+L17</f>
        <v>0</v>
      </c>
      <c r="M22" s="29">
        <f>M13+M15+M17</f>
        <v>0</v>
      </c>
      <c r="N22" s="29">
        <f>N13+N15+N17</f>
        <v>0</v>
      </c>
      <c r="O22" s="29">
        <f>O13+O15+O17</f>
        <v>0</v>
      </c>
      <c r="P22" s="29">
        <f>P13+P15+P17</f>
        <v>0</v>
      </c>
      <c r="Q22" s="29">
        <f>Q13+Q15+Q17</f>
        <v>0</v>
      </c>
      <c r="R22" s="29">
        <f>R13+R15+R17</f>
        <v>0</v>
      </c>
      <c r="S22" s="29">
        <f>S13+S15+S17</f>
        <v>0</v>
      </c>
      <c r="T22" s="29">
        <f>T13+T15+T17</f>
        <v>0</v>
      </c>
      <c r="U22" s="29">
        <f>U13+U15+U17</f>
        <v>0</v>
      </c>
      <c r="V22" s="29">
        <f>V13+V15+V17</f>
        <v>0</v>
      </c>
      <c r="W22" s="29">
        <f>W13+W15+W17</f>
        <v>0</v>
      </c>
      <c r="X22" s="29">
        <f>X13+X15+X17</f>
        <v>0</v>
      </c>
      <c r="Y22" s="29">
        <f>Y13+Y15+Y17</f>
        <v>0</v>
      </c>
      <c r="Z22" s="29">
        <f>Z13+Z15+Z17</f>
        <v>0</v>
      </c>
      <c r="AA22" s="29">
        <f>AA13+AA15+AA17</f>
        <v>0</v>
      </c>
      <c r="AB22" s="29">
        <f>AB13+AB15+AB17</f>
        <v>0</v>
      </c>
      <c r="AC22" s="29">
        <f>AC13+AC15+AC17</f>
        <v>0</v>
      </c>
      <c r="AD22" s="29">
        <f>AD13+AD15+AD17</f>
        <v>0</v>
      </c>
      <c r="AE22" s="29">
        <f>AE13+AE15+AE17</f>
        <v>0</v>
      </c>
      <c r="AF22" s="29">
        <f>AF13+AF15+AF17</f>
        <v>0</v>
      </c>
      <c r="AG22" s="29">
        <f>AG13+AG15+AG17</f>
        <v>0</v>
      </c>
      <c r="AH22" s="29">
        <f>AH13+AH15+AH17</f>
        <v>0</v>
      </c>
      <c r="AI22" s="29">
        <f>AI13+AI15+AI17</f>
        <v>0</v>
      </c>
      <c r="AJ22" s="29">
        <f>AJ13+AJ15+AJ17</f>
        <v>0</v>
      </c>
      <c r="AK22" s="29">
        <f>AK13+AK15+AK17</f>
        <v>0</v>
      </c>
      <c r="AL22" s="29">
        <f>AL13+AL15+AL17</f>
        <v>0</v>
      </c>
      <c r="AN22" s="29">
        <f>SUM(C22:E22)</f>
        <v>0</v>
      </c>
      <c r="AO22" s="29">
        <f>SUM(F22:H22)</f>
        <v>0</v>
      </c>
      <c r="AP22" s="29">
        <f>SUM(I22:K22)</f>
        <v>0</v>
      </c>
      <c r="AQ22" s="29">
        <f>SUM(L22:N22)</f>
        <v>0</v>
      </c>
      <c r="AR22" s="29">
        <f>SUM(O22:Q22)</f>
        <v>0</v>
      </c>
      <c r="AS22" s="29">
        <f>SUM(R22:T22)</f>
        <v>0</v>
      </c>
      <c r="AT22" s="29">
        <f>SUM(U22:W22)</f>
        <v>0</v>
      </c>
      <c r="AU22" s="29">
        <f>SUM(X22:Z22)</f>
        <v>0</v>
      </c>
      <c r="AV22" s="29">
        <f>SUM(AA22:AC22)</f>
        <v>0</v>
      </c>
      <c r="AW22" s="29">
        <f>SUM(AD22:AF22)</f>
        <v>0</v>
      </c>
      <c r="AX22" s="29">
        <f>SUM(AG22:AI22)</f>
        <v>0</v>
      </c>
      <c r="AY22" s="29">
        <f>SUM(AJ22:AL22)</f>
        <v>0</v>
      </c>
      <c r="BA22" s="29">
        <f>SUM(C22:N22)</f>
        <v>0</v>
      </c>
      <c r="BB22" s="29">
        <f>SUM(O22:Z22)</f>
        <v>0</v>
      </c>
      <c r="BC22" s="29">
        <f>SUM(AA22:AL22)</f>
        <v>0</v>
      </c>
    </row>
    <row r="23" spans="1:55">
      <c r="A23" s="18" t="s">
        <v>190</v>
      </c>
      <c r="B23" s="16"/>
      <c r="C23" s="20">
        <f>C17</f>
        <v>0</v>
      </c>
      <c r="D23" s="20">
        <f>D17</f>
        <v>0</v>
      </c>
      <c r="E23" s="20">
        <f>E17</f>
        <v>0</v>
      </c>
      <c r="F23" s="20">
        <f>F17</f>
        <v>0</v>
      </c>
      <c r="G23" s="20">
        <f>G17</f>
        <v>0</v>
      </c>
      <c r="H23" s="20">
        <f>H17</f>
        <v>0</v>
      </c>
      <c r="I23" s="20">
        <f>I17</f>
        <v>0</v>
      </c>
      <c r="J23" s="20">
        <f>J17</f>
        <v>0</v>
      </c>
      <c r="K23" s="20">
        <f>K17</f>
        <v>0</v>
      </c>
      <c r="L23" s="20">
        <f>L17</f>
        <v>0</v>
      </c>
      <c r="M23" s="20">
        <f>M17</f>
        <v>0</v>
      </c>
      <c r="N23" s="20">
        <f>N17</f>
        <v>0</v>
      </c>
      <c r="O23" s="20">
        <f>O17</f>
        <v>0</v>
      </c>
      <c r="P23" s="20">
        <f>P17</f>
        <v>0</v>
      </c>
      <c r="Q23" s="20">
        <f>Q17</f>
        <v>0</v>
      </c>
      <c r="R23" s="20">
        <f>R17</f>
        <v>0</v>
      </c>
      <c r="S23" s="20">
        <f>S17</f>
        <v>0</v>
      </c>
      <c r="T23" s="20">
        <f>T17</f>
        <v>0</v>
      </c>
      <c r="U23" s="20">
        <f>U17</f>
        <v>0</v>
      </c>
      <c r="V23" s="20">
        <f>V17</f>
        <v>0</v>
      </c>
      <c r="W23" s="20">
        <f>W17</f>
        <v>0</v>
      </c>
      <c r="X23" s="20">
        <f>X17</f>
        <v>0</v>
      </c>
      <c r="Y23" s="20">
        <f>Y17</f>
        <v>0</v>
      </c>
      <c r="Z23" s="20">
        <f>Z17</f>
        <v>0</v>
      </c>
      <c r="AA23" s="20">
        <f>AA17</f>
        <v>0</v>
      </c>
      <c r="AB23" s="20">
        <f>AB17</f>
        <v>0</v>
      </c>
      <c r="AC23" s="20">
        <f>AC17</f>
        <v>0</v>
      </c>
      <c r="AD23" s="20">
        <f>AD17</f>
        <v>0</v>
      </c>
      <c r="AE23" s="20">
        <f>AE17</f>
        <v>0</v>
      </c>
      <c r="AF23" s="20">
        <f>AF17</f>
        <v>0</v>
      </c>
      <c r="AG23" s="20">
        <f>AG17</f>
        <v>0</v>
      </c>
      <c r="AH23" s="20">
        <f>AH17</f>
        <v>0</v>
      </c>
      <c r="AI23" s="20">
        <f>AI17</f>
        <v>0</v>
      </c>
      <c r="AJ23" s="20">
        <f>AJ17</f>
        <v>0</v>
      </c>
      <c r="AK23" s="20">
        <f>AK17</f>
        <v>0</v>
      </c>
      <c r="AL23" s="20">
        <f>AL17</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18" t="s">
        <v>191</v>
      </c>
      <c r="B24" s="16"/>
      <c r="C24" s="20">
        <f>C13</f>
        <v>0</v>
      </c>
      <c r="D24" s="20">
        <f>D13</f>
        <v>0</v>
      </c>
      <c r="E24" s="20">
        <f>E13</f>
        <v>0</v>
      </c>
      <c r="F24" s="20">
        <f>F13</f>
        <v>0</v>
      </c>
      <c r="G24" s="20">
        <f>G13</f>
        <v>0</v>
      </c>
      <c r="H24" s="20">
        <f>H13</f>
        <v>0</v>
      </c>
      <c r="I24" s="20">
        <f>I13</f>
        <v>0</v>
      </c>
      <c r="J24" s="20">
        <f>J13</f>
        <v>0</v>
      </c>
      <c r="K24" s="20">
        <f>K13</f>
        <v>0</v>
      </c>
      <c r="L24" s="20">
        <f>L13</f>
        <v>0</v>
      </c>
      <c r="M24" s="20">
        <f>M13</f>
        <v>0</v>
      </c>
      <c r="N24" s="20">
        <f>N13</f>
        <v>0</v>
      </c>
      <c r="O24" s="20">
        <f>O13</f>
        <v>0</v>
      </c>
      <c r="P24" s="20">
        <f>P13</f>
        <v>0</v>
      </c>
      <c r="Q24" s="20">
        <f>Q13</f>
        <v>0</v>
      </c>
      <c r="R24" s="20">
        <f>R13</f>
        <v>0</v>
      </c>
      <c r="S24" s="20">
        <f>S13</f>
        <v>0</v>
      </c>
      <c r="T24" s="20">
        <f>T13</f>
        <v>0</v>
      </c>
      <c r="U24" s="20">
        <f>U13</f>
        <v>0</v>
      </c>
      <c r="V24" s="20">
        <f>V13</f>
        <v>0</v>
      </c>
      <c r="W24" s="20">
        <f>W13</f>
        <v>0</v>
      </c>
      <c r="X24" s="20">
        <f>X13</f>
        <v>0</v>
      </c>
      <c r="Y24" s="20">
        <f>Y13</f>
        <v>0</v>
      </c>
      <c r="Z24" s="20">
        <f>Z13</f>
        <v>0</v>
      </c>
      <c r="AA24" s="20">
        <f>AA13</f>
        <v>0</v>
      </c>
      <c r="AB24" s="20">
        <f>AB13</f>
        <v>0</v>
      </c>
      <c r="AC24" s="20">
        <f>AC13</f>
        <v>0</v>
      </c>
      <c r="AD24" s="20">
        <f>AD13</f>
        <v>0</v>
      </c>
      <c r="AE24" s="20">
        <f>AE13</f>
        <v>0</v>
      </c>
      <c r="AF24" s="20">
        <f>AF13</f>
        <v>0</v>
      </c>
      <c r="AG24" s="20">
        <f>AG13</f>
        <v>0</v>
      </c>
      <c r="AH24" s="20">
        <f>AH13</f>
        <v>0</v>
      </c>
      <c r="AI24" s="20">
        <f>AI13</f>
        <v>0</v>
      </c>
      <c r="AJ24" s="20">
        <f>AJ13</f>
        <v>0</v>
      </c>
      <c r="AK24" s="20">
        <f>AK13</f>
        <v>0</v>
      </c>
      <c r="AL24" s="20">
        <f>AL13</f>
        <v>0</v>
      </c>
      <c r="AN24" s="20">
        <f>SUM(C24:E24)</f>
        <v>0</v>
      </c>
      <c r="AO24" s="20">
        <f>SUM(F24:H24)</f>
        <v>0</v>
      </c>
      <c r="AP24" s="20">
        <f>SUM(I24:K24)</f>
        <v>0</v>
      </c>
      <c r="AQ24" s="20">
        <f>SUM(L24:N24)</f>
        <v>0</v>
      </c>
      <c r="AR24" s="20">
        <f>SUM(O24:Q24)</f>
        <v>0</v>
      </c>
      <c r="AS24" s="20">
        <f>SUM(R24:T24)</f>
        <v>0</v>
      </c>
      <c r="AT24" s="20">
        <f>SUM(U24:W24)</f>
        <v>0</v>
      </c>
      <c r="AU24" s="20">
        <f>SUM(X24:Z24)</f>
        <v>0</v>
      </c>
      <c r="AV24" s="20">
        <f>SUM(AA24:AC24)</f>
        <v>0</v>
      </c>
      <c r="AW24" s="20">
        <f>SUM(AD24:AF24)</f>
        <v>0</v>
      </c>
      <c r="AX24" s="20">
        <f>SUM(AG24:AI24)</f>
        <v>0</v>
      </c>
      <c r="AY24" s="20">
        <f>SUM(AJ24:AL24)</f>
        <v>0</v>
      </c>
      <c r="BA24" s="20">
        <f>SUM(C24:N24)</f>
        <v>0</v>
      </c>
      <c r="BB24" s="20">
        <f>SUM(O24:Z24)</f>
        <v>0</v>
      </c>
      <c r="BC24" s="20">
        <f>SUM(AA24:AL24)</f>
        <v>0</v>
      </c>
    </row>
    <row r="25" spans="1:55">
      <c r="A25" s="18" t="s">
        <v>192</v>
      </c>
      <c r="B25" s="16"/>
      <c r="C25" s="20">
        <f>C15</f>
        <v>0</v>
      </c>
      <c r="D25" s="20">
        <f>D15</f>
        <v>0</v>
      </c>
      <c r="E25" s="20">
        <f>E15</f>
        <v>0</v>
      </c>
      <c r="F25" s="20">
        <f>F15</f>
        <v>0</v>
      </c>
      <c r="G25" s="20">
        <f>G15</f>
        <v>0</v>
      </c>
      <c r="H25" s="20">
        <f>H15</f>
        <v>0</v>
      </c>
      <c r="I25" s="20">
        <f>I15</f>
        <v>0</v>
      </c>
      <c r="J25" s="20">
        <f>J15</f>
        <v>0</v>
      </c>
      <c r="K25" s="20">
        <f>K15</f>
        <v>0</v>
      </c>
      <c r="L25" s="20">
        <f>L15</f>
        <v>0</v>
      </c>
      <c r="M25" s="20">
        <f>M15</f>
        <v>0</v>
      </c>
      <c r="N25" s="20">
        <f>N15</f>
        <v>0</v>
      </c>
      <c r="O25" s="20">
        <f>O15</f>
        <v>0</v>
      </c>
      <c r="P25" s="20">
        <f>P15</f>
        <v>0</v>
      </c>
      <c r="Q25" s="20">
        <f>Q15</f>
        <v>0</v>
      </c>
      <c r="R25" s="20">
        <f>R15</f>
        <v>0</v>
      </c>
      <c r="S25" s="20">
        <f>S15</f>
        <v>0</v>
      </c>
      <c r="T25" s="20">
        <f>T15</f>
        <v>0</v>
      </c>
      <c r="U25" s="20">
        <f>U15</f>
        <v>0</v>
      </c>
      <c r="V25" s="20">
        <f>V15</f>
        <v>0</v>
      </c>
      <c r="W25" s="20">
        <f>W15</f>
        <v>0</v>
      </c>
      <c r="X25" s="20">
        <f>X15</f>
        <v>0</v>
      </c>
      <c r="Y25" s="20">
        <f>Y15</f>
        <v>0</v>
      </c>
      <c r="Z25" s="20">
        <f>Z15</f>
        <v>0</v>
      </c>
      <c r="AA25" s="20">
        <f>AA15</f>
        <v>0</v>
      </c>
      <c r="AB25" s="20">
        <f>AB15</f>
        <v>0</v>
      </c>
      <c r="AC25" s="20">
        <f>AC15</f>
        <v>0</v>
      </c>
      <c r="AD25" s="20">
        <f>AD15</f>
        <v>0</v>
      </c>
      <c r="AE25" s="20">
        <f>AE15</f>
        <v>0</v>
      </c>
      <c r="AF25" s="20">
        <f>AF15</f>
        <v>0</v>
      </c>
      <c r="AG25" s="20">
        <f>AG15</f>
        <v>0</v>
      </c>
      <c r="AH25" s="20">
        <f>AH15</f>
        <v>0</v>
      </c>
      <c r="AI25" s="20">
        <f>AI15</f>
        <v>0</v>
      </c>
      <c r="AJ25" s="20">
        <f>AJ15</f>
        <v>0</v>
      </c>
      <c r="AK25" s="20">
        <f>AK15</f>
        <v>0</v>
      </c>
      <c r="AL25" s="20">
        <f>AL15</f>
        <v>0</v>
      </c>
      <c r="AN25" s="20">
        <f>SUM(C25:E25)</f>
        <v>0</v>
      </c>
      <c r="AO25" s="20">
        <f>SUM(F25:H25)</f>
        <v>0</v>
      </c>
      <c r="AP25" s="20">
        <f>SUM(I25:K25)</f>
        <v>0</v>
      </c>
      <c r="AQ25" s="20">
        <f>SUM(L25:N25)</f>
        <v>0</v>
      </c>
      <c r="AR25" s="20">
        <f>SUM(O25:Q25)</f>
        <v>0</v>
      </c>
      <c r="AS25" s="20">
        <f>SUM(R25:T25)</f>
        <v>0</v>
      </c>
      <c r="AT25" s="20">
        <f>SUM(U25:W25)</f>
        <v>0</v>
      </c>
      <c r="AU25" s="20">
        <f>SUM(X25:Z25)</f>
        <v>0</v>
      </c>
      <c r="AV25" s="20">
        <f>SUM(AA25:AC25)</f>
        <v>0</v>
      </c>
      <c r="AW25" s="20">
        <f>SUM(AD25:AF25)</f>
        <v>0</v>
      </c>
      <c r="AX25" s="20">
        <f>SUM(AG25:AI25)</f>
        <v>0</v>
      </c>
      <c r="AY25" s="20">
        <f>SUM(AJ25:AL25)</f>
        <v>0</v>
      </c>
      <c r="BA25" s="20">
        <f>SUM(C25:N25)</f>
        <v>0</v>
      </c>
      <c r="BB25" s="20">
        <f>SUM(O25:Z25)</f>
        <v>0</v>
      </c>
      <c r="BC25" s="20">
        <f>SUM(AA25:AL25)</f>
        <v>0</v>
      </c>
    </row>
  </sheetData>
  <mergeCells count="8">
    <mergeCell ref="A1:BC1"/>
    <mergeCell ref="A2:BC2"/>
    <mergeCell ref="C5:AL5"/>
    <mergeCell ref="AN5:AY5"/>
    <mergeCell ref="BA5:BC5"/>
    <mergeCell ref="A7:BC7"/>
    <mergeCell ref="A11:BC11"/>
    <mergeCell ref="A19:BC19"/>
  </mergeCells>
  <pageMargins left="0.7" right="0.7" top="0.75" bottom="0.75" header="0.3" footer="0.3"/>
  <pageSetup paperSize="9" scale="55" orientation="landscape"/>
</worksheet>
</file>

<file path=xl/worksheets/sheet4.xml><?xml version="1.0" encoding="utf-8"?>
<worksheet xmlns="http://schemas.openxmlformats.org/spreadsheetml/2006/main" xmlns:r="http://schemas.openxmlformats.org/officeDocument/2006/relationships">
  <dimension ref="A1:BC4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193</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194</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195</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196</v>
      </c>
      <c r="B8" s="16" t="s">
        <v>197</v>
      </c>
      <c r="C8" s="27">
        <f>'Assumptions'!$F$16</f>
        <v>0</v>
      </c>
      <c r="D8" s="27">
        <f>C8*(1+'Assumptions'!$F$17)</f>
        <v>0</v>
      </c>
      <c r="E8" s="27">
        <f>D8*(1+'Assumptions'!$F$17)</f>
        <v>0</v>
      </c>
      <c r="F8" s="27">
        <f>E8*(1+'Assumptions'!$F$17)</f>
        <v>0</v>
      </c>
      <c r="G8" s="27">
        <f>F8*(1+'Assumptions'!$F$17)</f>
        <v>0</v>
      </c>
      <c r="H8" s="27">
        <f>G8*(1+'Assumptions'!$F$17)</f>
        <v>0</v>
      </c>
      <c r="I8" s="27">
        <f>H8*(1+'Assumptions'!$F$17)</f>
        <v>0</v>
      </c>
      <c r="J8" s="27">
        <f>I8*(1+'Assumptions'!$F$17)</f>
        <v>0</v>
      </c>
      <c r="K8" s="27">
        <f>J8*(1+'Assumptions'!$F$17)</f>
        <v>0</v>
      </c>
      <c r="L8" s="27">
        <f>K8*(1+'Assumptions'!$F$17)</f>
        <v>0</v>
      </c>
      <c r="M8" s="27">
        <f>L8*(1+'Assumptions'!$F$17)</f>
        <v>0</v>
      </c>
      <c r="N8" s="27">
        <f>M8*(1+'Assumptions'!$F$17)</f>
        <v>0</v>
      </c>
      <c r="O8" s="27">
        <f>N8*(1+'Assumptions'!$F$17)</f>
        <v>0</v>
      </c>
      <c r="P8" s="27">
        <f>O8*(1+'Assumptions'!$F$17)</f>
        <v>0</v>
      </c>
      <c r="Q8" s="27">
        <f>P8*(1+'Assumptions'!$F$17)</f>
        <v>0</v>
      </c>
      <c r="R8" s="27">
        <f>Q8*(1+'Assumptions'!$F$17)</f>
        <v>0</v>
      </c>
      <c r="S8" s="27">
        <f>R8*(1+'Assumptions'!$F$17)</f>
        <v>0</v>
      </c>
      <c r="T8" s="27">
        <f>S8*(1+'Assumptions'!$F$17)</f>
        <v>0</v>
      </c>
      <c r="U8" s="27">
        <f>T8*(1+'Assumptions'!$F$17)</f>
        <v>0</v>
      </c>
      <c r="V8" s="27">
        <f>U8*(1+'Assumptions'!$F$17)</f>
        <v>0</v>
      </c>
      <c r="W8" s="27">
        <f>V8*(1+'Assumptions'!$F$17)</f>
        <v>0</v>
      </c>
      <c r="X8" s="27">
        <f>W8*(1+'Assumptions'!$F$17)</f>
        <v>0</v>
      </c>
      <c r="Y8" s="27">
        <f>X8*(1+'Assumptions'!$F$17)</f>
        <v>0</v>
      </c>
      <c r="Z8" s="27">
        <f>Y8*(1+'Assumptions'!$F$17)</f>
        <v>0</v>
      </c>
      <c r="AA8" s="27">
        <f>Z8*(1+'Assumptions'!$F$17)</f>
        <v>0</v>
      </c>
      <c r="AB8" s="27">
        <f>AA8*(1+'Assumptions'!$F$17)</f>
        <v>0</v>
      </c>
      <c r="AC8" s="27">
        <f>AB8*(1+'Assumptions'!$F$17)</f>
        <v>0</v>
      </c>
      <c r="AD8" s="27">
        <f>AC8*(1+'Assumptions'!$F$17)</f>
        <v>0</v>
      </c>
      <c r="AE8" s="27">
        <f>AD8*(1+'Assumptions'!$F$17)</f>
        <v>0</v>
      </c>
      <c r="AF8" s="27">
        <f>AE8*(1+'Assumptions'!$F$17)</f>
        <v>0</v>
      </c>
      <c r="AG8" s="27">
        <f>AF8*(1+'Assumptions'!$F$17)</f>
        <v>0</v>
      </c>
      <c r="AH8" s="27">
        <f>AG8*(1+'Assumptions'!$F$17)</f>
        <v>0</v>
      </c>
      <c r="AI8" s="27">
        <f>AH8*(1+'Assumptions'!$F$17)</f>
        <v>0</v>
      </c>
      <c r="AJ8" s="27">
        <f>AI8*(1+'Assumptions'!$F$17)</f>
        <v>0</v>
      </c>
      <c r="AK8" s="27">
        <f>AJ8*(1+'Assumptions'!$F$17)</f>
        <v>0</v>
      </c>
      <c r="AL8" s="27">
        <f>AK8*(1+'Assumptions'!$F$17)</f>
        <v>0</v>
      </c>
      <c r="AN8" s="27">
        <f>SUM(C8:E8)</f>
        <v>0</v>
      </c>
      <c r="AO8" s="27">
        <f>SUM(F8:H8)</f>
        <v>0</v>
      </c>
      <c r="AP8" s="27">
        <f>SUM(I8:K8)</f>
        <v>0</v>
      </c>
      <c r="AQ8" s="27">
        <f>SUM(L8:N8)</f>
        <v>0</v>
      </c>
      <c r="AR8" s="27">
        <f>SUM(O8:Q8)</f>
        <v>0</v>
      </c>
      <c r="AS8" s="27">
        <f>SUM(R8:T8)</f>
        <v>0</v>
      </c>
      <c r="AT8" s="27">
        <f>SUM(U8:W8)</f>
        <v>0</v>
      </c>
      <c r="AU8" s="27">
        <f>SUM(X8:Z8)</f>
        <v>0</v>
      </c>
      <c r="AV8" s="27">
        <f>SUM(AA8:AC8)</f>
        <v>0</v>
      </c>
      <c r="AW8" s="27">
        <f>SUM(AD8:AF8)</f>
        <v>0</v>
      </c>
      <c r="AX8" s="27">
        <f>SUM(AG8:AI8)</f>
        <v>0</v>
      </c>
      <c r="AY8" s="27">
        <f>SUM(AJ8:AL8)</f>
        <v>0</v>
      </c>
      <c r="BA8" s="27">
        <f>SUM(C8:N8)</f>
        <v>0</v>
      </c>
      <c r="BB8" s="27">
        <f>SUM(O8:Z8)</f>
        <v>0</v>
      </c>
      <c r="BC8" s="27">
        <f>SUM(AA8:AL8)</f>
        <v>0</v>
      </c>
    </row>
    <row r="9" spans="1:55">
      <c r="A9" s="18" t="s">
        <v>198</v>
      </c>
      <c r="B9" s="16" t="s">
        <v>199</v>
      </c>
      <c r="C9" s="20">
        <f>C8*'Assumptions'!$F$18</f>
        <v>0</v>
      </c>
      <c r="D9" s="20">
        <f>D8*'Assumptions'!$F$18</f>
        <v>0</v>
      </c>
      <c r="E9" s="20">
        <f>E8*'Assumptions'!$F$18</f>
        <v>0</v>
      </c>
      <c r="F9" s="20">
        <f>F8*'Assumptions'!$F$18</f>
        <v>0</v>
      </c>
      <c r="G9" s="20">
        <f>G8*'Assumptions'!$F$18</f>
        <v>0</v>
      </c>
      <c r="H9" s="20">
        <f>H8*'Assumptions'!$F$18</f>
        <v>0</v>
      </c>
      <c r="I9" s="20">
        <f>I8*'Assumptions'!$F$18</f>
        <v>0</v>
      </c>
      <c r="J9" s="20">
        <f>J8*'Assumptions'!$F$18</f>
        <v>0</v>
      </c>
      <c r="K9" s="20">
        <f>K8*'Assumptions'!$F$18</f>
        <v>0</v>
      </c>
      <c r="L9" s="20">
        <f>L8*'Assumptions'!$F$18</f>
        <v>0</v>
      </c>
      <c r="M9" s="20">
        <f>M8*'Assumptions'!$F$18</f>
        <v>0</v>
      </c>
      <c r="N9" s="20">
        <f>N8*'Assumptions'!$F$18</f>
        <v>0</v>
      </c>
      <c r="O9" s="20">
        <f>O8*'Assumptions'!$F$18</f>
        <v>0</v>
      </c>
      <c r="P9" s="20">
        <f>P8*'Assumptions'!$F$18</f>
        <v>0</v>
      </c>
      <c r="Q9" s="20">
        <f>Q8*'Assumptions'!$F$18</f>
        <v>0</v>
      </c>
      <c r="R9" s="20">
        <f>R8*'Assumptions'!$F$18</f>
        <v>0</v>
      </c>
      <c r="S9" s="20">
        <f>S8*'Assumptions'!$F$18</f>
        <v>0</v>
      </c>
      <c r="T9" s="20">
        <f>T8*'Assumptions'!$F$18</f>
        <v>0</v>
      </c>
      <c r="U9" s="20">
        <f>U8*'Assumptions'!$F$18</f>
        <v>0</v>
      </c>
      <c r="V9" s="20">
        <f>V8*'Assumptions'!$F$18</f>
        <v>0</v>
      </c>
      <c r="W9" s="20">
        <f>W8*'Assumptions'!$F$18</f>
        <v>0</v>
      </c>
      <c r="X9" s="20">
        <f>X8*'Assumptions'!$F$18</f>
        <v>0</v>
      </c>
      <c r="Y9" s="20">
        <f>Y8*'Assumptions'!$F$18</f>
        <v>0</v>
      </c>
      <c r="Z9" s="20">
        <f>Z8*'Assumptions'!$F$18</f>
        <v>0</v>
      </c>
      <c r="AA9" s="20">
        <f>AA8*'Assumptions'!$F$18</f>
        <v>0</v>
      </c>
      <c r="AB9" s="20">
        <f>AB8*'Assumptions'!$F$18</f>
        <v>0</v>
      </c>
      <c r="AC9" s="20">
        <f>AC8*'Assumptions'!$F$18</f>
        <v>0</v>
      </c>
      <c r="AD9" s="20">
        <f>AD8*'Assumptions'!$F$18</f>
        <v>0</v>
      </c>
      <c r="AE9" s="20">
        <f>AE8*'Assumptions'!$F$18</f>
        <v>0</v>
      </c>
      <c r="AF9" s="20">
        <f>AF8*'Assumptions'!$F$18</f>
        <v>0</v>
      </c>
      <c r="AG9" s="20">
        <f>AG8*'Assumptions'!$F$18</f>
        <v>0</v>
      </c>
      <c r="AH9" s="20">
        <f>AH8*'Assumptions'!$F$18</f>
        <v>0</v>
      </c>
      <c r="AI9" s="20">
        <f>AI8*'Assumptions'!$F$18</f>
        <v>0</v>
      </c>
      <c r="AJ9" s="20">
        <f>AJ8*'Assumptions'!$F$18</f>
        <v>0</v>
      </c>
      <c r="AK9" s="20">
        <f>AK8*'Assumptions'!$F$18</f>
        <v>0</v>
      </c>
      <c r="AL9" s="20">
        <f>AL8*'Assumptions'!$F$18</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200</v>
      </c>
      <c r="B10" s="16" t="s">
        <v>197</v>
      </c>
      <c r="C10" s="27">
        <f>'Assumptions'!$F$19</f>
        <v>0</v>
      </c>
      <c r="D10" s="27">
        <f>C10*(1+'Assumptions'!$F$20)</f>
        <v>0</v>
      </c>
      <c r="E10" s="27">
        <f>D10*(1+'Assumptions'!$F$20)</f>
        <v>0</v>
      </c>
      <c r="F10" s="27">
        <f>E10*(1+'Assumptions'!$F$20)</f>
        <v>0</v>
      </c>
      <c r="G10" s="27">
        <f>F10*(1+'Assumptions'!$F$20)</f>
        <v>0</v>
      </c>
      <c r="H10" s="27">
        <f>G10*(1+'Assumptions'!$F$20)</f>
        <v>0</v>
      </c>
      <c r="I10" s="27">
        <f>H10*(1+'Assumptions'!$F$20)</f>
        <v>0</v>
      </c>
      <c r="J10" s="27">
        <f>I10*(1+'Assumptions'!$F$20)</f>
        <v>0</v>
      </c>
      <c r="K10" s="27">
        <f>J10*(1+'Assumptions'!$F$20)</f>
        <v>0</v>
      </c>
      <c r="L10" s="27">
        <f>K10*(1+'Assumptions'!$F$20)</f>
        <v>0</v>
      </c>
      <c r="M10" s="27">
        <f>L10*(1+'Assumptions'!$F$20)</f>
        <v>0</v>
      </c>
      <c r="N10" s="27">
        <f>M10*(1+'Assumptions'!$F$20)</f>
        <v>0</v>
      </c>
      <c r="O10" s="27">
        <f>N10*(1+'Assumptions'!$F$20)</f>
        <v>0</v>
      </c>
      <c r="P10" s="27">
        <f>O10*(1+'Assumptions'!$F$20)</f>
        <v>0</v>
      </c>
      <c r="Q10" s="27">
        <f>P10*(1+'Assumptions'!$F$20)</f>
        <v>0</v>
      </c>
      <c r="R10" s="27">
        <f>Q10*(1+'Assumptions'!$F$20)</f>
        <v>0</v>
      </c>
      <c r="S10" s="27">
        <f>R10*(1+'Assumptions'!$F$20)</f>
        <v>0</v>
      </c>
      <c r="T10" s="27">
        <f>S10*(1+'Assumptions'!$F$20)</f>
        <v>0</v>
      </c>
      <c r="U10" s="27">
        <f>T10*(1+'Assumptions'!$F$20)</f>
        <v>0</v>
      </c>
      <c r="V10" s="27">
        <f>U10*(1+'Assumptions'!$F$20)</f>
        <v>0</v>
      </c>
      <c r="W10" s="27">
        <f>V10*(1+'Assumptions'!$F$20)</f>
        <v>0</v>
      </c>
      <c r="X10" s="27">
        <f>W10*(1+'Assumptions'!$F$20)</f>
        <v>0</v>
      </c>
      <c r="Y10" s="27">
        <f>X10*(1+'Assumptions'!$F$20)</f>
        <v>0</v>
      </c>
      <c r="Z10" s="27">
        <f>Y10*(1+'Assumptions'!$F$20)</f>
        <v>0</v>
      </c>
      <c r="AA10" s="27">
        <f>Z10*(1+'Assumptions'!$F$20)</f>
        <v>0</v>
      </c>
      <c r="AB10" s="27">
        <f>AA10*(1+'Assumptions'!$F$20)</f>
        <v>0</v>
      </c>
      <c r="AC10" s="27">
        <f>AB10*(1+'Assumptions'!$F$20)</f>
        <v>0</v>
      </c>
      <c r="AD10" s="27">
        <f>AC10*(1+'Assumptions'!$F$20)</f>
        <v>0</v>
      </c>
      <c r="AE10" s="27">
        <f>AD10*(1+'Assumptions'!$F$20)</f>
        <v>0</v>
      </c>
      <c r="AF10" s="27">
        <f>AE10*(1+'Assumptions'!$F$20)</f>
        <v>0</v>
      </c>
      <c r="AG10" s="27">
        <f>AF10*(1+'Assumptions'!$F$20)</f>
        <v>0</v>
      </c>
      <c r="AH10" s="27">
        <f>AG10*(1+'Assumptions'!$F$20)</f>
        <v>0</v>
      </c>
      <c r="AI10" s="27">
        <f>AH10*(1+'Assumptions'!$F$20)</f>
        <v>0</v>
      </c>
      <c r="AJ10" s="27">
        <f>AI10*(1+'Assumptions'!$F$20)</f>
        <v>0</v>
      </c>
      <c r="AK10" s="27">
        <f>AJ10*(1+'Assumptions'!$F$20)</f>
        <v>0</v>
      </c>
      <c r="AL10" s="27">
        <f>AK10*(1+'Assumptions'!$F$20)</f>
        <v>0</v>
      </c>
      <c r="AN10" s="27">
        <f>SUM(C10:E10)</f>
        <v>0</v>
      </c>
      <c r="AO10" s="27">
        <f>SUM(F10:H10)</f>
        <v>0</v>
      </c>
      <c r="AP10" s="27">
        <f>SUM(I10:K10)</f>
        <v>0</v>
      </c>
      <c r="AQ10" s="27">
        <f>SUM(L10:N10)</f>
        <v>0</v>
      </c>
      <c r="AR10" s="27">
        <f>SUM(O10:Q10)</f>
        <v>0</v>
      </c>
      <c r="AS10" s="27">
        <f>SUM(R10:T10)</f>
        <v>0</v>
      </c>
      <c r="AT10" s="27">
        <f>SUM(U10:W10)</f>
        <v>0</v>
      </c>
      <c r="AU10" s="27">
        <f>SUM(X10:Z10)</f>
        <v>0</v>
      </c>
      <c r="AV10" s="27">
        <f>SUM(AA10:AC10)</f>
        <v>0</v>
      </c>
      <c r="AW10" s="27">
        <f>SUM(AD10:AF10)</f>
        <v>0</v>
      </c>
      <c r="AX10" s="27">
        <f>SUM(AG10:AI10)</f>
        <v>0</v>
      </c>
      <c r="AY10" s="27">
        <f>SUM(AJ10:AL10)</f>
        <v>0</v>
      </c>
      <c r="BA10" s="27">
        <f>SUM(C10:N10)</f>
        <v>0</v>
      </c>
      <c r="BB10" s="27">
        <f>SUM(O10:Z10)</f>
        <v>0</v>
      </c>
      <c r="BC10" s="27">
        <f>SUM(AA10:AL10)</f>
        <v>0</v>
      </c>
    </row>
    <row r="11" spans="1:55">
      <c r="A11" s="18" t="s">
        <v>201</v>
      </c>
      <c r="B11" s="16" t="s">
        <v>199</v>
      </c>
      <c r="C11" s="20">
        <f>C10*'Assumptions'!$F$21</f>
        <v>0</v>
      </c>
      <c r="D11" s="20">
        <f>D10*'Assumptions'!$F$21</f>
        <v>0</v>
      </c>
      <c r="E11" s="20">
        <f>E10*'Assumptions'!$F$21</f>
        <v>0</v>
      </c>
      <c r="F11" s="20">
        <f>F10*'Assumptions'!$F$21</f>
        <v>0</v>
      </c>
      <c r="G11" s="20">
        <f>G10*'Assumptions'!$F$21</f>
        <v>0</v>
      </c>
      <c r="H11" s="20">
        <f>H10*'Assumptions'!$F$21</f>
        <v>0</v>
      </c>
      <c r="I11" s="20">
        <f>I10*'Assumptions'!$F$21</f>
        <v>0</v>
      </c>
      <c r="J11" s="20">
        <f>J10*'Assumptions'!$F$21</f>
        <v>0</v>
      </c>
      <c r="K11" s="20">
        <f>K10*'Assumptions'!$F$21</f>
        <v>0</v>
      </c>
      <c r="L11" s="20">
        <f>L10*'Assumptions'!$F$21</f>
        <v>0</v>
      </c>
      <c r="M11" s="20">
        <f>M10*'Assumptions'!$F$21</f>
        <v>0</v>
      </c>
      <c r="N11" s="20">
        <f>N10*'Assumptions'!$F$21</f>
        <v>0</v>
      </c>
      <c r="O11" s="20">
        <f>O10*'Assumptions'!$F$21</f>
        <v>0</v>
      </c>
      <c r="P11" s="20">
        <f>P10*'Assumptions'!$F$21</f>
        <v>0</v>
      </c>
      <c r="Q11" s="20">
        <f>Q10*'Assumptions'!$F$21</f>
        <v>0</v>
      </c>
      <c r="R11" s="20">
        <f>R10*'Assumptions'!$F$21</f>
        <v>0</v>
      </c>
      <c r="S11" s="20">
        <f>S10*'Assumptions'!$F$21</f>
        <v>0</v>
      </c>
      <c r="T11" s="20">
        <f>T10*'Assumptions'!$F$21</f>
        <v>0</v>
      </c>
      <c r="U11" s="20">
        <f>U10*'Assumptions'!$F$21</f>
        <v>0</v>
      </c>
      <c r="V11" s="20">
        <f>V10*'Assumptions'!$F$21</f>
        <v>0</v>
      </c>
      <c r="W11" s="20">
        <f>W10*'Assumptions'!$F$21</f>
        <v>0</v>
      </c>
      <c r="X11" s="20">
        <f>X10*'Assumptions'!$F$21</f>
        <v>0</v>
      </c>
      <c r="Y11" s="20">
        <f>Y10*'Assumptions'!$F$21</f>
        <v>0</v>
      </c>
      <c r="Z11" s="20">
        <f>Z10*'Assumptions'!$F$21</f>
        <v>0</v>
      </c>
      <c r="AA11" s="20">
        <f>AA10*'Assumptions'!$F$21</f>
        <v>0</v>
      </c>
      <c r="AB11" s="20">
        <f>AB10*'Assumptions'!$F$21</f>
        <v>0</v>
      </c>
      <c r="AC11" s="20">
        <f>AC10*'Assumptions'!$F$21</f>
        <v>0</v>
      </c>
      <c r="AD11" s="20">
        <f>AD10*'Assumptions'!$F$21</f>
        <v>0</v>
      </c>
      <c r="AE11" s="20">
        <f>AE10*'Assumptions'!$F$21</f>
        <v>0</v>
      </c>
      <c r="AF11" s="20">
        <f>AF10*'Assumptions'!$F$21</f>
        <v>0</v>
      </c>
      <c r="AG11" s="20">
        <f>AG10*'Assumptions'!$F$21</f>
        <v>0</v>
      </c>
      <c r="AH11" s="20">
        <f>AH10*'Assumptions'!$F$21</f>
        <v>0</v>
      </c>
      <c r="AI11" s="20">
        <f>AI10*'Assumptions'!$F$21</f>
        <v>0</v>
      </c>
      <c r="AJ11" s="20">
        <f>AJ10*'Assumptions'!$F$21</f>
        <v>0</v>
      </c>
      <c r="AK11" s="20">
        <f>AK10*'Assumptions'!$F$21</f>
        <v>0</v>
      </c>
      <c r="AL11" s="20">
        <f>AL10*'Assumptions'!$F$21</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18" t="s">
        <v>202</v>
      </c>
      <c r="B12" s="16" t="s">
        <v>197</v>
      </c>
      <c r="C12" s="27">
        <f>'Assumptions'!$F$22</f>
        <v>0</v>
      </c>
      <c r="D12" s="27">
        <f>C12*(1+'Assumptions'!$F$23)</f>
        <v>0</v>
      </c>
      <c r="E12" s="27">
        <f>D12*(1+'Assumptions'!$F$23)</f>
        <v>0</v>
      </c>
      <c r="F12" s="27">
        <f>E12*(1+'Assumptions'!$F$23)</f>
        <v>0</v>
      </c>
      <c r="G12" s="27">
        <f>F12*(1+'Assumptions'!$F$23)</f>
        <v>0</v>
      </c>
      <c r="H12" s="27">
        <f>G12*(1+'Assumptions'!$F$23)</f>
        <v>0</v>
      </c>
      <c r="I12" s="27">
        <f>H12*(1+'Assumptions'!$F$23)</f>
        <v>0</v>
      </c>
      <c r="J12" s="27">
        <f>I12*(1+'Assumptions'!$F$23)</f>
        <v>0</v>
      </c>
      <c r="K12" s="27">
        <f>J12*(1+'Assumptions'!$F$23)</f>
        <v>0</v>
      </c>
      <c r="L12" s="27">
        <f>K12*(1+'Assumptions'!$F$23)</f>
        <v>0</v>
      </c>
      <c r="M12" s="27">
        <f>L12*(1+'Assumptions'!$F$23)</f>
        <v>0</v>
      </c>
      <c r="N12" s="27">
        <f>M12*(1+'Assumptions'!$F$23)</f>
        <v>0</v>
      </c>
      <c r="O12" s="27">
        <f>N12*(1+'Assumptions'!$F$23)</f>
        <v>0</v>
      </c>
      <c r="P12" s="27">
        <f>O12*(1+'Assumptions'!$F$23)</f>
        <v>0</v>
      </c>
      <c r="Q12" s="27">
        <f>P12*(1+'Assumptions'!$F$23)</f>
        <v>0</v>
      </c>
      <c r="R12" s="27">
        <f>Q12*(1+'Assumptions'!$F$23)</f>
        <v>0</v>
      </c>
      <c r="S12" s="27">
        <f>R12*(1+'Assumptions'!$F$23)</f>
        <v>0</v>
      </c>
      <c r="T12" s="27">
        <f>S12*(1+'Assumptions'!$F$23)</f>
        <v>0</v>
      </c>
      <c r="U12" s="27">
        <f>T12*(1+'Assumptions'!$F$23)</f>
        <v>0</v>
      </c>
      <c r="V12" s="27">
        <f>U12*(1+'Assumptions'!$F$23)</f>
        <v>0</v>
      </c>
      <c r="W12" s="27">
        <f>V12*(1+'Assumptions'!$F$23)</f>
        <v>0</v>
      </c>
      <c r="X12" s="27">
        <f>W12*(1+'Assumptions'!$F$23)</f>
        <v>0</v>
      </c>
      <c r="Y12" s="27">
        <f>X12*(1+'Assumptions'!$F$23)</f>
        <v>0</v>
      </c>
      <c r="Z12" s="27">
        <f>Y12*(1+'Assumptions'!$F$23)</f>
        <v>0</v>
      </c>
      <c r="AA12" s="27">
        <f>Z12*(1+'Assumptions'!$F$23)</f>
        <v>0</v>
      </c>
      <c r="AB12" s="27">
        <f>AA12*(1+'Assumptions'!$F$23)</f>
        <v>0</v>
      </c>
      <c r="AC12" s="27">
        <f>AB12*(1+'Assumptions'!$F$23)</f>
        <v>0</v>
      </c>
      <c r="AD12" s="27">
        <f>AC12*(1+'Assumptions'!$F$23)</f>
        <v>0</v>
      </c>
      <c r="AE12" s="27">
        <f>AD12*(1+'Assumptions'!$F$23)</f>
        <v>0</v>
      </c>
      <c r="AF12" s="27">
        <f>AE12*(1+'Assumptions'!$F$23)</f>
        <v>0</v>
      </c>
      <c r="AG12" s="27">
        <f>AF12*(1+'Assumptions'!$F$23)</f>
        <v>0</v>
      </c>
      <c r="AH12" s="27">
        <f>AG12*(1+'Assumptions'!$F$23)</f>
        <v>0</v>
      </c>
      <c r="AI12" s="27">
        <f>AH12*(1+'Assumptions'!$F$23)</f>
        <v>0</v>
      </c>
      <c r="AJ12" s="27">
        <f>AI12*(1+'Assumptions'!$F$23)</f>
        <v>0</v>
      </c>
      <c r="AK12" s="27">
        <f>AJ12*(1+'Assumptions'!$F$23)</f>
        <v>0</v>
      </c>
      <c r="AL12" s="27">
        <f>AK12*(1+'Assumptions'!$F$23)</f>
        <v>0</v>
      </c>
      <c r="AN12" s="27">
        <f>SUM(C12:E12)</f>
        <v>0</v>
      </c>
      <c r="AO12" s="27">
        <f>SUM(F12:H12)</f>
        <v>0</v>
      </c>
      <c r="AP12" s="27">
        <f>SUM(I12:K12)</f>
        <v>0</v>
      </c>
      <c r="AQ12" s="27">
        <f>SUM(L12:N12)</f>
        <v>0</v>
      </c>
      <c r="AR12" s="27">
        <f>SUM(O12:Q12)</f>
        <v>0</v>
      </c>
      <c r="AS12" s="27">
        <f>SUM(R12:T12)</f>
        <v>0</v>
      </c>
      <c r="AT12" s="27">
        <f>SUM(U12:W12)</f>
        <v>0</v>
      </c>
      <c r="AU12" s="27">
        <f>SUM(X12:Z12)</f>
        <v>0</v>
      </c>
      <c r="AV12" s="27">
        <f>SUM(AA12:AC12)</f>
        <v>0</v>
      </c>
      <c r="AW12" s="27">
        <f>SUM(AD12:AF12)</f>
        <v>0</v>
      </c>
      <c r="AX12" s="27">
        <f>SUM(AG12:AI12)</f>
        <v>0</v>
      </c>
      <c r="AY12" s="27">
        <f>SUM(AJ12:AL12)</f>
        <v>0</v>
      </c>
      <c r="BA12" s="27">
        <f>SUM(C12:N12)</f>
        <v>0</v>
      </c>
      <c r="BB12" s="27">
        <f>SUM(O12:Z12)</f>
        <v>0</v>
      </c>
      <c r="BC12" s="27">
        <f>SUM(AA12:AL12)</f>
        <v>0</v>
      </c>
    </row>
    <row r="13" spans="1:55">
      <c r="A13" s="18" t="s">
        <v>203</v>
      </c>
      <c r="B13" s="16" t="s">
        <v>199</v>
      </c>
      <c r="C13" s="20">
        <f>C12*'Assumptions'!$F$24</f>
        <v>0</v>
      </c>
      <c r="D13" s="20">
        <f>D12*'Assumptions'!$F$24</f>
        <v>0</v>
      </c>
      <c r="E13" s="20">
        <f>E12*'Assumptions'!$F$24</f>
        <v>0</v>
      </c>
      <c r="F13" s="20">
        <f>F12*'Assumptions'!$F$24</f>
        <v>0</v>
      </c>
      <c r="G13" s="20">
        <f>G12*'Assumptions'!$F$24</f>
        <v>0</v>
      </c>
      <c r="H13" s="20">
        <f>H12*'Assumptions'!$F$24</f>
        <v>0</v>
      </c>
      <c r="I13" s="20">
        <f>I12*'Assumptions'!$F$24</f>
        <v>0</v>
      </c>
      <c r="J13" s="20">
        <f>J12*'Assumptions'!$F$24</f>
        <v>0</v>
      </c>
      <c r="K13" s="20">
        <f>K12*'Assumptions'!$F$24</f>
        <v>0</v>
      </c>
      <c r="L13" s="20">
        <f>L12*'Assumptions'!$F$24</f>
        <v>0</v>
      </c>
      <c r="M13" s="20">
        <f>M12*'Assumptions'!$F$24</f>
        <v>0</v>
      </c>
      <c r="N13" s="20">
        <f>N12*'Assumptions'!$F$24</f>
        <v>0</v>
      </c>
      <c r="O13" s="20">
        <f>O12*'Assumptions'!$F$24</f>
        <v>0</v>
      </c>
      <c r="P13" s="20">
        <f>P12*'Assumptions'!$F$24</f>
        <v>0</v>
      </c>
      <c r="Q13" s="20">
        <f>Q12*'Assumptions'!$F$24</f>
        <v>0</v>
      </c>
      <c r="R13" s="20">
        <f>R12*'Assumptions'!$F$24</f>
        <v>0</v>
      </c>
      <c r="S13" s="20">
        <f>S12*'Assumptions'!$F$24</f>
        <v>0</v>
      </c>
      <c r="T13" s="20">
        <f>T12*'Assumptions'!$F$24</f>
        <v>0</v>
      </c>
      <c r="U13" s="20">
        <f>U12*'Assumptions'!$F$24</f>
        <v>0</v>
      </c>
      <c r="V13" s="20">
        <f>V12*'Assumptions'!$F$24</f>
        <v>0</v>
      </c>
      <c r="W13" s="20">
        <f>W12*'Assumptions'!$F$24</f>
        <v>0</v>
      </c>
      <c r="X13" s="20">
        <f>X12*'Assumptions'!$F$24</f>
        <v>0</v>
      </c>
      <c r="Y13" s="20">
        <f>Y12*'Assumptions'!$F$24</f>
        <v>0</v>
      </c>
      <c r="Z13" s="20">
        <f>Z12*'Assumptions'!$F$24</f>
        <v>0</v>
      </c>
      <c r="AA13" s="20">
        <f>AA12*'Assumptions'!$F$24</f>
        <v>0</v>
      </c>
      <c r="AB13" s="20">
        <f>AB12*'Assumptions'!$F$24</f>
        <v>0</v>
      </c>
      <c r="AC13" s="20">
        <f>AC12*'Assumptions'!$F$24</f>
        <v>0</v>
      </c>
      <c r="AD13" s="20">
        <f>AD12*'Assumptions'!$F$24</f>
        <v>0</v>
      </c>
      <c r="AE13" s="20">
        <f>AE12*'Assumptions'!$F$24</f>
        <v>0</v>
      </c>
      <c r="AF13" s="20">
        <f>AF12*'Assumptions'!$F$24</f>
        <v>0</v>
      </c>
      <c r="AG13" s="20">
        <f>AG12*'Assumptions'!$F$24</f>
        <v>0</v>
      </c>
      <c r="AH13" s="20">
        <f>AH12*'Assumptions'!$F$24</f>
        <v>0</v>
      </c>
      <c r="AI13" s="20">
        <f>AI12*'Assumptions'!$F$24</f>
        <v>0</v>
      </c>
      <c r="AJ13" s="20">
        <f>AJ12*'Assumptions'!$F$24</f>
        <v>0</v>
      </c>
      <c r="AK13" s="20">
        <f>AK12*'Assumptions'!$F$24</f>
        <v>0</v>
      </c>
      <c r="AL13" s="20">
        <f>AL12*'Assumptions'!$F$24</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28" t="s">
        <v>204</v>
      </c>
      <c r="B14" s="16" t="s">
        <v>205</v>
      </c>
      <c r="C14" s="27">
        <f>C8+C10+C12</f>
        <v>0</v>
      </c>
      <c r="D14" s="27">
        <f>D8+D10+D12</f>
        <v>0</v>
      </c>
      <c r="E14" s="27">
        <f>E8+E10+E12</f>
        <v>0</v>
      </c>
      <c r="F14" s="27">
        <f>F8+F10+F12</f>
        <v>0</v>
      </c>
      <c r="G14" s="27">
        <f>G8+G10+G12</f>
        <v>0</v>
      </c>
      <c r="H14" s="27">
        <f>H8+H10+H12</f>
        <v>0</v>
      </c>
      <c r="I14" s="27">
        <f>I8+I10+I12</f>
        <v>0</v>
      </c>
      <c r="J14" s="27">
        <f>J8+J10+J12</f>
        <v>0</v>
      </c>
      <c r="K14" s="27">
        <f>K8+K10+K12</f>
        <v>0</v>
      </c>
      <c r="L14" s="27">
        <f>L8+L10+L12</f>
        <v>0</v>
      </c>
      <c r="M14" s="27">
        <f>M8+M10+M12</f>
        <v>0</v>
      </c>
      <c r="N14" s="27">
        <f>N8+N10+N12</f>
        <v>0</v>
      </c>
      <c r="O14" s="27">
        <f>O8+O10+O12</f>
        <v>0</v>
      </c>
      <c r="P14" s="27">
        <f>P8+P10+P12</f>
        <v>0</v>
      </c>
      <c r="Q14" s="27">
        <f>Q8+Q10+Q12</f>
        <v>0</v>
      </c>
      <c r="R14" s="27">
        <f>R8+R10+R12</f>
        <v>0</v>
      </c>
      <c r="S14" s="27">
        <f>S8+S10+S12</f>
        <v>0</v>
      </c>
      <c r="T14" s="27">
        <f>T8+T10+T12</f>
        <v>0</v>
      </c>
      <c r="U14" s="27">
        <f>U8+U10+U12</f>
        <v>0</v>
      </c>
      <c r="V14" s="27">
        <f>V8+V10+V12</f>
        <v>0</v>
      </c>
      <c r="W14" s="27">
        <f>W8+W10+W12</f>
        <v>0</v>
      </c>
      <c r="X14" s="27">
        <f>X8+X10+X12</f>
        <v>0</v>
      </c>
      <c r="Y14" s="27">
        <f>Y8+Y10+Y12</f>
        <v>0</v>
      </c>
      <c r="Z14" s="27">
        <f>Z8+Z10+Z12</f>
        <v>0</v>
      </c>
      <c r="AA14" s="27">
        <f>AA8+AA10+AA12</f>
        <v>0</v>
      </c>
      <c r="AB14" s="27">
        <f>AB8+AB10+AB12</f>
        <v>0</v>
      </c>
      <c r="AC14" s="27">
        <f>AC8+AC10+AC12</f>
        <v>0</v>
      </c>
      <c r="AD14" s="27">
        <f>AD8+AD10+AD12</f>
        <v>0</v>
      </c>
      <c r="AE14" s="27">
        <f>AE8+AE10+AE12</f>
        <v>0</v>
      </c>
      <c r="AF14" s="27">
        <f>AF8+AF10+AF12</f>
        <v>0</v>
      </c>
      <c r="AG14" s="27">
        <f>AG8+AG10+AG12</f>
        <v>0</v>
      </c>
      <c r="AH14" s="27">
        <f>AH8+AH10+AH12</f>
        <v>0</v>
      </c>
      <c r="AI14" s="27">
        <f>AI8+AI10+AI12</f>
        <v>0</v>
      </c>
      <c r="AJ14" s="27">
        <f>AJ8+AJ10+AJ12</f>
        <v>0</v>
      </c>
      <c r="AK14" s="27">
        <f>AK8+AK10+AK12</f>
        <v>0</v>
      </c>
      <c r="AL14" s="27">
        <f>AL8+AL10+AL12</f>
        <v>0</v>
      </c>
      <c r="AN14" s="27">
        <f>SUM(C14:E14)</f>
        <v>0</v>
      </c>
      <c r="AO14" s="27">
        <f>SUM(F14:H14)</f>
        <v>0</v>
      </c>
      <c r="AP14" s="27">
        <f>SUM(I14:K14)</f>
        <v>0</v>
      </c>
      <c r="AQ14" s="27">
        <f>SUM(L14:N14)</f>
        <v>0</v>
      </c>
      <c r="AR14" s="27">
        <f>SUM(O14:Q14)</f>
        <v>0</v>
      </c>
      <c r="AS14" s="27">
        <f>SUM(R14:T14)</f>
        <v>0</v>
      </c>
      <c r="AT14" s="27">
        <f>SUM(U14:W14)</f>
        <v>0</v>
      </c>
      <c r="AU14" s="27">
        <f>SUM(X14:Z14)</f>
        <v>0</v>
      </c>
      <c r="AV14" s="27">
        <f>SUM(AA14:AC14)</f>
        <v>0</v>
      </c>
      <c r="AW14" s="27">
        <f>SUM(AD14:AF14)</f>
        <v>0</v>
      </c>
      <c r="AX14" s="27">
        <f>SUM(AG14:AI14)</f>
        <v>0</v>
      </c>
      <c r="AY14" s="27">
        <f>SUM(AJ14:AL14)</f>
        <v>0</v>
      </c>
      <c r="BA14" s="27">
        <f>SUM(C14:N14)</f>
        <v>0</v>
      </c>
      <c r="BB14" s="27">
        <f>SUM(O14:Z14)</f>
        <v>0</v>
      </c>
      <c r="BC14" s="27">
        <f>SUM(AA14:AL14)</f>
        <v>0</v>
      </c>
    </row>
    <row r="15" spans="1:55">
      <c r="A15" s="28" t="s">
        <v>206</v>
      </c>
      <c r="B15" s="16" t="s">
        <v>207</v>
      </c>
      <c r="C15" s="29">
        <f>C9+C11+C13</f>
        <v>0</v>
      </c>
      <c r="D15" s="29">
        <f>D9+D11+D13</f>
        <v>0</v>
      </c>
      <c r="E15" s="29">
        <f>E9+E11+E13</f>
        <v>0</v>
      </c>
      <c r="F15" s="29">
        <f>F9+F11+F13</f>
        <v>0</v>
      </c>
      <c r="G15" s="29">
        <f>G9+G11+G13</f>
        <v>0</v>
      </c>
      <c r="H15" s="29">
        <f>H9+H11+H13</f>
        <v>0</v>
      </c>
      <c r="I15" s="29">
        <f>I9+I11+I13</f>
        <v>0</v>
      </c>
      <c r="J15" s="29">
        <f>J9+J11+J13</f>
        <v>0</v>
      </c>
      <c r="K15" s="29">
        <f>K9+K11+K13</f>
        <v>0</v>
      </c>
      <c r="L15" s="29">
        <f>L9+L11+L13</f>
        <v>0</v>
      </c>
      <c r="M15" s="29">
        <f>M9+M11+M13</f>
        <v>0</v>
      </c>
      <c r="N15" s="29">
        <f>N9+N11+N13</f>
        <v>0</v>
      </c>
      <c r="O15" s="29">
        <f>O9+O11+O13</f>
        <v>0</v>
      </c>
      <c r="P15" s="29">
        <f>P9+P11+P13</f>
        <v>0</v>
      </c>
      <c r="Q15" s="29">
        <f>Q9+Q11+Q13</f>
        <v>0</v>
      </c>
      <c r="R15" s="29">
        <f>R9+R11+R13</f>
        <v>0</v>
      </c>
      <c r="S15" s="29">
        <f>S9+S11+S13</f>
        <v>0</v>
      </c>
      <c r="T15" s="29">
        <f>T9+T11+T13</f>
        <v>0</v>
      </c>
      <c r="U15" s="29">
        <f>U9+U11+U13</f>
        <v>0</v>
      </c>
      <c r="V15" s="29">
        <f>V9+V11+V13</f>
        <v>0</v>
      </c>
      <c r="W15" s="29">
        <f>W9+W11+W13</f>
        <v>0</v>
      </c>
      <c r="X15" s="29">
        <f>X9+X11+X13</f>
        <v>0</v>
      </c>
      <c r="Y15" s="29">
        <f>Y9+Y11+Y13</f>
        <v>0</v>
      </c>
      <c r="Z15" s="29">
        <f>Z9+Z11+Z13</f>
        <v>0</v>
      </c>
      <c r="AA15" s="29">
        <f>AA9+AA11+AA13</f>
        <v>0</v>
      </c>
      <c r="AB15" s="29">
        <f>AB9+AB11+AB13</f>
        <v>0</v>
      </c>
      <c r="AC15" s="29">
        <f>AC9+AC11+AC13</f>
        <v>0</v>
      </c>
      <c r="AD15" s="29">
        <f>AD9+AD11+AD13</f>
        <v>0</v>
      </c>
      <c r="AE15" s="29">
        <f>AE9+AE11+AE13</f>
        <v>0</v>
      </c>
      <c r="AF15" s="29">
        <f>AF9+AF11+AF13</f>
        <v>0</v>
      </c>
      <c r="AG15" s="29">
        <f>AG9+AG11+AG13</f>
        <v>0</v>
      </c>
      <c r="AH15" s="29">
        <f>AH9+AH11+AH13</f>
        <v>0</v>
      </c>
      <c r="AI15" s="29">
        <f>AI9+AI11+AI13</f>
        <v>0</v>
      </c>
      <c r="AJ15" s="29">
        <f>AJ9+AJ11+AJ13</f>
        <v>0</v>
      </c>
      <c r="AK15" s="29">
        <f>AK9+AK11+AK13</f>
        <v>0</v>
      </c>
      <c r="AL15" s="29">
        <f>AL9+AL11+AL13</f>
        <v>0</v>
      </c>
      <c r="AN15" s="29">
        <f>SUM(C15:E15)</f>
        <v>0</v>
      </c>
      <c r="AO15" s="29">
        <f>SUM(F15:H15)</f>
        <v>0</v>
      </c>
      <c r="AP15" s="29">
        <f>SUM(I15:K15)</f>
        <v>0</v>
      </c>
      <c r="AQ15" s="29">
        <f>SUM(L15:N15)</f>
        <v>0</v>
      </c>
      <c r="AR15" s="29">
        <f>SUM(O15:Q15)</f>
        <v>0</v>
      </c>
      <c r="AS15" s="29">
        <f>SUM(R15:T15)</f>
        <v>0</v>
      </c>
      <c r="AT15" s="29">
        <f>SUM(U15:W15)</f>
        <v>0</v>
      </c>
      <c r="AU15" s="29">
        <f>SUM(X15:Z15)</f>
        <v>0</v>
      </c>
      <c r="AV15" s="29">
        <f>SUM(AA15:AC15)</f>
        <v>0</v>
      </c>
      <c r="AW15" s="29">
        <f>SUM(AD15:AF15)</f>
        <v>0</v>
      </c>
      <c r="AX15" s="29">
        <f>SUM(AG15:AI15)</f>
        <v>0</v>
      </c>
      <c r="AY15" s="29">
        <f>SUM(AJ15:AL15)</f>
        <v>0</v>
      </c>
      <c r="BA15" s="29">
        <f>SUM(C15:N15)</f>
        <v>0</v>
      </c>
      <c r="BB15" s="29">
        <f>SUM(O15:Z15)</f>
        <v>0</v>
      </c>
      <c r="BC15" s="29">
        <f>SUM(AA15:AL15)</f>
        <v>0</v>
      </c>
    </row>
    <row r="16" spans="1:55" ht="5" customHeight="1"/>
    <row r="17" spans="1:55" ht="16" customHeight="1">
      <c r="A17" s="14" t="s">
        <v>208</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row>
    <row r="18" spans="1:55">
      <c r="A18" s="18" t="s">
        <v>209</v>
      </c>
      <c r="B18" s="16" t="s">
        <v>210</v>
      </c>
      <c r="C18" s="27">
        <f>'Assumptions'!$F$13</f>
        <v>0</v>
      </c>
      <c r="D18" s="27">
        <f>C21</f>
        <v>0</v>
      </c>
      <c r="E18" s="27">
        <f>D21</f>
        <v>0</v>
      </c>
      <c r="F18" s="27">
        <f>E21</f>
        <v>0</v>
      </c>
      <c r="G18" s="27">
        <f>F21</f>
        <v>0</v>
      </c>
      <c r="H18" s="27">
        <f>G21</f>
        <v>0</v>
      </c>
      <c r="I18" s="27">
        <f>H21</f>
        <v>0</v>
      </c>
      <c r="J18" s="27">
        <f>I21</f>
        <v>0</v>
      </c>
      <c r="K18" s="27">
        <f>J21</f>
        <v>0</v>
      </c>
      <c r="L18" s="27">
        <f>K21</f>
        <v>0</v>
      </c>
      <c r="M18" s="27">
        <f>L21</f>
        <v>0</v>
      </c>
      <c r="N18" s="27">
        <f>M21</f>
        <v>0</v>
      </c>
      <c r="O18" s="27">
        <f>N21</f>
        <v>0</v>
      </c>
      <c r="P18" s="27">
        <f>O21</f>
        <v>0</v>
      </c>
      <c r="Q18" s="27">
        <f>P21</f>
        <v>0</v>
      </c>
      <c r="R18" s="27">
        <f>Q21</f>
        <v>0</v>
      </c>
      <c r="S18" s="27">
        <f>R21</f>
        <v>0</v>
      </c>
      <c r="T18" s="27">
        <f>S21</f>
        <v>0</v>
      </c>
      <c r="U18" s="27">
        <f>T21</f>
        <v>0</v>
      </c>
      <c r="V18" s="27">
        <f>U21</f>
        <v>0</v>
      </c>
      <c r="W18" s="27">
        <f>V21</f>
        <v>0</v>
      </c>
      <c r="X18" s="27">
        <f>W21</f>
        <v>0</v>
      </c>
      <c r="Y18" s="27">
        <f>X21</f>
        <v>0</v>
      </c>
      <c r="Z18" s="27">
        <f>Y21</f>
        <v>0</v>
      </c>
      <c r="AA18" s="27">
        <f>Z21</f>
        <v>0</v>
      </c>
      <c r="AB18" s="27">
        <f>AA21</f>
        <v>0</v>
      </c>
      <c r="AC18" s="27">
        <f>AB21</f>
        <v>0</v>
      </c>
      <c r="AD18" s="27">
        <f>AC21</f>
        <v>0</v>
      </c>
      <c r="AE18" s="27">
        <f>AD21</f>
        <v>0</v>
      </c>
      <c r="AF18" s="27">
        <f>AE21</f>
        <v>0</v>
      </c>
      <c r="AG18" s="27">
        <f>AF21</f>
        <v>0</v>
      </c>
      <c r="AH18" s="27">
        <f>AG21</f>
        <v>0</v>
      </c>
      <c r="AI18" s="27">
        <f>AH21</f>
        <v>0</v>
      </c>
      <c r="AJ18" s="27">
        <f>AI21</f>
        <v>0</v>
      </c>
      <c r="AK18" s="27">
        <f>AJ21</f>
        <v>0</v>
      </c>
      <c r="AL18" s="27">
        <f>AK21</f>
        <v>0</v>
      </c>
      <c r="AN18" s="27">
        <f>E18</f>
        <v>0</v>
      </c>
      <c r="AO18" s="27">
        <f>H18</f>
        <v>0</v>
      </c>
      <c r="AP18" s="27">
        <f>K18</f>
        <v>0</v>
      </c>
      <c r="AQ18" s="27">
        <f>N18</f>
        <v>0</v>
      </c>
      <c r="AR18" s="27">
        <f>Q18</f>
        <v>0</v>
      </c>
      <c r="AS18" s="27">
        <f>T18</f>
        <v>0</v>
      </c>
      <c r="AT18" s="27">
        <f>W18</f>
        <v>0</v>
      </c>
      <c r="AU18" s="27">
        <f>Z18</f>
        <v>0</v>
      </c>
      <c r="AV18" s="27">
        <f>AC18</f>
        <v>0</v>
      </c>
      <c r="AW18" s="27">
        <f>AF18</f>
        <v>0</v>
      </c>
      <c r="AX18" s="27">
        <f>AI18</f>
        <v>0</v>
      </c>
      <c r="AY18" s="27">
        <f>AL18</f>
        <v>0</v>
      </c>
      <c r="BA18" s="27">
        <f>N18</f>
        <v>0</v>
      </c>
      <c r="BB18" s="27">
        <f>Z18</f>
        <v>0</v>
      </c>
      <c r="BC18" s="27">
        <f>AL18</f>
        <v>0</v>
      </c>
    </row>
    <row r="19" spans="1:55">
      <c r="A19" s="18" t="s">
        <v>211</v>
      </c>
      <c r="B19" s="16" t="s">
        <v>212</v>
      </c>
      <c r="C19" s="27">
        <f>C14</f>
        <v>0</v>
      </c>
      <c r="D19" s="27">
        <f>D14</f>
        <v>0</v>
      </c>
      <c r="E19" s="27">
        <f>E14</f>
        <v>0</v>
      </c>
      <c r="F19" s="27">
        <f>F14</f>
        <v>0</v>
      </c>
      <c r="G19" s="27">
        <f>G14</f>
        <v>0</v>
      </c>
      <c r="H19" s="27">
        <f>H14</f>
        <v>0</v>
      </c>
      <c r="I19" s="27">
        <f>I14</f>
        <v>0</v>
      </c>
      <c r="J19" s="27">
        <f>J14</f>
        <v>0</v>
      </c>
      <c r="K19" s="27">
        <f>K14</f>
        <v>0</v>
      </c>
      <c r="L19" s="27">
        <f>L14</f>
        <v>0</v>
      </c>
      <c r="M19" s="27">
        <f>M14</f>
        <v>0</v>
      </c>
      <c r="N19" s="27">
        <f>N14</f>
        <v>0</v>
      </c>
      <c r="O19" s="27">
        <f>O14</f>
        <v>0</v>
      </c>
      <c r="P19" s="27">
        <f>P14</f>
        <v>0</v>
      </c>
      <c r="Q19" s="27">
        <f>Q14</f>
        <v>0</v>
      </c>
      <c r="R19" s="27">
        <f>R14</f>
        <v>0</v>
      </c>
      <c r="S19" s="27">
        <f>S14</f>
        <v>0</v>
      </c>
      <c r="T19" s="27">
        <f>T14</f>
        <v>0</v>
      </c>
      <c r="U19" s="27">
        <f>U14</f>
        <v>0</v>
      </c>
      <c r="V19" s="27">
        <f>V14</f>
        <v>0</v>
      </c>
      <c r="W19" s="27">
        <f>W14</f>
        <v>0</v>
      </c>
      <c r="X19" s="27">
        <f>X14</f>
        <v>0</v>
      </c>
      <c r="Y19" s="27">
        <f>Y14</f>
        <v>0</v>
      </c>
      <c r="Z19" s="27">
        <f>Z14</f>
        <v>0</v>
      </c>
      <c r="AA19" s="27">
        <f>AA14</f>
        <v>0</v>
      </c>
      <c r="AB19" s="27">
        <f>AB14</f>
        <v>0</v>
      </c>
      <c r="AC19" s="27">
        <f>AC14</f>
        <v>0</v>
      </c>
      <c r="AD19" s="27">
        <f>AD14</f>
        <v>0</v>
      </c>
      <c r="AE19" s="27">
        <f>AE14</f>
        <v>0</v>
      </c>
      <c r="AF19" s="27">
        <f>AF14</f>
        <v>0</v>
      </c>
      <c r="AG19" s="27">
        <f>AG14</f>
        <v>0</v>
      </c>
      <c r="AH19" s="27">
        <f>AH14</f>
        <v>0</v>
      </c>
      <c r="AI19" s="27">
        <f>AI14</f>
        <v>0</v>
      </c>
      <c r="AJ19" s="27">
        <f>AJ14</f>
        <v>0</v>
      </c>
      <c r="AK19" s="27">
        <f>AK14</f>
        <v>0</v>
      </c>
      <c r="AL19" s="27">
        <f>AL14</f>
        <v>0</v>
      </c>
      <c r="AN19" s="27">
        <f>SUM(C19:E19)</f>
        <v>0</v>
      </c>
      <c r="AO19" s="27">
        <f>SUM(F19:H19)</f>
        <v>0</v>
      </c>
      <c r="AP19" s="27">
        <f>SUM(I19:K19)</f>
        <v>0</v>
      </c>
      <c r="AQ19" s="27">
        <f>SUM(L19:N19)</f>
        <v>0</v>
      </c>
      <c r="AR19" s="27">
        <f>SUM(O19:Q19)</f>
        <v>0</v>
      </c>
      <c r="AS19" s="27">
        <f>SUM(R19:T19)</f>
        <v>0</v>
      </c>
      <c r="AT19" s="27">
        <f>SUM(U19:W19)</f>
        <v>0</v>
      </c>
      <c r="AU19" s="27">
        <f>SUM(X19:Z19)</f>
        <v>0</v>
      </c>
      <c r="AV19" s="27">
        <f>SUM(AA19:AC19)</f>
        <v>0</v>
      </c>
      <c r="AW19" s="27">
        <f>SUM(AD19:AF19)</f>
        <v>0</v>
      </c>
      <c r="AX19" s="27">
        <f>SUM(AG19:AI19)</f>
        <v>0</v>
      </c>
      <c r="AY19" s="27">
        <f>SUM(AJ19:AL19)</f>
        <v>0</v>
      </c>
      <c r="BA19" s="27">
        <f>SUM(C19:N19)</f>
        <v>0</v>
      </c>
      <c r="BB19" s="27">
        <f>SUM(O19:Z19)</f>
        <v>0</v>
      </c>
      <c r="BC19" s="27">
        <f>SUM(AA19:AL19)</f>
        <v>0</v>
      </c>
    </row>
    <row r="20" spans="1:55">
      <c r="A20" s="18" t="s">
        <v>213</v>
      </c>
      <c r="B20" s="16" t="s">
        <v>214</v>
      </c>
      <c r="C20" s="27">
        <f>-C18*'Assumptions'!$F$14</f>
        <v>0</v>
      </c>
      <c r="D20" s="27">
        <f>-D18*'Assumptions'!$F$14</f>
        <v>0</v>
      </c>
      <c r="E20" s="27">
        <f>-E18*'Assumptions'!$F$14</f>
        <v>0</v>
      </c>
      <c r="F20" s="27">
        <f>-F18*'Assumptions'!$F$14</f>
        <v>0</v>
      </c>
      <c r="G20" s="27">
        <f>-G18*'Assumptions'!$F$14</f>
        <v>0</v>
      </c>
      <c r="H20" s="27">
        <f>-H18*'Assumptions'!$F$14</f>
        <v>0</v>
      </c>
      <c r="I20" s="27">
        <f>-I18*'Assumptions'!$F$14</f>
        <v>0</v>
      </c>
      <c r="J20" s="27">
        <f>-J18*'Assumptions'!$F$14</f>
        <v>0</v>
      </c>
      <c r="K20" s="27">
        <f>-K18*'Assumptions'!$F$14</f>
        <v>0</v>
      </c>
      <c r="L20" s="27">
        <f>-L18*'Assumptions'!$F$14</f>
        <v>0</v>
      </c>
      <c r="M20" s="27">
        <f>-M18*'Assumptions'!$F$14</f>
        <v>0</v>
      </c>
      <c r="N20" s="27">
        <f>-N18*'Assumptions'!$F$14</f>
        <v>0</v>
      </c>
      <c r="O20" s="27">
        <f>-O18*'Assumptions'!$F$14</f>
        <v>0</v>
      </c>
      <c r="P20" s="27">
        <f>-P18*'Assumptions'!$F$14</f>
        <v>0</v>
      </c>
      <c r="Q20" s="27">
        <f>-Q18*'Assumptions'!$F$14</f>
        <v>0</v>
      </c>
      <c r="R20" s="27">
        <f>-R18*'Assumptions'!$F$14</f>
        <v>0</v>
      </c>
      <c r="S20" s="27">
        <f>-S18*'Assumptions'!$F$14</f>
        <v>0</v>
      </c>
      <c r="T20" s="27">
        <f>-T18*'Assumptions'!$F$14</f>
        <v>0</v>
      </c>
      <c r="U20" s="27">
        <f>-U18*'Assumptions'!$F$14</f>
        <v>0</v>
      </c>
      <c r="V20" s="27">
        <f>-V18*'Assumptions'!$F$14</f>
        <v>0</v>
      </c>
      <c r="W20" s="27">
        <f>-W18*'Assumptions'!$F$14</f>
        <v>0</v>
      </c>
      <c r="X20" s="27">
        <f>-X18*'Assumptions'!$F$14</f>
        <v>0</v>
      </c>
      <c r="Y20" s="27">
        <f>-Y18*'Assumptions'!$F$14</f>
        <v>0</v>
      </c>
      <c r="Z20" s="27">
        <f>-Z18*'Assumptions'!$F$14</f>
        <v>0</v>
      </c>
      <c r="AA20" s="27">
        <f>-AA18*'Assumptions'!$F$14</f>
        <v>0</v>
      </c>
      <c r="AB20" s="27">
        <f>-AB18*'Assumptions'!$F$14</f>
        <v>0</v>
      </c>
      <c r="AC20" s="27">
        <f>-AC18*'Assumptions'!$F$14</f>
        <v>0</v>
      </c>
      <c r="AD20" s="27">
        <f>-AD18*'Assumptions'!$F$14</f>
        <v>0</v>
      </c>
      <c r="AE20" s="27">
        <f>-AE18*'Assumptions'!$F$14</f>
        <v>0</v>
      </c>
      <c r="AF20" s="27">
        <f>-AF18*'Assumptions'!$F$14</f>
        <v>0</v>
      </c>
      <c r="AG20" s="27">
        <f>-AG18*'Assumptions'!$F$14</f>
        <v>0</v>
      </c>
      <c r="AH20" s="27">
        <f>-AH18*'Assumptions'!$F$14</f>
        <v>0</v>
      </c>
      <c r="AI20" s="27">
        <f>-AI18*'Assumptions'!$F$14</f>
        <v>0</v>
      </c>
      <c r="AJ20" s="27">
        <f>-AJ18*'Assumptions'!$F$14</f>
        <v>0</v>
      </c>
      <c r="AK20" s="27">
        <f>-AK18*'Assumptions'!$F$14</f>
        <v>0</v>
      </c>
      <c r="AL20" s="27">
        <f>-AL18*'Assumptions'!$F$14</f>
        <v>0</v>
      </c>
      <c r="AN20" s="27">
        <f>SUM(C20:E20)</f>
        <v>0</v>
      </c>
      <c r="AO20" s="27">
        <f>SUM(F20:H20)</f>
        <v>0</v>
      </c>
      <c r="AP20" s="27">
        <f>SUM(I20:K20)</f>
        <v>0</v>
      </c>
      <c r="AQ20" s="27">
        <f>SUM(L20:N20)</f>
        <v>0</v>
      </c>
      <c r="AR20" s="27">
        <f>SUM(O20:Q20)</f>
        <v>0</v>
      </c>
      <c r="AS20" s="27">
        <f>SUM(R20:T20)</f>
        <v>0</v>
      </c>
      <c r="AT20" s="27">
        <f>SUM(U20:W20)</f>
        <v>0</v>
      </c>
      <c r="AU20" s="27">
        <f>SUM(X20:Z20)</f>
        <v>0</v>
      </c>
      <c r="AV20" s="27">
        <f>SUM(AA20:AC20)</f>
        <v>0</v>
      </c>
      <c r="AW20" s="27">
        <f>SUM(AD20:AF20)</f>
        <v>0</v>
      </c>
      <c r="AX20" s="27">
        <f>SUM(AG20:AI20)</f>
        <v>0</v>
      </c>
      <c r="AY20" s="27">
        <f>SUM(AJ20:AL20)</f>
        <v>0</v>
      </c>
      <c r="BA20" s="27">
        <f>SUM(C20:N20)</f>
        <v>0</v>
      </c>
      <c r="BB20" s="27">
        <f>SUM(O20:Z20)</f>
        <v>0</v>
      </c>
      <c r="BC20" s="27">
        <f>SUM(AA20:AL20)</f>
        <v>0</v>
      </c>
    </row>
    <row r="21" spans="1:55">
      <c r="A21" s="28" t="s">
        <v>215</v>
      </c>
      <c r="B21" s="16" t="s">
        <v>216</v>
      </c>
      <c r="C21" s="27">
        <f>C18+C19+C20</f>
        <v>0</v>
      </c>
      <c r="D21" s="27">
        <f>D18+D19+D20</f>
        <v>0</v>
      </c>
      <c r="E21" s="27">
        <f>E18+E19+E20</f>
        <v>0</v>
      </c>
      <c r="F21" s="27">
        <f>F18+F19+F20</f>
        <v>0</v>
      </c>
      <c r="G21" s="27">
        <f>G18+G19+G20</f>
        <v>0</v>
      </c>
      <c r="H21" s="27">
        <f>H18+H19+H20</f>
        <v>0</v>
      </c>
      <c r="I21" s="27">
        <f>I18+I19+I20</f>
        <v>0</v>
      </c>
      <c r="J21" s="27">
        <f>J18+J19+J20</f>
        <v>0</v>
      </c>
      <c r="K21" s="27">
        <f>K18+K19+K20</f>
        <v>0</v>
      </c>
      <c r="L21" s="27">
        <f>L18+L19+L20</f>
        <v>0</v>
      </c>
      <c r="M21" s="27">
        <f>M18+M19+M20</f>
        <v>0</v>
      </c>
      <c r="N21" s="27">
        <f>N18+N19+N20</f>
        <v>0</v>
      </c>
      <c r="O21" s="27">
        <f>O18+O19+O20</f>
        <v>0</v>
      </c>
      <c r="P21" s="27">
        <f>P18+P19+P20</f>
        <v>0</v>
      </c>
      <c r="Q21" s="27">
        <f>Q18+Q19+Q20</f>
        <v>0</v>
      </c>
      <c r="R21" s="27">
        <f>R18+R19+R20</f>
        <v>0</v>
      </c>
      <c r="S21" s="27">
        <f>S18+S19+S20</f>
        <v>0</v>
      </c>
      <c r="T21" s="27">
        <f>T18+T19+T20</f>
        <v>0</v>
      </c>
      <c r="U21" s="27">
        <f>U18+U19+U20</f>
        <v>0</v>
      </c>
      <c r="V21" s="27">
        <f>V18+V19+V20</f>
        <v>0</v>
      </c>
      <c r="W21" s="27">
        <f>W18+W19+W20</f>
        <v>0</v>
      </c>
      <c r="X21" s="27">
        <f>X18+X19+X20</f>
        <v>0</v>
      </c>
      <c r="Y21" s="27">
        <f>Y18+Y19+Y20</f>
        <v>0</v>
      </c>
      <c r="Z21" s="27">
        <f>Z18+Z19+Z20</f>
        <v>0</v>
      </c>
      <c r="AA21" s="27">
        <f>AA18+AA19+AA20</f>
        <v>0</v>
      </c>
      <c r="AB21" s="27">
        <f>AB18+AB19+AB20</f>
        <v>0</v>
      </c>
      <c r="AC21" s="27">
        <f>AC18+AC19+AC20</f>
        <v>0</v>
      </c>
      <c r="AD21" s="27">
        <f>AD18+AD19+AD20</f>
        <v>0</v>
      </c>
      <c r="AE21" s="27">
        <f>AE18+AE19+AE20</f>
        <v>0</v>
      </c>
      <c r="AF21" s="27">
        <f>AF18+AF19+AF20</f>
        <v>0</v>
      </c>
      <c r="AG21" s="27">
        <f>AG18+AG19+AG20</f>
        <v>0</v>
      </c>
      <c r="AH21" s="27">
        <f>AH18+AH19+AH20</f>
        <v>0</v>
      </c>
      <c r="AI21" s="27">
        <f>AI18+AI19+AI20</f>
        <v>0</v>
      </c>
      <c r="AJ21" s="27">
        <f>AJ18+AJ19+AJ20</f>
        <v>0</v>
      </c>
      <c r="AK21" s="27">
        <f>AK18+AK19+AK20</f>
        <v>0</v>
      </c>
      <c r="AL21" s="27">
        <f>AL18+AL19+AL20</f>
        <v>0</v>
      </c>
      <c r="AN21" s="27">
        <f>E21</f>
        <v>0</v>
      </c>
      <c r="AO21" s="27">
        <f>H21</f>
        <v>0</v>
      </c>
      <c r="AP21" s="27">
        <f>K21</f>
        <v>0</v>
      </c>
      <c r="AQ21" s="27">
        <f>N21</f>
        <v>0</v>
      </c>
      <c r="AR21" s="27">
        <f>Q21</f>
        <v>0</v>
      </c>
      <c r="AS21" s="27">
        <f>T21</f>
        <v>0</v>
      </c>
      <c r="AT21" s="27">
        <f>W21</f>
        <v>0</v>
      </c>
      <c r="AU21" s="27">
        <f>Z21</f>
        <v>0</v>
      </c>
      <c r="AV21" s="27">
        <f>AC21</f>
        <v>0</v>
      </c>
      <c r="AW21" s="27">
        <f>AF21</f>
        <v>0</v>
      </c>
      <c r="AX21" s="27">
        <f>AI21</f>
        <v>0</v>
      </c>
      <c r="AY21" s="27">
        <f>AL21</f>
        <v>0</v>
      </c>
      <c r="BA21" s="27">
        <f>N21</f>
        <v>0</v>
      </c>
      <c r="BB21" s="27">
        <f>Z21</f>
        <v>0</v>
      </c>
      <c r="BC21" s="27">
        <f>AL21</f>
        <v>0</v>
      </c>
    </row>
    <row r="22" spans="1:55">
      <c r="A22" s="18" t="s">
        <v>217</v>
      </c>
      <c r="B22" s="16" t="s">
        <v>218</v>
      </c>
      <c r="C22" s="27">
        <f>'Assumptions'!$F$15</f>
        <v>0</v>
      </c>
      <c r="D22" s="27">
        <f>C28</f>
        <v>0</v>
      </c>
      <c r="E22" s="27">
        <f>D28</f>
        <v>0</v>
      </c>
      <c r="F22" s="27">
        <f>E28</f>
        <v>0</v>
      </c>
      <c r="G22" s="27">
        <f>F28</f>
        <v>0</v>
      </c>
      <c r="H22" s="27">
        <f>G28</f>
        <v>0</v>
      </c>
      <c r="I22" s="27">
        <f>H28</f>
        <v>0</v>
      </c>
      <c r="J22" s="27">
        <f>I28</f>
        <v>0</v>
      </c>
      <c r="K22" s="27">
        <f>J28</f>
        <v>0</v>
      </c>
      <c r="L22" s="27">
        <f>K28</f>
        <v>0</v>
      </c>
      <c r="M22" s="27">
        <f>L28</f>
        <v>0</v>
      </c>
      <c r="N22" s="27">
        <f>M28</f>
        <v>0</v>
      </c>
      <c r="O22" s="27">
        <f>N28</f>
        <v>0</v>
      </c>
      <c r="P22" s="27">
        <f>O28</f>
        <v>0</v>
      </c>
      <c r="Q22" s="27">
        <f>P28</f>
        <v>0</v>
      </c>
      <c r="R22" s="27">
        <f>Q28</f>
        <v>0</v>
      </c>
      <c r="S22" s="27">
        <f>R28</f>
        <v>0</v>
      </c>
      <c r="T22" s="27">
        <f>S28</f>
        <v>0</v>
      </c>
      <c r="U22" s="27">
        <f>T28</f>
        <v>0</v>
      </c>
      <c r="V22" s="27">
        <f>U28</f>
        <v>0</v>
      </c>
      <c r="W22" s="27">
        <f>V28</f>
        <v>0</v>
      </c>
      <c r="X22" s="27">
        <f>W28</f>
        <v>0</v>
      </c>
      <c r="Y22" s="27">
        <f>X28</f>
        <v>0</v>
      </c>
      <c r="Z22" s="27">
        <f>Y28</f>
        <v>0</v>
      </c>
      <c r="AA22" s="27">
        <f>Z28</f>
        <v>0</v>
      </c>
      <c r="AB22" s="27">
        <f>AA28</f>
        <v>0</v>
      </c>
      <c r="AC22" s="27">
        <f>AB28</f>
        <v>0</v>
      </c>
      <c r="AD22" s="27">
        <f>AC28</f>
        <v>0</v>
      </c>
      <c r="AE22" s="27">
        <f>AD28</f>
        <v>0</v>
      </c>
      <c r="AF22" s="27">
        <f>AE28</f>
        <v>0</v>
      </c>
      <c r="AG22" s="27">
        <f>AF28</f>
        <v>0</v>
      </c>
      <c r="AH22" s="27">
        <f>AG28</f>
        <v>0</v>
      </c>
      <c r="AI22" s="27">
        <f>AH28</f>
        <v>0</v>
      </c>
      <c r="AJ22" s="27">
        <f>AI28</f>
        <v>0</v>
      </c>
      <c r="AK22" s="27">
        <f>AJ28</f>
        <v>0</v>
      </c>
      <c r="AL22" s="27">
        <f>AK28</f>
        <v>0</v>
      </c>
      <c r="AN22" s="27">
        <f>E22</f>
        <v>0</v>
      </c>
      <c r="AO22" s="27">
        <f>H22</f>
        <v>0</v>
      </c>
      <c r="AP22" s="27">
        <f>K22</f>
        <v>0</v>
      </c>
      <c r="AQ22" s="27">
        <f>N22</f>
        <v>0</v>
      </c>
      <c r="AR22" s="27">
        <f>Q22</f>
        <v>0</v>
      </c>
      <c r="AS22" s="27">
        <f>T22</f>
        <v>0</v>
      </c>
      <c r="AT22" s="27">
        <f>W22</f>
        <v>0</v>
      </c>
      <c r="AU22" s="27">
        <f>Z22</f>
        <v>0</v>
      </c>
      <c r="AV22" s="27">
        <f>AC22</f>
        <v>0</v>
      </c>
      <c r="AW22" s="27">
        <f>AF22</f>
        <v>0</v>
      </c>
      <c r="AX22" s="27">
        <f>AI22</f>
        <v>0</v>
      </c>
      <c r="AY22" s="27">
        <f>AL22</f>
        <v>0</v>
      </c>
      <c r="BA22" s="27">
        <f>N22</f>
        <v>0</v>
      </c>
      <c r="BB22" s="27">
        <f>Z22</f>
        <v>0</v>
      </c>
      <c r="BC22" s="27">
        <f>AL22</f>
        <v>0</v>
      </c>
    </row>
    <row r="23" spans="1:55">
      <c r="A23" s="18" t="s">
        <v>219</v>
      </c>
      <c r="B23" s="16" t="s">
        <v>220</v>
      </c>
      <c r="C23" s="27">
        <f>-C22*'Assumptions'!$F$28</f>
        <v>0</v>
      </c>
      <c r="D23" s="27">
        <f>-D22*'Assumptions'!$F$28</f>
        <v>0</v>
      </c>
      <c r="E23" s="27">
        <f>-E22*'Assumptions'!$F$28</f>
        <v>0</v>
      </c>
      <c r="F23" s="27">
        <f>-F22*'Assumptions'!$F$28</f>
        <v>0</v>
      </c>
      <c r="G23" s="27">
        <f>-G22*'Assumptions'!$F$28</f>
        <v>0</v>
      </c>
      <c r="H23" s="27">
        <f>-H22*'Assumptions'!$F$28</f>
        <v>0</v>
      </c>
      <c r="I23" s="27">
        <f>-I22*'Assumptions'!$F$28</f>
        <v>0</v>
      </c>
      <c r="J23" s="27">
        <f>-J22*'Assumptions'!$F$28</f>
        <v>0</v>
      </c>
      <c r="K23" s="27">
        <f>-K22*'Assumptions'!$F$28</f>
        <v>0</v>
      </c>
      <c r="L23" s="27">
        <f>-L22*'Assumptions'!$F$28</f>
        <v>0</v>
      </c>
      <c r="M23" s="27">
        <f>-M22*'Assumptions'!$F$28</f>
        <v>0</v>
      </c>
      <c r="N23" s="27">
        <f>-N22*'Assumptions'!$F$28</f>
        <v>0</v>
      </c>
      <c r="O23" s="27">
        <f>-O22*'Assumptions'!$F$28</f>
        <v>0</v>
      </c>
      <c r="P23" s="27">
        <f>-P22*'Assumptions'!$F$28</f>
        <v>0</v>
      </c>
      <c r="Q23" s="27">
        <f>-Q22*'Assumptions'!$F$28</f>
        <v>0</v>
      </c>
      <c r="R23" s="27">
        <f>-R22*'Assumptions'!$F$28</f>
        <v>0</v>
      </c>
      <c r="S23" s="27">
        <f>-S22*'Assumptions'!$F$28</f>
        <v>0</v>
      </c>
      <c r="T23" s="27">
        <f>-T22*'Assumptions'!$F$28</f>
        <v>0</v>
      </c>
      <c r="U23" s="27">
        <f>-U22*'Assumptions'!$F$28</f>
        <v>0</v>
      </c>
      <c r="V23" s="27">
        <f>-V22*'Assumptions'!$F$28</f>
        <v>0</v>
      </c>
      <c r="W23" s="27">
        <f>-W22*'Assumptions'!$F$28</f>
        <v>0</v>
      </c>
      <c r="X23" s="27">
        <f>-X22*'Assumptions'!$F$28</f>
        <v>0</v>
      </c>
      <c r="Y23" s="27">
        <f>-Y22*'Assumptions'!$F$28</f>
        <v>0</v>
      </c>
      <c r="Z23" s="27">
        <f>-Z22*'Assumptions'!$F$28</f>
        <v>0</v>
      </c>
      <c r="AA23" s="27">
        <f>-AA22*'Assumptions'!$F$28</f>
        <v>0</v>
      </c>
      <c r="AB23" s="27">
        <f>-AB22*'Assumptions'!$F$28</f>
        <v>0</v>
      </c>
      <c r="AC23" s="27">
        <f>-AC22*'Assumptions'!$F$28</f>
        <v>0</v>
      </c>
      <c r="AD23" s="27">
        <f>-AD22*'Assumptions'!$F$28</f>
        <v>0</v>
      </c>
      <c r="AE23" s="27">
        <f>-AE22*'Assumptions'!$F$28</f>
        <v>0</v>
      </c>
      <c r="AF23" s="27">
        <f>-AF22*'Assumptions'!$F$28</f>
        <v>0</v>
      </c>
      <c r="AG23" s="27">
        <f>-AG22*'Assumptions'!$F$28</f>
        <v>0</v>
      </c>
      <c r="AH23" s="27">
        <f>-AH22*'Assumptions'!$F$28</f>
        <v>0</v>
      </c>
      <c r="AI23" s="27">
        <f>-AI22*'Assumptions'!$F$28</f>
        <v>0</v>
      </c>
      <c r="AJ23" s="27">
        <f>-AJ22*'Assumptions'!$F$28</f>
        <v>0</v>
      </c>
      <c r="AK23" s="27">
        <f>-AK22*'Assumptions'!$F$28</f>
        <v>0</v>
      </c>
      <c r="AL23" s="27">
        <f>-AL22*'Assumptions'!$F$28</f>
        <v>0</v>
      </c>
      <c r="AN23" s="27">
        <f>SUM(C23:E23)</f>
        <v>0</v>
      </c>
      <c r="AO23" s="27">
        <f>SUM(F23:H23)</f>
        <v>0</v>
      </c>
      <c r="AP23" s="27">
        <f>SUM(I23:K23)</f>
        <v>0</v>
      </c>
      <c r="AQ23" s="27">
        <f>SUM(L23:N23)</f>
        <v>0</v>
      </c>
      <c r="AR23" s="27">
        <f>SUM(O23:Q23)</f>
        <v>0</v>
      </c>
      <c r="AS23" s="27">
        <f>SUM(R23:T23)</f>
        <v>0</v>
      </c>
      <c r="AT23" s="27">
        <f>SUM(U23:W23)</f>
        <v>0</v>
      </c>
      <c r="AU23" s="27">
        <f>SUM(X23:Z23)</f>
        <v>0</v>
      </c>
      <c r="AV23" s="27">
        <f>SUM(AA23:AC23)</f>
        <v>0</v>
      </c>
      <c r="AW23" s="27">
        <f>SUM(AD23:AF23)</f>
        <v>0</v>
      </c>
      <c r="AX23" s="27">
        <f>SUM(AG23:AI23)</f>
        <v>0</v>
      </c>
      <c r="AY23" s="27">
        <f>SUM(AJ23:AL23)</f>
        <v>0</v>
      </c>
      <c r="BA23" s="27">
        <f>SUM(C23:N23)</f>
        <v>0</v>
      </c>
      <c r="BB23" s="27">
        <f>SUM(O23:Z23)</f>
        <v>0</v>
      </c>
      <c r="BC23" s="27">
        <f>SUM(AA23:AL23)</f>
        <v>0</v>
      </c>
    </row>
    <row r="24" spans="1:55">
      <c r="A24" s="18" t="s">
        <v>221</v>
      </c>
      <c r="B24" s="16" t="s">
        <v>222</v>
      </c>
      <c r="C24" s="27">
        <f>C22+C23</f>
        <v>0</v>
      </c>
      <c r="D24" s="27">
        <f>D22+D23</f>
        <v>0</v>
      </c>
      <c r="E24" s="27">
        <f>E22+E23</f>
        <v>0</v>
      </c>
      <c r="F24" s="27">
        <f>F22+F23</f>
        <v>0</v>
      </c>
      <c r="G24" s="27">
        <f>G22+G23</f>
        <v>0</v>
      </c>
      <c r="H24" s="27">
        <f>H22+H23</f>
        <v>0</v>
      </c>
      <c r="I24" s="27">
        <f>I22+I23</f>
        <v>0</v>
      </c>
      <c r="J24" s="27">
        <f>J22+J23</f>
        <v>0</v>
      </c>
      <c r="K24" s="27">
        <f>K22+K23</f>
        <v>0</v>
      </c>
      <c r="L24" s="27">
        <f>L22+L23</f>
        <v>0</v>
      </c>
      <c r="M24" s="27">
        <f>M22+M23</f>
        <v>0</v>
      </c>
      <c r="N24" s="27">
        <f>N22+N23</f>
        <v>0</v>
      </c>
      <c r="O24" s="27">
        <f>O22+O23</f>
        <v>0</v>
      </c>
      <c r="P24" s="27">
        <f>P22+P23</f>
        <v>0</v>
      </c>
      <c r="Q24" s="27">
        <f>Q22+Q23</f>
        <v>0</v>
      </c>
      <c r="R24" s="27">
        <f>R22+R23</f>
        <v>0</v>
      </c>
      <c r="S24" s="27">
        <f>S22+S23</f>
        <v>0</v>
      </c>
      <c r="T24" s="27">
        <f>T22+T23</f>
        <v>0</v>
      </c>
      <c r="U24" s="27">
        <f>U22+U23</f>
        <v>0</v>
      </c>
      <c r="V24" s="27">
        <f>V22+V23</f>
        <v>0</v>
      </c>
      <c r="W24" s="27">
        <f>W22+W23</f>
        <v>0</v>
      </c>
      <c r="X24" s="27">
        <f>X22+X23</f>
        <v>0</v>
      </c>
      <c r="Y24" s="27">
        <f>Y22+Y23</f>
        <v>0</v>
      </c>
      <c r="Z24" s="27">
        <f>Z22+Z23</f>
        <v>0</v>
      </c>
      <c r="AA24" s="27">
        <f>AA22+AA23</f>
        <v>0</v>
      </c>
      <c r="AB24" s="27">
        <f>AB22+AB23</f>
        <v>0</v>
      </c>
      <c r="AC24" s="27">
        <f>AC22+AC23</f>
        <v>0</v>
      </c>
      <c r="AD24" s="27">
        <f>AD22+AD23</f>
        <v>0</v>
      </c>
      <c r="AE24" s="27">
        <f>AE22+AE23</f>
        <v>0</v>
      </c>
      <c r="AF24" s="27">
        <f>AF22+AF23</f>
        <v>0</v>
      </c>
      <c r="AG24" s="27">
        <f>AG22+AG23</f>
        <v>0</v>
      </c>
      <c r="AH24" s="27">
        <f>AH22+AH23</f>
        <v>0</v>
      </c>
      <c r="AI24" s="27">
        <f>AI22+AI23</f>
        <v>0</v>
      </c>
      <c r="AJ24" s="27">
        <f>AJ22+AJ23</f>
        <v>0</v>
      </c>
      <c r="AK24" s="27">
        <f>AK22+AK23</f>
        <v>0</v>
      </c>
      <c r="AL24" s="27">
        <f>AL22+AL23</f>
        <v>0</v>
      </c>
      <c r="AN24" s="27">
        <f>E24</f>
        <v>0</v>
      </c>
      <c r="AO24" s="27">
        <f>H24</f>
        <v>0</v>
      </c>
      <c r="AP24" s="27">
        <f>K24</f>
        <v>0</v>
      </c>
      <c r="AQ24" s="27">
        <f>N24</f>
        <v>0</v>
      </c>
      <c r="AR24" s="27">
        <f>Q24</f>
        <v>0</v>
      </c>
      <c r="AS24" s="27">
        <f>T24</f>
        <v>0</v>
      </c>
      <c r="AT24" s="27">
        <f>W24</f>
        <v>0</v>
      </c>
      <c r="AU24" s="27">
        <f>Z24</f>
        <v>0</v>
      </c>
      <c r="AV24" s="27">
        <f>AC24</f>
        <v>0</v>
      </c>
      <c r="AW24" s="27">
        <f>AF24</f>
        <v>0</v>
      </c>
      <c r="AX24" s="27">
        <f>AI24</f>
        <v>0</v>
      </c>
      <c r="AY24" s="27">
        <f>AL24</f>
        <v>0</v>
      </c>
      <c r="BA24" s="27">
        <f>N24</f>
        <v>0</v>
      </c>
      <c r="BB24" s="27">
        <f>Z24</f>
        <v>0</v>
      </c>
      <c r="BC24" s="27">
        <f>AL24</f>
        <v>0</v>
      </c>
    </row>
    <row r="25" spans="1:55">
      <c r="A25" s="18" t="s">
        <v>223</v>
      </c>
      <c r="B25" s="16" t="s">
        <v>224</v>
      </c>
      <c r="C25" s="27">
        <f>MAX(0,C21-C24)</f>
        <v>0</v>
      </c>
      <c r="D25" s="27">
        <f>MAX(0,D21-D24)</f>
        <v>0</v>
      </c>
      <c r="E25" s="27">
        <f>MAX(0,E21-E24)</f>
        <v>0</v>
      </c>
      <c r="F25" s="27">
        <f>MAX(0,F21-F24)</f>
        <v>0</v>
      </c>
      <c r="G25" s="27">
        <f>MAX(0,G21-G24)</f>
        <v>0</v>
      </c>
      <c r="H25" s="27">
        <f>MAX(0,H21-H24)</f>
        <v>0</v>
      </c>
      <c r="I25" s="27">
        <f>MAX(0,I21-I24)</f>
        <v>0</v>
      </c>
      <c r="J25" s="27">
        <f>MAX(0,J21-J24)</f>
        <v>0</v>
      </c>
      <c r="K25" s="27">
        <f>MAX(0,K21-K24)</f>
        <v>0</v>
      </c>
      <c r="L25" s="27">
        <f>MAX(0,L21-L24)</f>
        <v>0</v>
      </c>
      <c r="M25" s="27">
        <f>MAX(0,M21-M24)</f>
        <v>0</v>
      </c>
      <c r="N25" s="27">
        <f>MAX(0,N21-N24)</f>
        <v>0</v>
      </c>
      <c r="O25" s="27">
        <f>MAX(0,O21-O24)</f>
        <v>0</v>
      </c>
      <c r="P25" s="27">
        <f>MAX(0,P21-P24)</f>
        <v>0</v>
      </c>
      <c r="Q25" s="27">
        <f>MAX(0,Q21-Q24)</f>
        <v>0</v>
      </c>
      <c r="R25" s="27">
        <f>MAX(0,R21-R24)</f>
        <v>0</v>
      </c>
      <c r="S25" s="27">
        <f>MAX(0,S21-S24)</f>
        <v>0</v>
      </c>
      <c r="T25" s="27">
        <f>MAX(0,T21-T24)</f>
        <v>0</v>
      </c>
      <c r="U25" s="27">
        <f>MAX(0,U21-U24)</f>
        <v>0</v>
      </c>
      <c r="V25" s="27">
        <f>MAX(0,V21-V24)</f>
        <v>0</v>
      </c>
      <c r="W25" s="27">
        <f>MAX(0,W21-W24)</f>
        <v>0</v>
      </c>
      <c r="X25" s="27">
        <f>MAX(0,X21-X24)</f>
        <v>0</v>
      </c>
      <c r="Y25" s="27">
        <f>MAX(0,Y21-Y24)</f>
        <v>0</v>
      </c>
      <c r="Z25" s="27">
        <f>MAX(0,Z21-Z24)</f>
        <v>0</v>
      </c>
      <c r="AA25" s="27">
        <f>MAX(0,AA21-AA24)</f>
        <v>0</v>
      </c>
      <c r="AB25" s="27">
        <f>MAX(0,AB21-AB24)</f>
        <v>0</v>
      </c>
      <c r="AC25" s="27">
        <f>MAX(0,AC21-AC24)</f>
        <v>0</v>
      </c>
      <c r="AD25" s="27">
        <f>MAX(0,AD21-AD24)</f>
        <v>0</v>
      </c>
      <c r="AE25" s="27">
        <f>MAX(0,AE21-AE24)</f>
        <v>0</v>
      </c>
      <c r="AF25" s="27">
        <f>MAX(0,AF21-AF24)</f>
        <v>0</v>
      </c>
      <c r="AG25" s="27">
        <f>MAX(0,AG21-AG24)</f>
        <v>0</v>
      </c>
      <c r="AH25" s="27">
        <f>MAX(0,AH21-AH24)</f>
        <v>0</v>
      </c>
      <c r="AI25" s="27">
        <f>MAX(0,AI21-AI24)</f>
        <v>0</v>
      </c>
      <c r="AJ25" s="27">
        <f>MAX(0,AJ21-AJ24)</f>
        <v>0</v>
      </c>
      <c r="AK25" s="27">
        <f>MAX(0,AK21-AK24)</f>
        <v>0</v>
      </c>
      <c r="AL25" s="27">
        <f>MAX(0,AL21-AL24)</f>
        <v>0</v>
      </c>
      <c r="AN25" s="27">
        <f>E25</f>
        <v>0</v>
      </c>
      <c r="AO25" s="27">
        <f>H25</f>
        <v>0</v>
      </c>
      <c r="AP25" s="27">
        <f>K25</f>
        <v>0</v>
      </c>
      <c r="AQ25" s="27">
        <f>N25</f>
        <v>0</v>
      </c>
      <c r="AR25" s="27">
        <f>Q25</f>
        <v>0</v>
      </c>
      <c r="AS25" s="27">
        <f>T25</f>
        <v>0</v>
      </c>
      <c r="AT25" s="27">
        <f>W25</f>
        <v>0</v>
      </c>
      <c r="AU25" s="27">
        <f>Z25</f>
        <v>0</v>
      </c>
      <c r="AV25" s="27">
        <f>AC25</f>
        <v>0</v>
      </c>
      <c r="AW25" s="27">
        <f>AF25</f>
        <v>0</v>
      </c>
      <c r="AX25" s="27">
        <f>AI25</f>
        <v>0</v>
      </c>
      <c r="AY25" s="27">
        <f>AL25</f>
        <v>0</v>
      </c>
      <c r="BA25" s="27">
        <f>N25</f>
        <v>0</v>
      </c>
      <c r="BB25" s="27">
        <f>Z25</f>
        <v>0</v>
      </c>
      <c r="BC25" s="27">
        <f>AL25</f>
        <v>0</v>
      </c>
    </row>
    <row r="26" spans="1:55">
      <c r="A26" s="18" t="s">
        <v>225</v>
      </c>
      <c r="B26" s="16" t="s">
        <v>226</v>
      </c>
      <c r="C26" s="25">
        <f>'Assumptions'!$F$27</f>
        <v>0</v>
      </c>
      <c r="D26" s="25">
        <f>'Assumptions'!$F$27</f>
        <v>0</v>
      </c>
      <c r="E26" s="25">
        <f>'Assumptions'!$F$27</f>
        <v>0</v>
      </c>
      <c r="F26" s="25">
        <f>'Assumptions'!$F$27</f>
        <v>0</v>
      </c>
      <c r="G26" s="25">
        <f>'Assumptions'!$F$27</f>
        <v>0</v>
      </c>
      <c r="H26" s="25">
        <f>'Assumptions'!$F$27</f>
        <v>0</v>
      </c>
      <c r="I26" s="25">
        <f>'Assumptions'!$F$27</f>
        <v>0</v>
      </c>
      <c r="J26" s="25">
        <f>'Assumptions'!$F$27</f>
        <v>0</v>
      </c>
      <c r="K26" s="25">
        <f>'Assumptions'!$F$27</f>
        <v>0</v>
      </c>
      <c r="L26" s="25">
        <f>'Assumptions'!$F$27</f>
        <v>0</v>
      </c>
      <c r="M26" s="25">
        <f>'Assumptions'!$F$27</f>
        <v>0</v>
      </c>
      <c r="N26" s="25">
        <f>'Assumptions'!$F$27</f>
        <v>0</v>
      </c>
      <c r="O26" s="25">
        <f>'Assumptions'!$F$27</f>
        <v>0</v>
      </c>
      <c r="P26" s="25">
        <f>'Assumptions'!$F$27</f>
        <v>0</v>
      </c>
      <c r="Q26" s="25">
        <f>'Assumptions'!$F$27</f>
        <v>0</v>
      </c>
      <c r="R26" s="25">
        <f>'Assumptions'!$F$27</f>
        <v>0</v>
      </c>
      <c r="S26" s="25">
        <f>'Assumptions'!$F$27</f>
        <v>0</v>
      </c>
      <c r="T26" s="25">
        <f>'Assumptions'!$F$27</f>
        <v>0</v>
      </c>
      <c r="U26" s="25">
        <f>'Assumptions'!$F$27</f>
        <v>0</v>
      </c>
      <c r="V26" s="25">
        <f>'Assumptions'!$F$27</f>
        <v>0</v>
      </c>
      <c r="W26" s="25">
        <f>'Assumptions'!$F$27</f>
        <v>0</v>
      </c>
      <c r="X26" s="25">
        <f>'Assumptions'!$F$27</f>
        <v>0</v>
      </c>
      <c r="Y26" s="25">
        <f>'Assumptions'!$F$27</f>
        <v>0</v>
      </c>
      <c r="Z26" s="25">
        <f>'Assumptions'!$F$27</f>
        <v>0</v>
      </c>
      <c r="AA26" s="25">
        <f>'Assumptions'!$F$27</f>
        <v>0</v>
      </c>
      <c r="AB26" s="25">
        <f>'Assumptions'!$F$27</f>
        <v>0</v>
      </c>
      <c r="AC26" s="25">
        <f>'Assumptions'!$F$27</f>
        <v>0</v>
      </c>
      <c r="AD26" s="25">
        <f>'Assumptions'!$F$27</f>
        <v>0</v>
      </c>
      <c r="AE26" s="25">
        <f>'Assumptions'!$F$27</f>
        <v>0</v>
      </c>
      <c r="AF26" s="25">
        <f>'Assumptions'!$F$27</f>
        <v>0</v>
      </c>
      <c r="AG26" s="25">
        <f>'Assumptions'!$F$27</f>
        <v>0</v>
      </c>
      <c r="AH26" s="25">
        <f>'Assumptions'!$F$27</f>
        <v>0</v>
      </c>
      <c r="AI26" s="25">
        <f>'Assumptions'!$F$27</f>
        <v>0</v>
      </c>
      <c r="AJ26" s="25">
        <f>'Assumptions'!$F$27</f>
        <v>0</v>
      </c>
      <c r="AK26" s="25">
        <f>'Assumptions'!$F$27</f>
        <v>0</v>
      </c>
      <c r="AL26" s="25">
        <f>'Assumptions'!$F$27</f>
        <v>0</v>
      </c>
      <c r="AN26" s="25">
        <f>AVERAGE(C26:E26)</f>
        <v>0</v>
      </c>
      <c r="AO26" s="25">
        <f>AVERAGE(F26:H26)</f>
        <v>0</v>
      </c>
      <c r="AP26" s="25">
        <f>AVERAGE(I26:K26)</f>
        <v>0</v>
      </c>
      <c r="AQ26" s="25">
        <f>AVERAGE(L26:N26)</f>
        <v>0</v>
      </c>
      <c r="AR26" s="25">
        <f>AVERAGE(O26:Q26)</f>
        <v>0</v>
      </c>
      <c r="AS26" s="25">
        <f>AVERAGE(R26:T26)</f>
        <v>0</v>
      </c>
      <c r="AT26" s="25">
        <f>AVERAGE(U26:W26)</f>
        <v>0</v>
      </c>
      <c r="AU26" s="25">
        <f>AVERAGE(X26:Z26)</f>
        <v>0</v>
      </c>
      <c r="AV26" s="25">
        <f>AVERAGE(AA26:AC26)</f>
        <v>0</v>
      </c>
      <c r="AW26" s="25">
        <f>AVERAGE(AD26:AF26)</f>
        <v>0</v>
      </c>
      <c r="AX26" s="25">
        <f>AVERAGE(AG26:AI26)</f>
        <v>0</v>
      </c>
      <c r="AY26" s="25">
        <f>AVERAGE(AJ26:AL26)</f>
        <v>0</v>
      </c>
      <c r="BA26" s="25">
        <f>AVERAGE(C26:N26)</f>
        <v>0</v>
      </c>
      <c r="BB26" s="25">
        <f>AVERAGE(O26:Z26)</f>
        <v>0</v>
      </c>
      <c r="BC26" s="25">
        <f>AVERAGE(AA26:AL26)</f>
        <v>0</v>
      </c>
    </row>
    <row r="27" spans="1:55">
      <c r="A27" s="18" t="s">
        <v>227</v>
      </c>
      <c r="B27" s="16" t="s">
        <v>228</v>
      </c>
      <c r="C27" s="27">
        <f>C25*C26</f>
        <v>0</v>
      </c>
      <c r="D27" s="27">
        <f>D25*D26</f>
        <v>0</v>
      </c>
      <c r="E27" s="27">
        <f>E25*E26</f>
        <v>0</v>
      </c>
      <c r="F27" s="27">
        <f>F25*F26</f>
        <v>0</v>
      </c>
      <c r="G27" s="27">
        <f>G25*G26</f>
        <v>0</v>
      </c>
      <c r="H27" s="27">
        <f>H25*H26</f>
        <v>0</v>
      </c>
      <c r="I27" s="27">
        <f>I25*I26</f>
        <v>0</v>
      </c>
      <c r="J27" s="27">
        <f>J25*J26</f>
        <v>0</v>
      </c>
      <c r="K27" s="27">
        <f>K25*K26</f>
        <v>0</v>
      </c>
      <c r="L27" s="27">
        <f>L25*L26</f>
        <v>0</v>
      </c>
      <c r="M27" s="27">
        <f>M25*M26</f>
        <v>0</v>
      </c>
      <c r="N27" s="27">
        <f>N25*N26</f>
        <v>0</v>
      </c>
      <c r="O27" s="27">
        <f>O25*O26</f>
        <v>0</v>
      </c>
      <c r="P27" s="27">
        <f>P25*P26</f>
        <v>0</v>
      </c>
      <c r="Q27" s="27">
        <f>Q25*Q26</f>
        <v>0</v>
      </c>
      <c r="R27" s="27">
        <f>R25*R26</f>
        <v>0</v>
      </c>
      <c r="S27" s="27">
        <f>S25*S26</f>
        <v>0</v>
      </c>
      <c r="T27" s="27">
        <f>T25*T26</f>
        <v>0</v>
      </c>
      <c r="U27" s="27">
        <f>U25*U26</f>
        <v>0</v>
      </c>
      <c r="V27" s="27">
        <f>V25*V26</f>
        <v>0</v>
      </c>
      <c r="W27" s="27">
        <f>W25*W26</f>
        <v>0</v>
      </c>
      <c r="X27" s="27">
        <f>X25*X26</f>
        <v>0</v>
      </c>
      <c r="Y27" s="27">
        <f>Y25*Y26</f>
        <v>0</v>
      </c>
      <c r="Z27" s="27">
        <f>Z25*Z26</f>
        <v>0</v>
      </c>
      <c r="AA27" s="27">
        <f>AA25*AA26</f>
        <v>0</v>
      </c>
      <c r="AB27" s="27">
        <f>AB25*AB26</f>
        <v>0</v>
      </c>
      <c r="AC27" s="27">
        <f>AC25*AC26</f>
        <v>0</v>
      </c>
      <c r="AD27" s="27">
        <f>AD25*AD26</f>
        <v>0</v>
      </c>
      <c r="AE27" s="27">
        <f>AE25*AE26</f>
        <v>0</v>
      </c>
      <c r="AF27" s="27">
        <f>AF25*AF26</f>
        <v>0</v>
      </c>
      <c r="AG27" s="27">
        <f>AG25*AG26</f>
        <v>0</v>
      </c>
      <c r="AH27" s="27">
        <f>AH25*AH26</f>
        <v>0</v>
      </c>
      <c r="AI27" s="27">
        <f>AI25*AI26</f>
        <v>0</v>
      </c>
      <c r="AJ27" s="27">
        <f>AJ25*AJ26</f>
        <v>0</v>
      </c>
      <c r="AK27" s="27">
        <f>AK25*AK26</f>
        <v>0</v>
      </c>
      <c r="AL27" s="27">
        <f>AL25*AL26</f>
        <v>0</v>
      </c>
      <c r="AN27" s="27">
        <f>SUM(C27:E27)</f>
        <v>0</v>
      </c>
      <c r="AO27" s="27">
        <f>SUM(F27:H27)</f>
        <v>0</v>
      </c>
      <c r="AP27" s="27">
        <f>SUM(I27:K27)</f>
        <v>0</v>
      </c>
      <c r="AQ27" s="27">
        <f>SUM(L27:N27)</f>
        <v>0</v>
      </c>
      <c r="AR27" s="27">
        <f>SUM(O27:Q27)</f>
        <v>0</v>
      </c>
      <c r="AS27" s="27">
        <f>SUM(R27:T27)</f>
        <v>0</v>
      </c>
      <c r="AT27" s="27">
        <f>SUM(U27:W27)</f>
        <v>0</v>
      </c>
      <c r="AU27" s="27">
        <f>SUM(X27:Z27)</f>
        <v>0</v>
      </c>
      <c r="AV27" s="27">
        <f>SUM(AA27:AC27)</f>
        <v>0</v>
      </c>
      <c r="AW27" s="27">
        <f>SUM(AD27:AF27)</f>
        <v>0</v>
      </c>
      <c r="AX27" s="27">
        <f>SUM(AG27:AI27)</f>
        <v>0</v>
      </c>
      <c r="AY27" s="27">
        <f>SUM(AJ27:AL27)</f>
        <v>0</v>
      </c>
      <c r="BA27" s="27">
        <f>SUM(C27:N27)</f>
        <v>0</v>
      </c>
      <c r="BB27" s="27">
        <f>SUM(O27:Z27)</f>
        <v>0</v>
      </c>
      <c r="BC27" s="27">
        <f>SUM(AA27:AL27)</f>
        <v>0</v>
      </c>
    </row>
    <row r="28" spans="1:55">
      <c r="A28" s="28" t="s">
        <v>229</v>
      </c>
      <c r="B28" s="16" t="s">
        <v>230</v>
      </c>
      <c r="C28" s="27">
        <f>C24+C27</f>
        <v>0</v>
      </c>
      <c r="D28" s="27">
        <f>D24+D27</f>
        <v>0</v>
      </c>
      <c r="E28" s="27">
        <f>E24+E27</f>
        <v>0</v>
      </c>
      <c r="F28" s="27">
        <f>F24+F27</f>
        <v>0</v>
      </c>
      <c r="G28" s="27">
        <f>G24+G27</f>
        <v>0</v>
      </c>
      <c r="H28" s="27">
        <f>H24+H27</f>
        <v>0</v>
      </c>
      <c r="I28" s="27">
        <f>I24+I27</f>
        <v>0</v>
      </c>
      <c r="J28" s="27">
        <f>J24+J27</f>
        <v>0</v>
      </c>
      <c r="K28" s="27">
        <f>K24+K27</f>
        <v>0</v>
      </c>
      <c r="L28" s="27">
        <f>L24+L27</f>
        <v>0</v>
      </c>
      <c r="M28" s="27">
        <f>M24+M27</f>
        <v>0</v>
      </c>
      <c r="N28" s="27">
        <f>N24+N27</f>
        <v>0</v>
      </c>
      <c r="O28" s="27">
        <f>O24+O27</f>
        <v>0</v>
      </c>
      <c r="P28" s="27">
        <f>P24+P27</f>
        <v>0</v>
      </c>
      <c r="Q28" s="27">
        <f>Q24+Q27</f>
        <v>0</v>
      </c>
      <c r="R28" s="27">
        <f>R24+R27</f>
        <v>0</v>
      </c>
      <c r="S28" s="27">
        <f>S24+S27</f>
        <v>0</v>
      </c>
      <c r="T28" s="27">
        <f>T24+T27</f>
        <v>0</v>
      </c>
      <c r="U28" s="27">
        <f>U24+U27</f>
        <v>0</v>
      </c>
      <c r="V28" s="27">
        <f>V24+V27</f>
        <v>0</v>
      </c>
      <c r="W28" s="27">
        <f>W24+W27</f>
        <v>0</v>
      </c>
      <c r="X28" s="27">
        <f>X24+X27</f>
        <v>0</v>
      </c>
      <c r="Y28" s="27">
        <f>Y24+Y27</f>
        <v>0</v>
      </c>
      <c r="Z28" s="27">
        <f>Z24+Z27</f>
        <v>0</v>
      </c>
      <c r="AA28" s="27">
        <f>AA24+AA27</f>
        <v>0</v>
      </c>
      <c r="AB28" s="27">
        <f>AB24+AB27</f>
        <v>0</v>
      </c>
      <c r="AC28" s="27">
        <f>AC24+AC27</f>
        <v>0</v>
      </c>
      <c r="AD28" s="27">
        <f>AD24+AD27</f>
        <v>0</v>
      </c>
      <c r="AE28" s="27">
        <f>AE24+AE27</f>
        <v>0</v>
      </c>
      <c r="AF28" s="27">
        <f>AF24+AF27</f>
        <v>0</v>
      </c>
      <c r="AG28" s="27">
        <f>AG24+AG27</f>
        <v>0</v>
      </c>
      <c r="AH28" s="27">
        <f>AH24+AH27</f>
        <v>0</v>
      </c>
      <c r="AI28" s="27">
        <f>AI24+AI27</f>
        <v>0</v>
      </c>
      <c r="AJ28" s="27">
        <f>AJ24+AJ27</f>
        <v>0</v>
      </c>
      <c r="AK28" s="27">
        <f>AK24+AK27</f>
        <v>0</v>
      </c>
      <c r="AL28" s="27">
        <f>AL24+AL27</f>
        <v>0</v>
      </c>
      <c r="AN28" s="27">
        <f>E28</f>
        <v>0</v>
      </c>
      <c r="AO28" s="27">
        <f>H28</f>
        <v>0</v>
      </c>
      <c r="AP28" s="27">
        <f>K28</f>
        <v>0</v>
      </c>
      <c r="AQ28" s="27">
        <f>N28</f>
        <v>0</v>
      </c>
      <c r="AR28" s="27">
        <f>Q28</f>
        <v>0</v>
      </c>
      <c r="AS28" s="27">
        <f>T28</f>
        <v>0</v>
      </c>
      <c r="AT28" s="27">
        <f>W28</f>
        <v>0</v>
      </c>
      <c r="AU28" s="27">
        <f>Z28</f>
        <v>0</v>
      </c>
      <c r="AV28" s="27">
        <f>AC28</f>
        <v>0</v>
      </c>
      <c r="AW28" s="27">
        <f>AF28</f>
        <v>0</v>
      </c>
      <c r="AX28" s="27">
        <f>AI28</f>
        <v>0</v>
      </c>
      <c r="AY28" s="27">
        <f>AL28</f>
        <v>0</v>
      </c>
      <c r="BA28" s="27">
        <f>N28</f>
        <v>0</v>
      </c>
      <c r="BB28" s="27">
        <f>Z28</f>
        <v>0</v>
      </c>
      <c r="BC28" s="27">
        <f>AL28</f>
        <v>0</v>
      </c>
    </row>
    <row r="29" spans="1:55" ht="5" customHeight="1"/>
    <row r="30" spans="1:55" ht="16" customHeight="1">
      <c r="A30" s="14" t="s">
        <v>231</v>
      </c>
      <c r="B30" s="14"/>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row>
    <row r="31" spans="1:55">
      <c r="A31" s="18" t="s">
        <v>232</v>
      </c>
      <c r="B31" s="16" t="s">
        <v>233</v>
      </c>
      <c r="C31" s="25">
        <f>'Assumptions'!$F$31</f>
        <v>0</v>
      </c>
      <c r="D31" s="25">
        <f>MIN(0.50,MAX(0.05,C31+'Assumptions'!$F$32))</f>
        <v>0</v>
      </c>
      <c r="E31" s="25">
        <f>MIN(0.50,MAX(0.05,D31+'Assumptions'!$F$32))</f>
        <v>0</v>
      </c>
      <c r="F31" s="25">
        <f>MIN(0.50,MAX(0.05,E31+'Assumptions'!$F$32))</f>
        <v>0</v>
      </c>
      <c r="G31" s="25">
        <f>MIN(0.50,MAX(0.05,F31+'Assumptions'!$F$32))</f>
        <v>0</v>
      </c>
      <c r="H31" s="25">
        <f>MIN(0.50,MAX(0.05,G31+'Assumptions'!$F$32))</f>
        <v>0</v>
      </c>
      <c r="I31" s="25">
        <f>MIN(0.50,MAX(0.05,H31+'Assumptions'!$F$32))</f>
        <v>0</v>
      </c>
      <c r="J31" s="25">
        <f>MIN(0.50,MAX(0.05,I31+'Assumptions'!$F$32))</f>
        <v>0</v>
      </c>
      <c r="K31" s="25">
        <f>MIN(0.50,MAX(0.05,J31+'Assumptions'!$F$32))</f>
        <v>0</v>
      </c>
      <c r="L31" s="25">
        <f>MIN(0.50,MAX(0.05,K31+'Assumptions'!$F$32))</f>
        <v>0</v>
      </c>
      <c r="M31" s="25">
        <f>MIN(0.50,MAX(0.05,L31+'Assumptions'!$F$32))</f>
        <v>0</v>
      </c>
      <c r="N31" s="25">
        <f>MIN(0.50,MAX(0.05,M31+'Assumptions'!$F$32))</f>
        <v>0</v>
      </c>
      <c r="O31" s="25">
        <f>MIN(0.50,MAX(0.05,N31+'Assumptions'!$F$32))</f>
        <v>0</v>
      </c>
      <c r="P31" s="25">
        <f>MIN(0.50,MAX(0.05,O31+'Assumptions'!$F$32))</f>
        <v>0</v>
      </c>
      <c r="Q31" s="25">
        <f>MIN(0.50,MAX(0.05,P31+'Assumptions'!$F$32))</f>
        <v>0</v>
      </c>
      <c r="R31" s="25">
        <f>MIN(0.50,MAX(0.05,Q31+'Assumptions'!$F$32))</f>
        <v>0</v>
      </c>
      <c r="S31" s="25">
        <f>MIN(0.50,MAX(0.05,R31+'Assumptions'!$F$32))</f>
        <v>0</v>
      </c>
      <c r="T31" s="25">
        <f>MIN(0.50,MAX(0.05,S31+'Assumptions'!$F$32))</f>
        <v>0</v>
      </c>
      <c r="U31" s="25">
        <f>MIN(0.50,MAX(0.05,T31+'Assumptions'!$F$32))</f>
        <v>0</v>
      </c>
      <c r="V31" s="25">
        <f>MIN(0.50,MAX(0.05,U31+'Assumptions'!$F$32))</f>
        <v>0</v>
      </c>
      <c r="W31" s="25">
        <f>MIN(0.50,MAX(0.05,V31+'Assumptions'!$F$32))</f>
        <v>0</v>
      </c>
      <c r="X31" s="25">
        <f>MIN(0.50,MAX(0.05,W31+'Assumptions'!$F$32))</f>
        <v>0</v>
      </c>
      <c r="Y31" s="25">
        <f>MIN(0.50,MAX(0.05,X31+'Assumptions'!$F$32))</f>
        <v>0</v>
      </c>
      <c r="Z31" s="25">
        <f>MIN(0.50,MAX(0.05,Y31+'Assumptions'!$F$32))</f>
        <v>0</v>
      </c>
      <c r="AA31" s="25">
        <f>MIN(0.50,MAX(0.05,Z31+'Assumptions'!$F$32))</f>
        <v>0</v>
      </c>
      <c r="AB31" s="25">
        <f>MIN(0.50,MAX(0.05,AA31+'Assumptions'!$F$32))</f>
        <v>0</v>
      </c>
      <c r="AC31" s="25">
        <f>MIN(0.50,MAX(0.05,AB31+'Assumptions'!$F$32))</f>
        <v>0</v>
      </c>
      <c r="AD31" s="25">
        <f>MIN(0.50,MAX(0.05,AC31+'Assumptions'!$F$32))</f>
        <v>0</v>
      </c>
      <c r="AE31" s="25">
        <f>MIN(0.50,MAX(0.05,AD31+'Assumptions'!$F$32))</f>
        <v>0</v>
      </c>
      <c r="AF31" s="25">
        <f>MIN(0.50,MAX(0.05,AE31+'Assumptions'!$F$32))</f>
        <v>0</v>
      </c>
      <c r="AG31" s="25">
        <f>MIN(0.50,MAX(0.05,AF31+'Assumptions'!$F$32))</f>
        <v>0</v>
      </c>
      <c r="AH31" s="25">
        <f>MIN(0.50,MAX(0.05,AG31+'Assumptions'!$F$32))</f>
        <v>0</v>
      </c>
      <c r="AI31" s="25">
        <f>MIN(0.50,MAX(0.05,AH31+'Assumptions'!$F$32))</f>
        <v>0</v>
      </c>
      <c r="AJ31" s="25">
        <f>MIN(0.50,MAX(0.05,AI31+'Assumptions'!$F$32))</f>
        <v>0</v>
      </c>
      <c r="AK31" s="25">
        <f>MIN(0.50,MAX(0.05,AJ31+'Assumptions'!$F$32))</f>
        <v>0</v>
      </c>
      <c r="AL31" s="25">
        <f>MIN(0.50,MAX(0.05,AK31+'Assumptions'!$F$32))</f>
        <v>0</v>
      </c>
      <c r="AN31" s="25">
        <f>AVERAGE(C31:E31)</f>
        <v>0</v>
      </c>
      <c r="AO31" s="25">
        <f>AVERAGE(F31:H31)</f>
        <v>0</v>
      </c>
      <c r="AP31" s="25">
        <f>AVERAGE(I31:K31)</f>
        <v>0</v>
      </c>
      <c r="AQ31" s="25">
        <f>AVERAGE(L31:N31)</f>
        <v>0</v>
      </c>
      <c r="AR31" s="25">
        <f>AVERAGE(O31:Q31)</f>
        <v>0</v>
      </c>
      <c r="AS31" s="25">
        <f>AVERAGE(R31:T31)</f>
        <v>0</v>
      </c>
      <c r="AT31" s="25">
        <f>AVERAGE(U31:W31)</f>
        <v>0</v>
      </c>
      <c r="AU31" s="25">
        <f>AVERAGE(X31:Z31)</f>
        <v>0</v>
      </c>
      <c r="AV31" s="25">
        <f>AVERAGE(AA31:AC31)</f>
        <v>0</v>
      </c>
      <c r="AW31" s="25">
        <f>AVERAGE(AD31:AF31)</f>
        <v>0</v>
      </c>
      <c r="AX31" s="25">
        <f>AVERAGE(AG31:AI31)</f>
        <v>0</v>
      </c>
      <c r="AY31" s="25">
        <f>AVERAGE(AJ31:AL31)</f>
        <v>0</v>
      </c>
      <c r="BA31" s="25">
        <f>AVERAGE(C31:N31)</f>
        <v>0</v>
      </c>
      <c r="BB31" s="25">
        <f>AVERAGE(O31:Z31)</f>
        <v>0</v>
      </c>
      <c r="BC31" s="25">
        <f>AVERAGE(AA31:AL31)</f>
        <v>0</v>
      </c>
    </row>
    <row r="32" spans="1:55">
      <c r="A32" s="18" t="s">
        <v>234</v>
      </c>
      <c r="B32" s="16" t="s">
        <v>235</v>
      </c>
      <c r="C32" s="30">
        <f>'Assumptions'!$F$29*(1-C31)+'Assumptions'!$F$30*C31</f>
        <v>0</v>
      </c>
      <c r="D32" s="30">
        <f>'Assumptions'!$F$29*(1-D31)+'Assumptions'!$F$30*D31</f>
        <v>0</v>
      </c>
      <c r="E32" s="30">
        <f>'Assumptions'!$F$29*(1-E31)+'Assumptions'!$F$30*E31</f>
        <v>0</v>
      </c>
      <c r="F32" s="30">
        <f>'Assumptions'!$F$29*(1-F31)+'Assumptions'!$F$30*F31</f>
        <v>0</v>
      </c>
      <c r="G32" s="30">
        <f>'Assumptions'!$F$29*(1-G31)+'Assumptions'!$F$30*G31</f>
        <v>0</v>
      </c>
      <c r="H32" s="30">
        <f>'Assumptions'!$F$29*(1-H31)+'Assumptions'!$F$30*H31</f>
        <v>0</v>
      </c>
      <c r="I32" s="30">
        <f>'Assumptions'!$F$29*(1-I31)+'Assumptions'!$F$30*I31</f>
        <v>0</v>
      </c>
      <c r="J32" s="30">
        <f>'Assumptions'!$F$29*(1-J31)+'Assumptions'!$F$30*J31</f>
        <v>0</v>
      </c>
      <c r="K32" s="30">
        <f>'Assumptions'!$F$29*(1-K31)+'Assumptions'!$F$30*K31</f>
        <v>0</v>
      </c>
      <c r="L32" s="30">
        <f>'Assumptions'!$F$29*(1-L31)+'Assumptions'!$F$30*L31</f>
        <v>0</v>
      </c>
      <c r="M32" s="30">
        <f>'Assumptions'!$F$29*(1-M31)+'Assumptions'!$F$30*M31</f>
        <v>0</v>
      </c>
      <c r="N32" s="30">
        <f>'Assumptions'!$F$29*(1-N31)+'Assumptions'!$F$30*N31</f>
        <v>0</v>
      </c>
      <c r="O32" s="30">
        <f>'Assumptions'!$F$29*(1-O31)+'Assumptions'!$F$30*O31</f>
        <v>0</v>
      </c>
      <c r="P32" s="30">
        <f>'Assumptions'!$F$29*(1-P31)+'Assumptions'!$F$30*P31</f>
        <v>0</v>
      </c>
      <c r="Q32" s="30">
        <f>'Assumptions'!$F$29*(1-Q31)+'Assumptions'!$F$30*Q31</f>
        <v>0</v>
      </c>
      <c r="R32" s="30">
        <f>'Assumptions'!$F$29*(1-R31)+'Assumptions'!$F$30*R31</f>
        <v>0</v>
      </c>
      <c r="S32" s="30">
        <f>'Assumptions'!$F$29*(1-S31)+'Assumptions'!$F$30*S31</f>
        <v>0</v>
      </c>
      <c r="T32" s="30">
        <f>'Assumptions'!$F$29*(1-T31)+'Assumptions'!$F$30*T31</f>
        <v>0</v>
      </c>
      <c r="U32" s="30">
        <f>'Assumptions'!$F$29*(1-U31)+'Assumptions'!$F$30*U31</f>
        <v>0</v>
      </c>
      <c r="V32" s="30">
        <f>'Assumptions'!$F$29*(1-V31)+'Assumptions'!$F$30*V31</f>
        <v>0</v>
      </c>
      <c r="W32" s="30">
        <f>'Assumptions'!$F$29*(1-W31)+'Assumptions'!$F$30*W31</f>
        <v>0</v>
      </c>
      <c r="X32" s="30">
        <f>'Assumptions'!$F$29*(1-X31)+'Assumptions'!$F$30*X31</f>
        <v>0</v>
      </c>
      <c r="Y32" s="30">
        <f>'Assumptions'!$F$29*(1-Y31)+'Assumptions'!$F$30*Y31</f>
        <v>0</v>
      </c>
      <c r="Z32" s="30">
        <f>'Assumptions'!$F$29*(1-Z31)+'Assumptions'!$F$30*Z31</f>
        <v>0</v>
      </c>
      <c r="AA32" s="30">
        <f>'Assumptions'!$F$29*(1-AA31)+'Assumptions'!$F$30*AA31</f>
        <v>0</v>
      </c>
      <c r="AB32" s="30">
        <f>'Assumptions'!$F$29*(1-AB31)+'Assumptions'!$F$30*AB31</f>
        <v>0</v>
      </c>
      <c r="AC32" s="30">
        <f>'Assumptions'!$F$29*(1-AC31)+'Assumptions'!$F$30*AC31</f>
        <v>0</v>
      </c>
      <c r="AD32" s="30">
        <f>'Assumptions'!$F$29*(1-AD31)+'Assumptions'!$F$30*AD31</f>
        <v>0</v>
      </c>
      <c r="AE32" s="30">
        <f>'Assumptions'!$F$29*(1-AE31)+'Assumptions'!$F$30*AE31</f>
        <v>0</v>
      </c>
      <c r="AF32" s="30">
        <f>'Assumptions'!$F$29*(1-AF31)+'Assumptions'!$F$30*AF31</f>
        <v>0</v>
      </c>
      <c r="AG32" s="30">
        <f>'Assumptions'!$F$29*(1-AG31)+'Assumptions'!$F$30*AG31</f>
        <v>0</v>
      </c>
      <c r="AH32" s="30">
        <f>'Assumptions'!$F$29*(1-AH31)+'Assumptions'!$F$30*AH31</f>
        <v>0</v>
      </c>
      <c r="AI32" s="30">
        <f>'Assumptions'!$F$29*(1-AI31)+'Assumptions'!$F$30*AI31</f>
        <v>0</v>
      </c>
      <c r="AJ32" s="30">
        <f>'Assumptions'!$F$29*(1-AJ31)+'Assumptions'!$F$30*AJ31</f>
        <v>0</v>
      </c>
      <c r="AK32" s="30">
        <f>'Assumptions'!$F$29*(1-AK31)+'Assumptions'!$F$30*AK31</f>
        <v>0</v>
      </c>
      <c r="AL32" s="30">
        <f>'Assumptions'!$F$29*(1-AL31)+'Assumptions'!$F$30*AL31</f>
        <v>0</v>
      </c>
      <c r="AN32" s="30">
        <f>AVERAGE(C32:E32)</f>
        <v>0</v>
      </c>
      <c r="AO32" s="30">
        <f>AVERAGE(F32:H32)</f>
        <v>0</v>
      </c>
      <c r="AP32" s="30">
        <f>AVERAGE(I32:K32)</f>
        <v>0</v>
      </c>
      <c r="AQ32" s="30">
        <f>AVERAGE(L32:N32)</f>
        <v>0</v>
      </c>
      <c r="AR32" s="30">
        <f>AVERAGE(O32:Q32)</f>
        <v>0</v>
      </c>
      <c r="AS32" s="30">
        <f>AVERAGE(R32:T32)</f>
        <v>0</v>
      </c>
      <c r="AT32" s="30">
        <f>AVERAGE(U32:W32)</f>
        <v>0</v>
      </c>
      <c r="AU32" s="30">
        <f>AVERAGE(X32:Z32)</f>
        <v>0</v>
      </c>
      <c r="AV32" s="30">
        <f>AVERAGE(AA32:AC32)</f>
        <v>0</v>
      </c>
      <c r="AW32" s="30">
        <f>AVERAGE(AD32:AF32)</f>
        <v>0</v>
      </c>
      <c r="AX32" s="30">
        <f>AVERAGE(AG32:AI32)</f>
        <v>0</v>
      </c>
      <c r="AY32" s="30">
        <f>AVERAGE(AJ32:AL32)</f>
        <v>0</v>
      </c>
      <c r="BA32" s="30">
        <f>AVERAGE(C32:N32)</f>
        <v>0</v>
      </c>
      <c r="BB32" s="30">
        <f>AVERAGE(O32:Z32)</f>
        <v>0</v>
      </c>
      <c r="BC32" s="30">
        <f>AVERAGE(AA32:AL32)</f>
        <v>0</v>
      </c>
    </row>
    <row r="33" spans="1:55">
      <c r="A33" s="18" t="s">
        <v>236</v>
      </c>
      <c r="B33" s="16" t="s">
        <v>237</v>
      </c>
      <c r="C33" s="20">
        <f>C28*C32</f>
        <v>0</v>
      </c>
      <c r="D33" s="20">
        <f>D28*D32</f>
        <v>0</v>
      </c>
      <c r="E33" s="20">
        <f>E28*E32</f>
        <v>0</v>
      </c>
      <c r="F33" s="20">
        <f>F28*F32</f>
        <v>0</v>
      </c>
      <c r="G33" s="20">
        <f>G28*G32</f>
        <v>0</v>
      </c>
      <c r="H33" s="20">
        <f>H28*H32</f>
        <v>0</v>
      </c>
      <c r="I33" s="20">
        <f>I28*I32</f>
        <v>0</v>
      </c>
      <c r="J33" s="20">
        <f>J28*J32</f>
        <v>0</v>
      </c>
      <c r="K33" s="20">
        <f>K28*K32</f>
        <v>0</v>
      </c>
      <c r="L33" s="20">
        <f>L28*L32</f>
        <v>0</v>
      </c>
      <c r="M33" s="20">
        <f>M28*M32</f>
        <v>0</v>
      </c>
      <c r="N33" s="20">
        <f>N28*N32</f>
        <v>0</v>
      </c>
      <c r="O33" s="20">
        <f>O28*O32</f>
        <v>0</v>
      </c>
      <c r="P33" s="20">
        <f>P28*P32</f>
        <v>0</v>
      </c>
      <c r="Q33" s="20">
        <f>Q28*Q32</f>
        <v>0</v>
      </c>
      <c r="R33" s="20">
        <f>R28*R32</f>
        <v>0</v>
      </c>
      <c r="S33" s="20">
        <f>S28*S32</f>
        <v>0</v>
      </c>
      <c r="T33" s="20">
        <f>T28*T32</f>
        <v>0</v>
      </c>
      <c r="U33" s="20">
        <f>U28*U32</f>
        <v>0</v>
      </c>
      <c r="V33" s="20">
        <f>V28*V32</f>
        <v>0</v>
      </c>
      <c r="W33" s="20">
        <f>W28*W32</f>
        <v>0</v>
      </c>
      <c r="X33" s="20">
        <f>X28*X32</f>
        <v>0</v>
      </c>
      <c r="Y33" s="20">
        <f>Y28*Y32</f>
        <v>0</v>
      </c>
      <c r="Z33" s="20">
        <f>Z28*Z32</f>
        <v>0</v>
      </c>
      <c r="AA33" s="20">
        <f>AA28*AA32</f>
        <v>0</v>
      </c>
      <c r="AB33" s="20">
        <f>AB28*AB32</f>
        <v>0</v>
      </c>
      <c r="AC33" s="20">
        <f>AC28*AC32</f>
        <v>0</v>
      </c>
      <c r="AD33" s="20">
        <f>AD28*AD32</f>
        <v>0</v>
      </c>
      <c r="AE33" s="20">
        <f>AE28*AE32</f>
        <v>0</v>
      </c>
      <c r="AF33" s="20">
        <f>AF28*AF32</f>
        <v>0</v>
      </c>
      <c r="AG33" s="20">
        <f>AG28*AG32</f>
        <v>0</v>
      </c>
      <c r="AH33" s="20">
        <f>AH28*AH32</f>
        <v>0</v>
      </c>
      <c r="AI33" s="20">
        <f>AI28*AI32</f>
        <v>0</v>
      </c>
      <c r="AJ33" s="20">
        <f>AJ28*AJ32</f>
        <v>0</v>
      </c>
      <c r="AK33" s="20">
        <f>AK28*AK32</f>
        <v>0</v>
      </c>
      <c r="AL33" s="20">
        <f>AL28*AL32</f>
        <v>0</v>
      </c>
      <c r="AN33" s="20">
        <f>SUM(C33:E33)</f>
        <v>0</v>
      </c>
      <c r="AO33" s="20">
        <f>SUM(F33:H33)</f>
        <v>0</v>
      </c>
      <c r="AP33" s="20">
        <f>SUM(I33:K33)</f>
        <v>0</v>
      </c>
      <c r="AQ33" s="20">
        <f>SUM(L33:N33)</f>
        <v>0</v>
      </c>
      <c r="AR33" s="20">
        <f>SUM(O33:Q33)</f>
        <v>0</v>
      </c>
      <c r="AS33" s="20">
        <f>SUM(R33:T33)</f>
        <v>0</v>
      </c>
      <c r="AT33" s="20">
        <f>SUM(U33:W33)</f>
        <v>0</v>
      </c>
      <c r="AU33" s="20">
        <f>SUM(X33:Z33)</f>
        <v>0</v>
      </c>
      <c r="AV33" s="20">
        <f>SUM(AA33:AC33)</f>
        <v>0</v>
      </c>
      <c r="AW33" s="20">
        <f>SUM(AD33:AF33)</f>
        <v>0</v>
      </c>
      <c r="AX33" s="20">
        <f>SUM(AG33:AI33)</f>
        <v>0</v>
      </c>
      <c r="AY33" s="20">
        <f>SUM(AJ33:AL33)</f>
        <v>0</v>
      </c>
      <c r="BA33" s="20">
        <f>SUM(C33:N33)</f>
        <v>0</v>
      </c>
      <c r="BB33" s="20">
        <f>SUM(O33:Z33)</f>
        <v>0</v>
      </c>
      <c r="BC33" s="20">
        <f>SUM(AA33:AL33)</f>
        <v>0</v>
      </c>
    </row>
    <row r="34" spans="1:55">
      <c r="A34" s="18" t="s">
        <v>238</v>
      </c>
      <c r="B34" s="16" t="s">
        <v>239</v>
      </c>
      <c r="C34" s="20">
        <f>C33*12</f>
        <v>0</v>
      </c>
      <c r="D34" s="20">
        <f>D33*12</f>
        <v>0</v>
      </c>
      <c r="E34" s="20">
        <f>E33*12</f>
        <v>0</v>
      </c>
      <c r="F34" s="20">
        <f>F33*12</f>
        <v>0</v>
      </c>
      <c r="G34" s="20">
        <f>G33*12</f>
        <v>0</v>
      </c>
      <c r="H34" s="20">
        <f>H33*12</f>
        <v>0</v>
      </c>
      <c r="I34" s="20">
        <f>I33*12</f>
        <v>0</v>
      </c>
      <c r="J34" s="20">
        <f>J33*12</f>
        <v>0</v>
      </c>
      <c r="K34" s="20">
        <f>K33*12</f>
        <v>0</v>
      </c>
      <c r="L34" s="20">
        <f>L33*12</f>
        <v>0</v>
      </c>
      <c r="M34" s="20">
        <f>M33*12</f>
        <v>0</v>
      </c>
      <c r="N34" s="20">
        <f>N33*12</f>
        <v>0</v>
      </c>
      <c r="O34" s="20">
        <f>O33*12</f>
        <v>0</v>
      </c>
      <c r="P34" s="20">
        <f>P33*12</f>
        <v>0</v>
      </c>
      <c r="Q34" s="20">
        <f>Q33*12</f>
        <v>0</v>
      </c>
      <c r="R34" s="20">
        <f>R33*12</f>
        <v>0</v>
      </c>
      <c r="S34" s="20">
        <f>S33*12</f>
        <v>0</v>
      </c>
      <c r="T34" s="20">
        <f>T33*12</f>
        <v>0</v>
      </c>
      <c r="U34" s="20">
        <f>U33*12</f>
        <v>0</v>
      </c>
      <c r="V34" s="20">
        <f>V33*12</f>
        <v>0</v>
      </c>
      <c r="W34" s="20">
        <f>W33*12</f>
        <v>0</v>
      </c>
      <c r="X34" s="20">
        <f>X33*12</f>
        <v>0</v>
      </c>
      <c r="Y34" s="20">
        <f>Y33*12</f>
        <v>0</v>
      </c>
      <c r="Z34" s="20">
        <f>Z33*12</f>
        <v>0</v>
      </c>
      <c r="AA34" s="20">
        <f>AA33*12</f>
        <v>0</v>
      </c>
      <c r="AB34" s="20">
        <f>AB33*12</f>
        <v>0</v>
      </c>
      <c r="AC34" s="20">
        <f>AC33*12</f>
        <v>0</v>
      </c>
      <c r="AD34" s="20">
        <f>AD33*12</f>
        <v>0</v>
      </c>
      <c r="AE34" s="20">
        <f>AE33*12</f>
        <v>0</v>
      </c>
      <c r="AF34" s="20">
        <f>AF33*12</f>
        <v>0</v>
      </c>
      <c r="AG34" s="20">
        <f>AG33*12</f>
        <v>0</v>
      </c>
      <c r="AH34" s="20">
        <f>AH33*12</f>
        <v>0</v>
      </c>
      <c r="AI34" s="20">
        <f>AI33*12</f>
        <v>0</v>
      </c>
      <c r="AJ34" s="20">
        <f>AJ33*12</f>
        <v>0</v>
      </c>
      <c r="AK34" s="20">
        <f>AK33*12</f>
        <v>0</v>
      </c>
      <c r="AL34" s="20">
        <f>AL33*12</f>
        <v>0</v>
      </c>
      <c r="AN34" s="20">
        <f>E34</f>
        <v>0</v>
      </c>
      <c r="AO34" s="20">
        <f>H34</f>
        <v>0</v>
      </c>
      <c r="AP34" s="20">
        <f>K34</f>
        <v>0</v>
      </c>
      <c r="AQ34" s="20">
        <f>N34</f>
        <v>0</v>
      </c>
      <c r="AR34" s="20">
        <f>Q34</f>
        <v>0</v>
      </c>
      <c r="AS34" s="20">
        <f>T34</f>
        <v>0</v>
      </c>
      <c r="AT34" s="20">
        <f>W34</f>
        <v>0</v>
      </c>
      <c r="AU34" s="20">
        <f>Z34</f>
        <v>0</v>
      </c>
      <c r="AV34" s="20">
        <f>AC34</f>
        <v>0</v>
      </c>
      <c r="AW34" s="20">
        <f>AF34</f>
        <v>0</v>
      </c>
      <c r="AX34" s="20">
        <f>AI34</f>
        <v>0</v>
      </c>
      <c r="AY34" s="20">
        <f>AL34</f>
        <v>0</v>
      </c>
      <c r="BA34" s="20">
        <f>N34</f>
        <v>0</v>
      </c>
      <c r="BB34" s="20">
        <f>Z34</f>
        <v>0</v>
      </c>
      <c r="BC34" s="20">
        <f>AL34</f>
        <v>0</v>
      </c>
    </row>
    <row r="35" spans="1:55">
      <c r="A35" s="31" t="s">
        <v>240</v>
      </c>
      <c r="B35" s="16" t="s">
        <v>241</v>
      </c>
      <c r="C35" s="32">
        <f>C33</f>
        <v>0</v>
      </c>
      <c r="D35" s="32">
        <f>D33</f>
        <v>0</v>
      </c>
      <c r="E35" s="32">
        <f>E33</f>
        <v>0</v>
      </c>
      <c r="F35" s="32">
        <f>F33</f>
        <v>0</v>
      </c>
      <c r="G35" s="32">
        <f>G33</f>
        <v>0</v>
      </c>
      <c r="H35" s="32">
        <f>H33</f>
        <v>0</v>
      </c>
      <c r="I35" s="32">
        <f>I33</f>
        <v>0</v>
      </c>
      <c r="J35" s="32">
        <f>J33</f>
        <v>0</v>
      </c>
      <c r="K35" s="32">
        <f>K33</f>
        <v>0</v>
      </c>
      <c r="L35" s="32">
        <f>L33</f>
        <v>0</v>
      </c>
      <c r="M35" s="32">
        <f>M33</f>
        <v>0</v>
      </c>
      <c r="N35" s="32">
        <f>N33</f>
        <v>0</v>
      </c>
      <c r="O35" s="32">
        <f>O33</f>
        <v>0</v>
      </c>
      <c r="P35" s="32">
        <f>P33</f>
        <v>0</v>
      </c>
      <c r="Q35" s="32">
        <f>Q33</f>
        <v>0</v>
      </c>
      <c r="R35" s="32">
        <f>R33</f>
        <v>0</v>
      </c>
      <c r="S35" s="32">
        <f>S33</f>
        <v>0</v>
      </c>
      <c r="T35" s="32">
        <f>T33</f>
        <v>0</v>
      </c>
      <c r="U35" s="32">
        <f>U33</f>
        <v>0</v>
      </c>
      <c r="V35" s="32">
        <f>V33</f>
        <v>0</v>
      </c>
      <c r="W35" s="32">
        <f>W33</f>
        <v>0</v>
      </c>
      <c r="X35" s="32">
        <f>X33</f>
        <v>0</v>
      </c>
      <c r="Y35" s="32">
        <f>Y33</f>
        <v>0</v>
      </c>
      <c r="Z35" s="32">
        <f>Z33</f>
        <v>0</v>
      </c>
      <c r="AA35" s="32">
        <f>AA33</f>
        <v>0</v>
      </c>
      <c r="AB35" s="32">
        <f>AB33</f>
        <v>0</v>
      </c>
      <c r="AC35" s="32">
        <f>AC33</f>
        <v>0</v>
      </c>
      <c r="AD35" s="32">
        <f>AD33</f>
        <v>0</v>
      </c>
      <c r="AE35" s="32">
        <f>AE33</f>
        <v>0</v>
      </c>
      <c r="AF35" s="32">
        <f>AF33</f>
        <v>0</v>
      </c>
      <c r="AG35" s="32">
        <f>AG33</f>
        <v>0</v>
      </c>
      <c r="AH35" s="32">
        <f>AH33</f>
        <v>0</v>
      </c>
      <c r="AI35" s="32">
        <f>AI33</f>
        <v>0</v>
      </c>
      <c r="AJ35" s="32">
        <f>AJ33</f>
        <v>0</v>
      </c>
      <c r="AK35" s="32">
        <f>AK33</f>
        <v>0</v>
      </c>
      <c r="AL35" s="32">
        <f>AL33</f>
        <v>0</v>
      </c>
      <c r="AN35" s="32">
        <f>SUM(C35:E35)</f>
        <v>0</v>
      </c>
      <c r="AO35" s="32">
        <f>SUM(F35:H35)</f>
        <v>0</v>
      </c>
      <c r="AP35" s="32">
        <f>SUM(I35:K35)</f>
        <v>0</v>
      </c>
      <c r="AQ35" s="32">
        <f>SUM(L35:N35)</f>
        <v>0</v>
      </c>
      <c r="AR35" s="32">
        <f>SUM(O35:Q35)</f>
        <v>0</v>
      </c>
      <c r="AS35" s="32">
        <f>SUM(R35:T35)</f>
        <v>0</v>
      </c>
      <c r="AT35" s="32">
        <f>SUM(U35:W35)</f>
        <v>0</v>
      </c>
      <c r="AU35" s="32">
        <f>SUM(X35:Z35)</f>
        <v>0</v>
      </c>
      <c r="AV35" s="32">
        <f>SUM(AA35:AC35)</f>
        <v>0</v>
      </c>
      <c r="AW35" s="32">
        <f>SUM(AD35:AF35)</f>
        <v>0</v>
      </c>
      <c r="AX35" s="32">
        <f>SUM(AG35:AI35)</f>
        <v>0</v>
      </c>
      <c r="AY35" s="32">
        <f>SUM(AJ35:AL35)</f>
        <v>0</v>
      </c>
      <c r="BA35" s="32">
        <f>SUM(C35:N35)</f>
        <v>0</v>
      </c>
      <c r="BB35" s="32">
        <f>SUM(O35:Z35)</f>
        <v>0</v>
      </c>
      <c r="BC35" s="32">
        <f>SUM(AA35:AL35)</f>
        <v>0</v>
      </c>
    </row>
    <row r="36" spans="1:55" ht="5" customHeight="1"/>
    <row r="37" spans="1:55" ht="16" customHeight="1">
      <c r="A37" s="14" t="s">
        <v>242</v>
      </c>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row>
    <row r="38" spans="1:55">
      <c r="A38" s="18" t="s">
        <v>243</v>
      </c>
      <c r="B38" s="16"/>
      <c r="C38" s="25">
        <f>IFERROR(C21/C18-1,0)</f>
        <v>0</v>
      </c>
      <c r="D38" s="25">
        <f>IFERROR(D21/D18-1,0)</f>
        <v>0</v>
      </c>
      <c r="E38" s="25">
        <f>IFERROR(E21/E18-1,0)</f>
        <v>0</v>
      </c>
      <c r="F38" s="25">
        <f>IFERROR(F21/F18-1,0)</f>
        <v>0</v>
      </c>
      <c r="G38" s="25">
        <f>IFERROR(G21/G18-1,0)</f>
        <v>0</v>
      </c>
      <c r="H38" s="25">
        <f>IFERROR(H21/H18-1,0)</f>
        <v>0</v>
      </c>
      <c r="I38" s="25">
        <f>IFERROR(I21/I18-1,0)</f>
        <v>0</v>
      </c>
      <c r="J38" s="25">
        <f>IFERROR(J21/J18-1,0)</f>
        <v>0</v>
      </c>
      <c r="K38" s="25">
        <f>IFERROR(K21/K18-1,0)</f>
        <v>0</v>
      </c>
      <c r="L38" s="25">
        <f>IFERROR(L21/L18-1,0)</f>
        <v>0</v>
      </c>
      <c r="M38" s="25">
        <f>IFERROR(M21/M18-1,0)</f>
        <v>0</v>
      </c>
      <c r="N38" s="25">
        <f>IFERROR(N21/N18-1,0)</f>
        <v>0</v>
      </c>
      <c r="O38" s="25">
        <f>IFERROR(O21/O18-1,0)</f>
        <v>0</v>
      </c>
      <c r="P38" s="25">
        <f>IFERROR(P21/P18-1,0)</f>
        <v>0</v>
      </c>
      <c r="Q38" s="25">
        <f>IFERROR(Q21/Q18-1,0)</f>
        <v>0</v>
      </c>
      <c r="R38" s="25">
        <f>IFERROR(R21/R18-1,0)</f>
        <v>0</v>
      </c>
      <c r="S38" s="25">
        <f>IFERROR(S21/S18-1,0)</f>
        <v>0</v>
      </c>
      <c r="T38" s="25">
        <f>IFERROR(T21/T18-1,0)</f>
        <v>0</v>
      </c>
      <c r="U38" s="25">
        <f>IFERROR(U21/U18-1,0)</f>
        <v>0</v>
      </c>
      <c r="V38" s="25">
        <f>IFERROR(V21/V18-1,0)</f>
        <v>0</v>
      </c>
      <c r="W38" s="25">
        <f>IFERROR(W21/W18-1,0)</f>
        <v>0</v>
      </c>
      <c r="X38" s="25">
        <f>IFERROR(X21/X18-1,0)</f>
        <v>0</v>
      </c>
      <c r="Y38" s="25">
        <f>IFERROR(Y21/Y18-1,0)</f>
        <v>0</v>
      </c>
      <c r="Z38" s="25">
        <f>IFERROR(Z21/Z18-1,0)</f>
        <v>0</v>
      </c>
      <c r="AA38" s="25">
        <f>IFERROR(AA21/AA18-1,0)</f>
        <v>0</v>
      </c>
      <c r="AB38" s="25">
        <f>IFERROR(AB21/AB18-1,0)</f>
        <v>0</v>
      </c>
      <c r="AC38" s="25">
        <f>IFERROR(AC21/AC18-1,0)</f>
        <v>0</v>
      </c>
      <c r="AD38" s="25">
        <f>IFERROR(AD21/AD18-1,0)</f>
        <v>0</v>
      </c>
      <c r="AE38" s="25">
        <f>IFERROR(AE21/AE18-1,0)</f>
        <v>0</v>
      </c>
      <c r="AF38" s="25">
        <f>IFERROR(AF21/AF18-1,0)</f>
        <v>0</v>
      </c>
      <c r="AG38" s="25">
        <f>IFERROR(AG21/AG18-1,0)</f>
        <v>0</v>
      </c>
      <c r="AH38" s="25">
        <f>IFERROR(AH21/AH18-1,0)</f>
        <v>0</v>
      </c>
      <c r="AI38" s="25">
        <f>IFERROR(AI21/AI18-1,0)</f>
        <v>0</v>
      </c>
      <c r="AJ38" s="25">
        <f>IFERROR(AJ21/AJ18-1,0)</f>
        <v>0</v>
      </c>
      <c r="AK38" s="25">
        <f>IFERROR(AK21/AK18-1,0)</f>
        <v>0</v>
      </c>
      <c r="AL38" s="25">
        <f>IFERROR(AL21/AL18-1,0)</f>
        <v>0</v>
      </c>
      <c r="AN38" s="25">
        <f>AVERAGE(C38:E38)</f>
        <v>0</v>
      </c>
      <c r="AO38" s="25">
        <f>AVERAGE(F38:H38)</f>
        <v>0</v>
      </c>
      <c r="AP38" s="25">
        <f>AVERAGE(I38:K38)</f>
        <v>0</v>
      </c>
      <c r="AQ38" s="25">
        <f>AVERAGE(L38:N38)</f>
        <v>0</v>
      </c>
      <c r="AR38" s="25">
        <f>AVERAGE(O38:Q38)</f>
        <v>0</v>
      </c>
      <c r="AS38" s="25">
        <f>AVERAGE(R38:T38)</f>
        <v>0</v>
      </c>
      <c r="AT38" s="25">
        <f>AVERAGE(U38:W38)</f>
        <v>0</v>
      </c>
      <c r="AU38" s="25">
        <f>AVERAGE(X38:Z38)</f>
        <v>0</v>
      </c>
      <c r="AV38" s="25">
        <f>AVERAGE(AA38:AC38)</f>
        <v>0</v>
      </c>
      <c r="AW38" s="25">
        <f>AVERAGE(AD38:AF38)</f>
        <v>0</v>
      </c>
      <c r="AX38" s="25">
        <f>AVERAGE(AG38:AI38)</f>
        <v>0</v>
      </c>
      <c r="AY38" s="25">
        <f>AVERAGE(AJ38:AL38)</f>
        <v>0</v>
      </c>
      <c r="BA38" s="25">
        <f>AVERAGE(C38:N38)</f>
        <v>0</v>
      </c>
      <c r="BB38" s="25">
        <f>AVERAGE(O38:Z38)</f>
        <v>0</v>
      </c>
      <c r="BC38" s="25">
        <f>AVERAGE(AA38:AL38)</f>
        <v>0</v>
      </c>
    </row>
    <row r="39" spans="1:55">
      <c r="A39" s="18" t="s">
        <v>244</v>
      </c>
      <c r="B39" s="16"/>
      <c r="C39" s="25">
        <f>IFERROR(C28/C21,0)</f>
        <v>0</v>
      </c>
      <c r="D39" s="25">
        <f>IFERROR(D28/D21,0)</f>
        <v>0</v>
      </c>
      <c r="E39" s="25">
        <f>IFERROR(E28/E21,0)</f>
        <v>0</v>
      </c>
      <c r="F39" s="25">
        <f>IFERROR(F28/F21,0)</f>
        <v>0</v>
      </c>
      <c r="G39" s="25">
        <f>IFERROR(G28/G21,0)</f>
        <v>0</v>
      </c>
      <c r="H39" s="25">
        <f>IFERROR(H28/H21,0)</f>
        <v>0</v>
      </c>
      <c r="I39" s="25">
        <f>IFERROR(I28/I21,0)</f>
        <v>0</v>
      </c>
      <c r="J39" s="25">
        <f>IFERROR(J28/J21,0)</f>
        <v>0</v>
      </c>
      <c r="K39" s="25">
        <f>IFERROR(K28/K21,0)</f>
        <v>0</v>
      </c>
      <c r="L39" s="25">
        <f>IFERROR(L28/L21,0)</f>
        <v>0</v>
      </c>
      <c r="M39" s="25">
        <f>IFERROR(M28/M21,0)</f>
        <v>0</v>
      </c>
      <c r="N39" s="25">
        <f>IFERROR(N28/N21,0)</f>
        <v>0</v>
      </c>
      <c r="O39" s="25">
        <f>IFERROR(O28/O21,0)</f>
        <v>0</v>
      </c>
      <c r="P39" s="25">
        <f>IFERROR(P28/P21,0)</f>
        <v>0</v>
      </c>
      <c r="Q39" s="25">
        <f>IFERROR(Q28/Q21,0)</f>
        <v>0</v>
      </c>
      <c r="R39" s="25">
        <f>IFERROR(R28/R21,0)</f>
        <v>0</v>
      </c>
      <c r="S39" s="25">
        <f>IFERROR(S28/S21,0)</f>
        <v>0</v>
      </c>
      <c r="T39" s="25">
        <f>IFERROR(T28/T21,0)</f>
        <v>0</v>
      </c>
      <c r="U39" s="25">
        <f>IFERROR(U28/U21,0)</f>
        <v>0</v>
      </c>
      <c r="V39" s="25">
        <f>IFERROR(V28/V21,0)</f>
        <v>0</v>
      </c>
      <c r="W39" s="25">
        <f>IFERROR(W28/W21,0)</f>
        <v>0</v>
      </c>
      <c r="X39" s="25">
        <f>IFERROR(X28/X21,0)</f>
        <v>0</v>
      </c>
      <c r="Y39" s="25">
        <f>IFERROR(Y28/Y21,0)</f>
        <v>0</v>
      </c>
      <c r="Z39" s="25">
        <f>IFERROR(Z28/Z21,0)</f>
        <v>0</v>
      </c>
      <c r="AA39" s="25">
        <f>IFERROR(AA28/AA21,0)</f>
        <v>0</v>
      </c>
      <c r="AB39" s="25">
        <f>IFERROR(AB28/AB21,0)</f>
        <v>0</v>
      </c>
      <c r="AC39" s="25">
        <f>IFERROR(AC28/AC21,0)</f>
        <v>0</v>
      </c>
      <c r="AD39" s="25">
        <f>IFERROR(AD28/AD21,0)</f>
        <v>0</v>
      </c>
      <c r="AE39" s="25">
        <f>IFERROR(AE28/AE21,0)</f>
        <v>0</v>
      </c>
      <c r="AF39" s="25">
        <f>IFERROR(AF28/AF21,0)</f>
        <v>0</v>
      </c>
      <c r="AG39" s="25">
        <f>IFERROR(AG28/AG21,0)</f>
        <v>0</v>
      </c>
      <c r="AH39" s="25">
        <f>IFERROR(AH28/AH21,0)</f>
        <v>0</v>
      </c>
      <c r="AI39" s="25">
        <f>IFERROR(AI28/AI21,0)</f>
        <v>0</v>
      </c>
      <c r="AJ39" s="25">
        <f>IFERROR(AJ28/AJ21,0)</f>
        <v>0</v>
      </c>
      <c r="AK39" s="25">
        <f>IFERROR(AK28/AK21,0)</f>
        <v>0</v>
      </c>
      <c r="AL39" s="25">
        <f>IFERROR(AL28/AL21,0)</f>
        <v>0</v>
      </c>
      <c r="AN39" s="25">
        <f>AVERAGE(C39:E39)</f>
        <v>0</v>
      </c>
      <c r="AO39" s="25">
        <f>AVERAGE(F39:H39)</f>
        <v>0</v>
      </c>
      <c r="AP39" s="25">
        <f>AVERAGE(I39:K39)</f>
        <v>0</v>
      </c>
      <c r="AQ39" s="25">
        <f>AVERAGE(L39:N39)</f>
        <v>0</v>
      </c>
      <c r="AR39" s="25">
        <f>AVERAGE(O39:Q39)</f>
        <v>0</v>
      </c>
      <c r="AS39" s="25">
        <f>AVERAGE(R39:T39)</f>
        <v>0</v>
      </c>
      <c r="AT39" s="25">
        <f>AVERAGE(U39:W39)</f>
        <v>0</v>
      </c>
      <c r="AU39" s="25">
        <f>AVERAGE(X39:Z39)</f>
        <v>0</v>
      </c>
      <c r="AV39" s="25">
        <f>AVERAGE(AA39:AC39)</f>
        <v>0</v>
      </c>
      <c r="AW39" s="25">
        <f>AVERAGE(AD39:AF39)</f>
        <v>0</v>
      </c>
      <c r="AX39" s="25">
        <f>AVERAGE(AG39:AI39)</f>
        <v>0</v>
      </c>
      <c r="AY39" s="25">
        <f>AVERAGE(AJ39:AL39)</f>
        <v>0</v>
      </c>
      <c r="BA39" s="25">
        <f>AVERAGE(C39:N39)</f>
        <v>0</v>
      </c>
      <c r="BB39" s="25">
        <f>AVERAGE(O39:Z39)</f>
        <v>0</v>
      </c>
      <c r="BC39" s="25">
        <f>AVERAGE(AA39:AL39)</f>
        <v>0</v>
      </c>
    </row>
    <row r="40" spans="1:55">
      <c r="A40" s="18" t="s">
        <v>225</v>
      </c>
      <c r="B40" s="16"/>
      <c r="C40" s="25">
        <f>IFERROR(C27/C25,0)</f>
        <v>0</v>
      </c>
      <c r="D40" s="25">
        <f>IFERROR(D27/D25,0)</f>
        <v>0</v>
      </c>
      <c r="E40" s="25">
        <f>IFERROR(E27/E25,0)</f>
        <v>0</v>
      </c>
      <c r="F40" s="25">
        <f>IFERROR(F27/F25,0)</f>
        <v>0</v>
      </c>
      <c r="G40" s="25">
        <f>IFERROR(G27/G25,0)</f>
        <v>0</v>
      </c>
      <c r="H40" s="25">
        <f>IFERROR(H27/H25,0)</f>
        <v>0</v>
      </c>
      <c r="I40" s="25">
        <f>IFERROR(I27/I25,0)</f>
        <v>0</v>
      </c>
      <c r="J40" s="25">
        <f>IFERROR(J27/J25,0)</f>
        <v>0</v>
      </c>
      <c r="K40" s="25">
        <f>IFERROR(K27/K25,0)</f>
        <v>0</v>
      </c>
      <c r="L40" s="25">
        <f>IFERROR(L27/L25,0)</f>
        <v>0</v>
      </c>
      <c r="M40" s="25">
        <f>IFERROR(M27/M25,0)</f>
        <v>0</v>
      </c>
      <c r="N40" s="25">
        <f>IFERROR(N27/N25,0)</f>
        <v>0</v>
      </c>
      <c r="O40" s="25">
        <f>IFERROR(O27/O25,0)</f>
        <v>0</v>
      </c>
      <c r="P40" s="25">
        <f>IFERROR(P27/P25,0)</f>
        <v>0</v>
      </c>
      <c r="Q40" s="25">
        <f>IFERROR(Q27/Q25,0)</f>
        <v>0</v>
      </c>
      <c r="R40" s="25">
        <f>IFERROR(R27/R25,0)</f>
        <v>0</v>
      </c>
      <c r="S40" s="25">
        <f>IFERROR(S27/S25,0)</f>
        <v>0</v>
      </c>
      <c r="T40" s="25">
        <f>IFERROR(T27/T25,0)</f>
        <v>0</v>
      </c>
      <c r="U40" s="25">
        <f>IFERROR(U27/U25,0)</f>
        <v>0</v>
      </c>
      <c r="V40" s="25">
        <f>IFERROR(V27/V25,0)</f>
        <v>0</v>
      </c>
      <c r="W40" s="25">
        <f>IFERROR(W27/W25,0)</f>
        <v>0</v>
      </c>
      <c r="X40" s="25">
        <f>IFERROR(X27/X25,0)</f>
        <v>0</v>
      </c>
      <c r="Y40" s="25">
        <f>IFERROR(Y27/Y25,0)</f>
        <v>0</v>
      </c>
      <c r="Z40" s="25">
        <f>IFERROR(Z27/Z25,0)</f>
        <v>0</v>
      </c>
      <c r="AA40" s="25">
        <f>IFERROR(AA27/AA25,0)</f>
        <v>0</v>
      </c>
      <c r="AB40" s="25">
        <f>IFERROR(AB27/AB25,0)</f>
        <v>0</v>
      </c>
      <c r="AC40" s="25">
        <f>IFERROR(AC27/AC25,0)</f>
        <v>0</v>
      </c>
      <c r="AD40" s="25">
        <f>IFERROR(AD27/AD25,0)</f>
        <v>0</v>
      </c>
      <c r="AE40" s="25">
        <f>IFERROR(AE27/AE25,0)</f>
        <v>0</v>
      </c>
      <c r="AF40" s="25">
        <f>IFERROR(AF27/AF25,0)</f>
        <v>0</v>
      </c>
      <c r="AG40" s="25">
        <f>IFERROR(AG27/AG25,0)</f>
        <v>0</v>
      </c>
      <c r="AH40" s="25">
        <f>IFERROR(AH27/AH25,0)</f>
        <v>0</v>
      </c>
      <c r="AI40" s="25">
        <f>IFERROR(AI27/AI25,0)</f>
        <v>0</v>
      </c>
      <c r="AJ40" s="25">
        <f>IFERROR(AJ27/AJ25,0)</f>
        <v>0</v>
      </c>
      <c r="AK40" s="25">
        <f>IFERROR(AK27/AK25,0)</f>
        <v>0</v>
      </c>
      <c r="AL40" s="25">
        <f>IFERROR(AL27/AL25,0)</f>
        <v>0</v>
      </c>
      <c r="AN40" s="25">
        <f>AVERAGE(C40:E40)</f>
        <v>0</v>
      </c>
      <c r="AO40" s="25">
        <f>AVERAGE(F40:H40)</f>
        <v>0</v>
      </c>
      <c r="AP40" s="25">
        <f>AVERAGE(I40:K40)</f>
        <v>0</v>
      </c>
      <c r="AQ40" s="25">
        <f>AVERAGE(L40:N40)</f>
        <v>0</v>
      </c>
      <c r="AR40" s="25">
        <f>AVERAGE(O40:Q40)</f>
        <v>0</v>
      </c>
      <c r="AS40" s="25">
        <f>AVERAGE(R40:T40)</f>
        <v>0</v>
      </c>
      <c r="AT40" s="25">
        <f>AVERAGE(U40:W40)</f>
        <v>0</v>
      </c>
      <c r="AU40" s="25">
        <f>AVERAGE(X40:Z40)</f>
        <v>0</v>
      </c>
      <c r="AV40" s="25">
        <f>AVERAGE(AA40:AC40)</f>
        <v>0</v>
      </c>
      <c r="AW40" s="25">
        <f>AVERAGE(AD40:AF40)</f>
        <v>0</v>
      </c>
      <c r="AX40" s="25">
        <f>AVERAGE(AG40:AI40)</f>
        <v>0</v>
      </c>
      <c r="AY40" s="25">
        <f>AVERAGE(AJ40:AL40)</f>
        <v>0</v>
      </c>
      <c r="BA40" s="25">
        <f>AVERAGE(C40:N40)</f>
        <v>0</v>
      </c>
      <c r="BB40" s="25">
        <f>AVERAGE(O40:Z40)</f>
        <v>0</v>
      </c>
      <c r="BC40" s="25">
        <f>AVERAGE(AA40:AL40)</f>
        <v>0</v>
      </c>
    </row>
    <row r="41" spans="1:55">
      <c r="A41" s="18" t="s">
        <v>245</v>
      </c>
      <c r="B41" s="16"/>
      <c r="C41" s="25">
        <f>IFERROR(C24/C22,1)</f>
        <v>0</v>
      </c>
      <c r="D41" s="25">
        <f>IFERROR(D24/D22,1)</f>
        <v>0</v>
      </c>
      <c r="E41" s="25">
        <f>IFERROR(E24/E22,1)</f>
        <v>0</v>
      </c>
      <c r="F41" s="25">
        <f>IFERROR(F24/F22,1)</f>
        <v>0</v>
      </c>
      <c r="G41" s="25">
        <f>IFERROR(G24/G22,1)</f>
        <v>0</v>
      </c>
      <c r="H41" s="25">
        <f>IFERROR(H24/H22,1)</f>
        <v>0</v>
      </c>
      <c r="I41" s="25">
        <f>IFERROR(I24/I22,1)</f>
        <v>0</v>
      </c>
      <c r="J41" s="25">
        <f>IFERROR(J24/J22,1)</f>
        <v>0</v>
      </c>
      <c r="K41" s="25">
        <f>IFERROR(K24/K22,1)</f>
        <v>0</v>
      </c>
      <c r="L41" s="25">
        <f>IFERROR(L24/L22,1)</f>
        <v>0</v>
      </c>
      <c r="M41" s="25">
        <f>IFERROR(M24/M22,1)</f>
        <v>0</v>
      </c>
      <c r="N41" s="25">
        <f>IFERROR(N24/N22,1)</f>
        <v>0</v>
      </c>
      <c r="O41" s="25">
        <f>IFERROR(O24/O22,1)</f>
        <v>0</v>
      </c>
      <c r="P41" s="25">
        <f>IFERROR(P24/P22,1)</f>
        <v>0</v>
      </c>
      <c r="Q41" s="25">
        <f>IFERROR(Q24/Q22,1)</f>
        <v>0</v>
      </c>
      <c r="R41" s="25">
        <f>IFERROR(R24/R22,1)</f>
        <v>0</v>
      </c>
      <c r="S41" s="25">
        <f>IFERROR(S24/S22,1)</f>
        <v>0</v>
      </c>
      <c r="T41" s="25">
        <f>IFERROR(T24/T22,1)</f>
        <v>0</v>
      </c>
      <c r="U41" s="25">
        <f>IFERROR(U24/U22,1)</f>
        <v>0</v>
      </c>
      <c r="V41" s="25">
        <f>IFERROR(V24/V22,1)</f>
        <v>0</v>
      </c>
      <c r="W41" s="25">
        <f>IFERROR(W24/W22,1)</f>
        <v>0</v>
      </c>
      <c r="X41" s="25">
        <f>IFERROR(X24/X22,1)</f>
        <v>0</v>
      </c>
      <c r="Y41" s="25">
        <f>IFERROR(Y24/Y22,1)</f>
        <v>0</v>
      </c>
      <c r="Z41" s="25">
        <f>IFERROR(Z24/Z22,1)</f>
        <v>0</v>
      </c>
      <c r="AA41" s="25">
        <f>IFERROR(AA24/AA22,1)</f>
        <v>0</v>
      </c>
      <c r="AB41" s="25">
        <f>IFERROR(AB24/AB22,1)</f>
        <v>0</v>
      </c>
      <c r="AC41" s="25">
        <f>IFERROR(AC24/AC22,1)</f>
        <v>0</v>
      </c>
      <c r="AD41" s="25">
        <f>IFERROR(AD24/AD22,1)</f>
        <v>0</v>
      </c>
      <c r="AE41" s="25">
        <f>IFERROR(AE24/AE22,1)</f>
        <v>0</v>
      </c>
      <c r="AF41" s="25">
        <f>IFERROR(AF24/AF22,1)</f>
        <v>0</v>
      </c>
      <c r="AG41" s="25">
        <f>IFERROR(AG24/AG22,1)</f>
        <v>0</v>
      </c>
      <c r="AH41" s="25">
        <f>IFERROR(AH24/AH22,1)</f>
        <v>0</v>
      </c>
      <c r="AI41" s="25">
        <f>IFERROR(AI24/AI22,1)</f>
        <v>0</v>
      </c>
      <c r="AJ41" s="25">
        <f>IFERROR(AJ24/AJ22,1)</f>
        <v>0</v>
      </c>
      <c r="AK41" s="25">
        <f>IFERROR(AK24/AK22,1)</f>
        <v>0</v>
      </c>
      <c r="AL41" s="25">
        <f>IFERROR(AL24/AL22,1)</f>
        <v>0</v>
      </c>
      <c r="AN41" s="25">
        <f>AVERAGE(C41:E41)</f>
        <v>0</v>
      </c>
      <c r="AO41" s="25">
        <f>AVERAGE(F41:H41)</f>
        <v>0</v>
      </c>
      <c r="AP41" s="25">
        <f>AVERAGE(I41:K41)</f>
        <v>0</v>
      </c>
      <c r="AQ41" s="25">
        <f>AVERAGE(L41:N41)</f>
        <v>0</v>
      </c>
      <c r="AR41" s="25">
        <f>AVERAGE(O41:Q41)</f>
        <v>0</v>
      </c>
      <c r="AS41" s="25">
        <f>AVERAGE(R41:T41)</f>
        <v>0</v>
      </c>
      <c r="AT41" s="25">
        <f>AVERAGE(U41:W41)</f>
        <v>0</v>
      </c>
      <c r="AU41" s="25">
        <f>AVERAGE(X41:Z41)</f>
        <v>0</v>
      </c>
      <c r="AV41" s="25">
        <f>AVERAGE(AA41:AC41)</f>
        <v>0</v>
      </c>
      <c r="AW41" s="25">
        <f>AVERAGE(AD41:AF41)</f>
        <v>0</v>
      </c>
      <c r="AX41" s="25">
        <f>AVERAGE(AG41:AI41)</f>
        <v>0</v>
      </c>
      <c r="AY41" s="25">
        <f>AVERAGE(AJ41:AL41)</f>
        <v>0</v>
      </c>
      <c r="BA41" s="25">
        <f>AVERAGE(C41:N41)</f>
        <v>0</v>
      </c>
      <c r="BB41" s="25">
        <f>AVERAGE(O41:Z41)</f>
        <v>0</v>
      </c>
      <c r="BC41" s="25">
        <f>AVERAGE(AA41:AL41)</f>
        <v>0</v>
      </c>
    </row>
    <row r="42" spans="1:55">
      <c r="A42" s="18" t="s">
        <v>246</v>
      </c>
      <c r="B42" s="16"/>
      <c r="C42" s="25">
        <f>IFERROR(-C23/C22,'Assumptions'!$F$28)</f>
        <v>0</v>
      </c>
      <c r="D42" s="25">
        <f>IFERROR(-D23/D22,'Assumptions'!$F$28)</f>
        <v>0</v>
      </c>
      <c r="E42" s="25">
        <f>IFERROR(-E23/E22,'Assumptions'!$F$28)</f>
        <v>0</v>
      </c>
      <c r="F42" s="25">
        <f>IFERROR(-F23/F22,'Assumptions'!$F$28)</f>
        <v>0</v>
      </c>
      <c r="G42" s="25">
        <f>IFERROR(-G23/G22,'Assumptions'!$F$28)</f>
        <v>0</v>
      </c>
      <c r="H42" s="25">
        <f>IFERROR(-H23/H22,'Assumptions'!$F$28)</f>
        <v>0</v>
      </c>
      <c r="I42" s="25">
        <f>IFERROR(-I23/I22,'Assumptions'!$F$28)</f>
        <v>0</v>
      </c>
      <c r="J42" s="25">
        <f>IFERROR(-J23/J22,'Assumptions'!$F$28)</f>
        <v>0</v>
      </c>
      <c r="K42" s="25">
        <f>IFERROR(-K23/K22,'Assumptions'!$F$28)</f>
        <v>0</v>
      </c>
      <c r="L42" s="25">
        <f>IFERROR(-L23/L22,'Assumptions'!$F$28)</f>
        <v>0</v>
      </c>
      <c r="M42" s="25">
        <f>IFERROR(-M23/M22,'Assumptions'!$F$28)</f>
        <v>0</v>
      </c>
      <c r="N42" s="25">
        <f>IFERROR(-N23/N22,'Assumptions'!$F$28)</f>
        <v>0</v>
      </c>
      <c r="O42" s="25">
        <f>IFERROR(-O23/O22,'Assumptions'!$F$28)</f>
        <v>0</v>
      </c>
      <c r="P42" s="25">
        <f>IFERROR(-P23/P22,'Assumptions'!$F$28)</f>
        <v>0</v>
      </c>
      <c r="Q42" s="25">
        <f>IFERROR(-Q23/Q22,'Assumptions'!$F$28)</f>
        <v>0</v>
      </c>
      <c r="R42" s="25">
        <f>IFERROR(-R23/R22,'Assumptions'!$F$28)</f>
        <v>0</v>
      </c>
      <c r="S42" s="25">
        <f>IFERROR(-S23/S22,'Assumptions'!$F$28)</f>
        <v>0</v>
      </c>
      <c r="T42" s="25">
        <f>IFERROR(-T23/T22,'Assumptions'!$F$28)</f>
        <v>0</v>
      </c>
      <c r="U42" s="25">
        <f>IFERROR(-U23/U22,'Assumptions'!$F$28)</f>
        <v>0</v>
      </c>
      <c r="V42" s="25">
        <f>IFERROR(-V23/V22,'Assumptions'!$F$28)</f>
        <v>0</v>
      </c>
      <c r="W42" s="25">
        <f>IFERROR(-W23/W22,'Assumptions'!$F$28)</f>
        <v>0</v>
      </c>
      <c r="X42" s="25">
        <f>IFERROR(-X23/X22,'Assumptions'!$F$28)</f>
        <v>0</v>
      </c>
      <c r="Y42" s="25">
        <f>IFERROR(-Y23/Y22,'Assumptions'!$F$28)</f>
        <v>0</v>
      </c>
      <c r="Z42" s="25">
        <f>IFERROR(-Z23/Z22,'Assumptions'!$F$28)</f>
        <v>0</v>
      </c>
      <c r="AA42" s="25">
        <f>IFERROR(-AA23/AA22,'Assumptions'!$F$28)</f>
        <v>0</v>
      </c>
      <c r="AB42" s="25">
        <f>IFERROR(-AB23/AB22,'Assumptions'!$F$28)</f>
        <v>0</v>
      </c>
      <c r="AC42" s="25">
        <f>IFERROR(-AC23/AC22,'Assumptions'!$F$28)</f>
        <v>0</v>
      </c>
      <c r="AD42" s="25">
        <f>IFERROR(-AD23/AD22,'Assumptions'!$F$28)</f>
        <v>0</v>
      </c>
      <c r="AE42" s="25">
        <f>IFERROR(-AE23/AE22,'Assumptions'!$F$28)</f>
        <v>0</v>
      </c>
      <c r="AF42" s="25">
        <f>IFERROR(-AF23/AF22,'Assumptions'!$F$28)</f>
        <v>0</v>
      </c>
      <c r="AG42" s="25">
        <f>IFERROR(-AG23/AG22,'Assumptions'!$F$28)</f>
        <v>0</v>
      </c>
      <c r="AH42" s="25">
        <f>IFERROR(-AH23/AH22,'Assumptions'!$F$28)</f>
        <v>0</v>
      </c>
      <c r="AI42" s="25">
        <f>IFERROR(-AI23/AI22,'Assumptions'!$F$28)</f>
        <v>0</v>
      </c>
      <c r="AJ42" s="25">
        <f>IFERROR(-AJ23/AJ22,'Assumptions'!$F$28)</f>
        <v>0</v>
      </c>
      <c r="AK42" s="25">
        <f>IFERROR(-AK23/AK22,'Assumptions'!$F$28)</f>
        <v>0</v>
      </c>
      <c r="AL42" s="25">
        <f>IFERROR(-AL23/AL22,'Assumptions'!$F$28)</f>
        <v>0</v>
      </c>
      <c r="AN42" s="25">
        <f>AVERAGE(C42:E42)</f>
        <v>0</v>
      </c>
      <c r="AO42" s="25">
        <f>AVERAGE(F42:H42)</f>
        <v>0</v>
      </c>
      <c r="AP42" s="25">
        <f>AVERAGE(I42:K42)</f>
        <v>0</v>
      </c>
      <c r="AQ42" s="25">
        <f>AVERAGE(L42:N42)</f>
        <v>0</v>
      </c>
      <c r="AR42" s="25">
        <f>AVERAGE(O42:Q42)</f>
        <v>0</v>
      </c>
      <c r="AS42" s="25">
        <f>AVERAGE(R42:T42)</f>
        <v>0</v>
      </c>
      <c r="AT42" s="25">
        <f>AVERAGE(U42:W42)</f>
        <v>0</v>
      </c>
      <c r="AU42" s="25">
        <f>AVERAGE(X42:Z42)</f>
        <v>0</v>
      </c>
      <c r="AV42" s="25">
        <f>AVERAGE(AA42:AC42)</f>
        <v>0</v>
      </c>
      <c r="AW42" s="25">
        <f>AVERAGE(AD42:AF42)</f>
        <v>0</v>
      </c>
      <c r="AX42" s="25">
        <f>AVERAGE(AG42:AI42)</f>
        <v>0</v>
      </c>
      <c r="AY42" s="25">
        <f>AVERAGE(AJ42:AL42)</f>
        <v>0</v>
      </c>
      <c r="BA42" s="25">
        <f>AVERAGE(C42:N42)</f>
        <v>0</v>
      </c>
      <c r="BB42" s="25">
        <f>AVERAGE(O42:Z42)</f>
        <v>0</v>
      </c>
      <c r="BC42" s="25">
        <f>AVERAGE(AA42:AL42)</f>
        <v>0</v>
      </c>
    </row>
    <row r="43" spans="1:55">
      <c r="A43" s="18" t="s">
        <v>247</v>
      </c>
      <c r="B43" s="16" t="s">
        <v>248</v>
      </c>
      <c r="C43" s="30">
        <f>IFERROR(C15/MAX(1,C27),0)</f>
        <v>0</v>
      </c>
      <c r="D43" s="30">
        <f>IFERROR(D15/MAX(1,D27),0)</f>
        <v>0</v>
      </c>
      <c r="E43" s="30">
        <f>IFERROR(E15/MAX(1,E27),0)</f>
        <v>0</v>
      </c>
      <c r="F43" s="30">
        <f>IFERROR(F15/MAX(1,F27),0)</f>
        <v>0</v>
      </c>
      <c r="G43" s="30">
        <f>IFERROR(G15/MAX(1,G27),0)</f>
        <v>0</v>
      </c>
      <c r="H43" s="30">
        <f>IFERROR(H15/MAX(1,H27),0)</f>
        <v>0</v>
      </c>
      <c r="I43" s="30">
        <f>IFERROR(I15/MAX(1,I27),0)</f>
        <v>0</v>
      </c>
      <c r="J43" s="30">
        <f>IFERROR(J15/MAX(1,J27),0)</f>
        <v>0</v>
      </c>
      <c r="K43" s="30">
        <f>IFERROR(K15/MAX(1,K27),0)</f>
        <v>0</v>
      </c>
      <c r="L43" s="30">
        <f>IFERROR(L15/MAX(1,L27),0)</f>
        <v>0</v>
      </c>
      <c r="M43" s="30">
        <f>IFERROR(M15/MAX(1,M27),0)</f>
        <v>0</v>
      </c>
      <c r="N43" s="30">
        <f>IFERROR(N15/MAX(1,N27),0)</f>
        <v>0</v>
      </c>
      <c r="O43" s="30">
        <f>IFERROR(O15/MAX(1,O27),0)</f>
        <v>0</v>
      </c>
      <c r="P43" s="30">
        <f>IFERROR(P15/MAX(1,P27),0)</f>
        <v>0</v>
      </c>
      <c r="Q43" s="30">
        <f>IFERROR(Q15/MAX(1,Q27),0)</f>
        <v>0</v>
      </c>
      <c r="R43" s="30">
        <f>IFERROR(R15/MAX(1,R27),0)</f>
        <v>0</v>
      </c>
      <c r="S43" s="30">
        <f>IFERROR(S15/MAX(1,S27),0)</f>
        <v>0</v>
      </c>
      <c r="T43" s="30">
        <f>IFERROR(T15/MAX(1,T27),0)</f>
        <v>0</v>
      </c>
      <c r="U43" s="30">
        <f>IFERROR(U15/MAX(1,U27),0)</f>
        <v>0</v>
      </c>
      <c r="V43" s="30">
        <f>IFERROR(V15/MAX(1,V27),0)</f>
        <v>0</v>
      </c>
      <c r="W43" s="30">
        <f>IFERROR(W15/MAX(1,W27),0)</f>
        <v>0</v>
      </c>
      <c r="X43" s="30">
        <f>IFERROR(X15/MAX(1,X27),0)</f>
        <v>0</v>
      </c>
      <c r="Y43" s="30">
        <f>IFERROR(Y15/MAX(1,Y27),0)</f>
        <v>0</v>
      </c>
      <c r="Z43" s="30">
        <f>IFERROR(Z15/MAX(1,Z27),0)</f>
        <v>0</v>
      </c>
      <c r="AA43" s="30">
        <f>IFERROR(AA15/MAX(1,AA27),0)</f>
        <v>0</v>
      </c>
      <c r="AB43" s="30">
        <f>IFERROR(AB15/MAX(1,AB27),0)</f>
        <v>0</v>
      </c>
      <c r="AC43" s="30">
        <f>IFERROR(AC15/MAX(1,AC27),0)</f>
        <v>0</v>
      </c>
      <c r="AD43" s="30">
        <f>IFERROR(AD15/MAX(1,AD27),0)</f>
        <v>0</v>
      </c>
      <c r="AE43" s="30">
        <f>IFERROR(AE15/MAX(1,AE27),0)</f>
        <v>0</v>
      </c>
      <c r="AF43" s="30">
        <f>IFERROR(AF15/MAX(1,AF27),0)</f>
        <v>0</v>
      </c>
      <c r="AG43" s="30">
        <f>IFERROR(AG15/MAX(1,AG27),0)</f>
        <v>0</v>
      </c>
      <c r="AH43" s="30">
        <f>IFERROR(AH15/MAX(1,AH27),0)</f>
        <v>0</v>
      </c>
      <c r="AI43" s="30">
        <f>IFERROR(AI15/MAX(1,AI27),0)</f>
        <v>0</v>
      </c>
      <c r="AJ43" s="30">
        <f>IFERROR(AJ15/MAX(1,AJ27),0)</f>
        <v>0</v>
      </c>
      <c r="AK43" s="30">
        <f>IFERROR(AK15/MAX(1,AK27),0)</f>
        <v>0</v>
      </c>
      <c r="AL43" s="30">
        <f>IFERROR(AL15/MAX(1,AL27),0)</f>
        <v>0</v>
      </c>
      <c r="AN43" s="30">
        <f>AVERAGE(C43:E43)</f>
        <v>0</v>
      </c>
      <c r="AO43" s="30">
        <f>AVERAGE(F43:H43)</f>
        <v>0</v>
      </c>
      <c r="AP43" s="30">
        <f>AVERAGE(I43:K43)</f>
        <v>0</v>
      </c>
      <c r="AQ43" s="30">
        <f>AVERAGE(L43:N43)</f>
        <v>0</v>
      </c>
      <c r="AR43" s="30">
        <f>AVERAGE(O43:Q43)</f>
        <v>0</v>
      </c>
      <c r="AS43" s="30">
        <f>AVERAGE(R43:T43)</f>
        <v>0</v>
      </c>
      <c r="AT43" s="30">
        <f>AVERAGE(U43:W43)</f>
        <v>0</v>
      </c>
      <c r="AU43" s="30">
        <f>AVERAGE(X43:Z43)</f>
        <v>0</v>
      </c>
      <c r="AV43" s="30">
        <f>AVERAGE(AA43:AC43)</f>
        <v>0</v>
      </c>
      <c r="AW43" s="30">
        <f>AVERAGE(AD43:AF43)</f>
        <v>0</v>
      </c>
      <c r="AX43" s="30">
        <f>AVERAGE(AG43:AI43)</f>
        <v>0</v>
      </c>
      <c r="AY43" s="30">
        <f>AVERAGE(AJ43:AL43)</f>
        <v>0</v>
      </c>
      <c r="BA43" s="30">
        <f>AVERAGE(C43:N43)</f>
        <v>0</v>
      </c>
      <c r="BB43" s="30">
        <f>AVERAGE(O43:Z43)</f>
        <v>0</v>
      </c>
      <c r="BC43" s="30">
        <f>AVERAGE(AA43:AL43)</f>
        <v>0</v>
      </c>
    </row>
    <row r="44" spans="1:55">
      <c r="A44" s="18" t="s">
        <v>249</v>
      </c>
      <c r="B44" s="16"/>
      <c r="C44" s="30">
        <f>IFERROR(C35/C21,0)</f>
        <v>0</v>
      </c>
      <c r="D44" s="30">
        <f>IFERROR(D35/D21,0)</f>
        <v>0</v>
      </c>
      <c r="E44" s="30">
        <f>IFERROR(E35/E21,0)</f>
        <v>0</v>
      </c>
      <c r="F44" s="30">
        <f>IFERROR(F35/F21,0)</f>
        <v>0</v>
      </c>
      <c r="G44" s="30">
        <f>IFERROR(G35/G21,0)</f>
        <v>0</v>
      </c>
      <c r="H44" s="30">
        <f>IFERROR(H35/H21,0)</f>
        <v>0</v>
      </c>
      <c r="I44" s="30">
        <f>IFERROR(I35/I21,0)</f>
        <v>0</v>
      </c>
      <c r="J44" s="30">
        <f>IFERROR(J35/J21,0)</f>
        <v>0</v>
      </c>
      <c r="K44" s="30">
        <f>IFERROR(K35/K21,0)</f>
        <v>0</v>
      </c>
      <c r="L44" s="30">
        <f>IFERROR(L35/L21,0)</f>
        <v>0</v>
      </c>
      <c r="M44" s="30">
        <f>IFERROR(M35/M21,0)</f>
        <v>0</v>
      </c>
      <c r="N44" s="30">
        <f>IFERROR(N35/N21,0)</f>
        <v>0</v>
      </c>
      <c r="O44" s="30">
        <f>IFERROR(O35/O21,0)</f>
        <v>0</v>
      </c>
      <c r="P44" s="30">
        <f>IFERROR(P35/P21,0)</f>
        <v>0</v>
      </c>
      <c r="Q44" s="30">
        <f>IFERROR(Q35/Q21,0)</f>
        <v>0</v>
      </c>
      <c r="R44" s="30">
        <f>IFERROR(R35/R21,0)</f>
        <v>0</v>
      </c>
      <c r="S44" s="30">
        <f>IFERROR(S35/S21,0)</f>
        <v>0</v>
      </c>
      <c r="T44" s="30">
        <f>IFERROR(T35/T21,0)</f>
        <v>0</v>
      </c>
      <c r="U44" s="30">
        <f>IFERROR(U35/U21,0)</f>
        <v>0</v>
      </c>
      <c r="V44" s="30">
        <f>IFERROR(V35/V21,0)</f>
        <v>0</v>
      </c>
      <c r="W44" s="30">
        <f>IFERROR(W35/W21,0)</f>
        <v>0</v>
      </c>
      <c r="X44" s="30">
        <f>IFERROR(X35/X21,0)</f>
        <v>0</v>
      </c>
      <c r="Y44" s="30">
        <f>IFERROR(Y35/Y21,0)</f>
        <v>0</v>
      </c>
      <c r="Z44" s="30">
        <f>IFERROR(Z35/Z21,0)</f>
        <v>0</v>
      </c>
      <c r="AA44" s="30">
        <f>IFERROR(AA35/AA21,0)</f>
        <v>0</v>
      </c>
      <c r="AB44" s="30">
        <f>IFERROR(AB35/AB21,0)</f>
        <v>0</v>
      </c>
      <c r="AC44" s="30">
        <f>IFERROR(AC35/AC21,0)</f>
        <v>0</v>
      </c>
      <c r="AD44" s="30">
        <f>IFERROR(AD35/AD21,0)</f>
        <v>0</v>
      </c>
      <c r="AE44" s="30">
        <f>IFERROR(AE35/AE21,0)</f>
        <v>0</v>
      </c>
      <c r="AF44" s="30">
        <f>IFERROR(AF35/AF21,0)</f>
        <v>0</v>
      </c>
      <c r="AG44" s="30">
        <f>IFERROR(AG35/AG21,0)</f>
        <v>0</v>
      </c>
      <c r="AH44" s="30">
        <f>IFERROR(AH35/AH21,0)</f>
        <v>0</v>
      </c>
      <c r="AI44" s="30">
        <f>IFERROR(AI35/AI21,0)</f>
        <v>0</v>
      </c>
      <c r="AJ44" s="30">
        <f>IFERROR(AJ35/AJ21,0)</f>
        <v>0</v>
      </c>
      <c r="AK44" s="30">
        <f>IFERROR(AK35/AK21,0)</f>
        <v>0</v>
      </c>
      <c r="AL44" s="30">
        <f>IFERROR(AL35/AL21,0)</f>
        <v>0</v>
      </c>
      <c r="AN44" s="30">
        <f>AVERAGE(C44:E44)</f>
        <v>0</v>
      </c>
      <c r="AO44" s="30">
        <f>AVERAGE(F44:H44)</f>
        <v>0</v>
      </c>
      <c r="AP44" s="30">
        <f>AVERAGE(I44:K44)</f>
        <v>0</v>
      </c>
      <c r="AQ44" s="30">
        <f>AVERAGE(L44:N44)</f>
        <v>0</v>
      </c>
      <c r="AR44" s="30">
        <f>AVERAGE(O44:Q44)</f>
        <v>0</v>
      </c>
      <c r="AS44" s="30">
        <f>AVERAGE(R44:T44)</f>
        <v>0</v>
      </c>
      <c r="AT44" s="30">
        <f>AVERAGE(U44:W44)</f>
        <v>0</v>
      </c>
      <c r="AU44" s="30">
        <f>AVERAGE(X44:Z44)</f>
        <v>0</v>
      </c>
      <c r="AV44" s="30">
        <f>AVERAGE(AA44:AC44)</f>
        <v>0</v>
      </c>
      <c r="AW44" s="30">
        <f>AVERAGE(AD44:AF44)</f>
        <v>0</v>
      </c>
      <c r="AX44" s="30">
        <f>AVERAGE(AG44:AI44)</f>
        <v>0</v>
      </c>
      <c r="AY44" s="30">
        <f>AVERAGE(AJ44:AL44)</f>
        <v>0</v>
      </c>
      <c r="BA44" s="30">
        <f>AVERAGE(C44:N44)</f>
        <v>0</v>
      </c>
      <c r="BB44" s="30">
        <f>AVERAGE(O44:Z44)</f>
        <v>0</v>
      </c>
      <c r="BC44" s="30">
        <f>AVERAGE(AA44:AL44)</f>
        <v>0</v>
      </c>
    </row>
  </sheetData>
  <mergeCells count="9">
    <mergeCell ref="A1:BC1"/>
    <mergeCell ref="A2:BC2"/>
    <mergeCell ref="C5:AL5"/>
    <mergeCell ref="AN5:AY5"/>
    <mergeCell ref="BA5:BC5"/>
    <mergeCell ref="A7:BC7"/>
    <mergeCell ref="A17:BC17"/>
    <mergeCell ref="A30:BC30"/>
    <mergeCell ref="A37:BC37"/>
  </mergeCells>
  <pageMargins left="0.7" right="0.7" top="0.75" bottom="0.75" header="0.3" footer="0.3"/>
  <pageSetup paperSize="9" scale="55" orientation="landscape"/>
</worksheet>
</file>

<file path=xl/worksheets/sheet5.xml><?xml version="1.0" encoding="utf-8"?>
<worksheet xmlns="http://schemas.openxmlformats.org/spreadsheetml/2006/main" xmlns:r="http://schemas.openxmlformats.org/officeDocument/2006/relationships">
  <dimension ref="A1:BC22"/>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250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251</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252</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253</v>
      </c>
      <c r="B8" s="16"/>
      <c r="C8" s="20">
        <f>'Revenue'!C35*'Assumptions'!$F$35</f>
        <v>0</v>
      </c>
      <c r="D8" s="20">
        <f>'Revenue'!D35*'Assumptions'!$F$35</f>
        <v>0</v>
      </c>
      <c r="E8" s="20">
        <f>'Revenue'!E35*'Assumptions'!$F$35</f>
        <v>0</v>
      </c>
      <c r="F8" s="20">
        <f>'Revenue'!F35*'Assumptions'!$F$35</f>
        <v>0</v>
      </c>
      <c r="G8" s="20">
        <f>'Revenue'!G35*'Assumptions'!$F$35</f>
        <v>0</v>
      </c>
      <c r="H8" s="20">
        <f>'Revenue'!H35*'Assumptions'!$F$35</f>
        <v>0</v>
      </c>
      <c r="I8" s="20">
        <f>'Revenue'!I35*'Assumptions'!$F$35</f>
        <v>0</v>
      </c>
      <c r="J8" s="20">
        <f>'Revenue'!J35*'Assumptions'!$F$35</f>
        <v>0</v>
      </c>
      <c r="K8" s="20">
        <f>'Revenue'!K35*'Assumptions'!$F$35</f>
        <v>0</v>
      </c>
      <c r="L8" s="20">
        <f>'Revenue'!L35*'Assumptions'!$F$35</f>
        <v>0</v>
      </c>
      <c r="M8" s="20">
        <f>'Revenue'!M35*'Assumptions'!$F$35</f>
        <v>0</v>
      </c>
      <c r="N8" s="20">
        <f>'Revenue'!N35*'Assumptions'!$F$35</f>
        <v>0</v>
      </c>
      <c r="O8" s="20">
        <f>'Revenue'!O35*'Assumptions'!$F$35</f>
        <v>0</v>
      </c>
      <c r="P8" s="20">
        <f>'Revenue'!P35*'Assumptions'!$F$35</f>
        <v>0</v>
      </c>
      <c r="Q8" s="20">
        <f>'Revenue'!Q35*'Assumptions'!$F$35</f>
        <v>0</v>
      </c>
      <c r="R8" s="20">
        <f>'Revenue'!R35*'Assumptions'!$F$35</f>
        <v>0</v>
      </c>
      <c r="S8" s="20">
        <f>'Revenue'!S35*'Assumptions'!$F$35</f>
        <v>0</v>
      </c>
      <c r="T8" s="20">
        <f>'Revenue'!T35*'Assumptions'!$F$35</f>
        <v>0</v>
      </c>
      <c r="U8" s="20">
        <f>'Revenue'!U35*'Assumptions'!$F$35</f>
        <v>0</v>
      </c>
      <c r="V8" s="20">
        <f>'Revenue'!V35*'Assumptions'!$F$35</f>
        <v>0</v>
      </c>
      <c r="W8" s="20">
        <f>'Revenue'!W35*'Assumptions'!$F$35</f>
        <v>0</v>
      </c>
      <c r="X8" s="20">
        <f>'Revenue'!X35*'Assumptions'!$F$35</f>
        <v>0</v>
      </c>
      <c r="Y8" s="20">
        <f>'Revenue'!Y35*'Assumptions'!$F$35</f>
        <v>0</v>
      </c>
      <c r="Z8" s="20">
        <f>'Revenue'!Z35*'Assumptions'!$F$35</f>
        <v>0</v>
      </c>
      <c r="AA8" s="20">
        <f>'Revenue'!AA35*'Assumptions'!$F$35</f>
        <v>0</v>
      </c>
      <c r="AB8" s="20">
        <f>'Revenue'!AB35*'Assumptions'!$F$35</f>
        <v>0</v>
      </c>
      <c r="AC8" s="20">
        <f>'Revenue'!AC35*'Assumptions'!$F$35</f>
        <v>0</v>
      </c>
      <c r="AD8" s="20">
        <f>'Revenue'!AD35*'Assumptions'!$F$35</f>
        <v>0</v>
      </c>
      <c r="AE8" s="20">
        <f>'Revenue'!AE35*'Assumptions'!$F$35</f>
        <v>0</v>
      </c>
      <c r="AF8" s="20">
        <f>'Revenue'!AF35*'Assumptions'!$F$35</f>
        <v>0</v>
      </c>
      <c r="AG8" s="20">
        <f>'Revenue'!AG35*'Assumptions'!$F$35</f>
        <v>0</v>
      </c>
      <c r="AH8" s="20">
        <f>'Revenue'!AH35*'Assumptions'!$F$35</f>
        <v>0</v>
      </c>
      <c r="AI8" s="20">
        <f>'Revenue'!AI35*'Assumptions'!$F$35</f>
        <v>0</v>
      </c>
      <c r="AJ8" s="20">
        <f>'Revenue'!AJ35*'Assumptions'!$F$35</f>
        <v>0</v>
      </c>
      <c r="AK8" s="20">
        <f>'Revenue'!AK35*'Assumptions'!$F$35</f>
        <v>0</v>
      </c>
      <c r="AL8" s="20">
        <f>'Revenue'!AL35*'Assumptions'!$F$35</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254</v>
      </c>
      <c r="B9" s="16"/>
      <c r="C9" s="20">
        <f>'Revenue'!C35*'Assumptions'!$F$36</f>
        <v>0</v>
      </c>
      <c r="D9" s="20">
        <f>'Revenue'!D35*'Assumptions'!$F$36</f>
        <v>0</v>
      </c>
      <c r="E9" s="20">
        <f>'Revenue'!E35*'Assumptions'!$F$36</f>
        <v>0</v>
      </c>
      <c r="F9" s="20">
        <f>'Revenue'!F35*'Assumptions'!$F$36</f>
        <v>0</v>
      </c>
      <c r="G9" s="20">
        <f>'Revenue'!G35*'Assumptions'!$F$36</f>
        <v>0</v>
      </c>
      <c r="H9" s="20">
        <f>'Revenue'!H35*'Assumptions'!$F$36</f>
        <v>0</v>
      </c>
      <c r="I9" s="20">
        <f>'Revenue'!I35*'Assumptions'!$F$36</f>
        <v>0</v>
      </c>
      <c r="J9" s="20">
        <f>'Revenue'!J35*'Assumptions'!$F$36</f>
        <v>0</v>
      </c>
      <c r="K9" s="20">
        <f>'Revenue'!K35*'Assumptions'!$F$36</f>
        <v>0</v>
      </c>
      <c r="L9" s="20">
        <f>'Revenue'!L35*'Assumptions'!$F$36</f>
        <v>0</v>
      </c>
      <c r="M9" s="20">
        <f>'Revenue'!M35*'Assumptions'!$F$36</f>
        <v>0</v>
      </c>
      <c r="N9" s="20">
        <f>'Revenue'!N35*'Assumptions'!$F$36</f>
        <v>0</v>
      </c>
      <c r="O9" s="20">
        <f>'Revenue'!O35*'Assumptions'!$F$36</f>
        <v>0</v>
      </c>
      <c r="P9" s="20">
        <f>'Revenue'!P35*'Assumptions'!$F$36</f>
        <v>0</v>
      </c>
      <c r="Q9" s="20">
        <f>'Revenue'!Q35*'Assumptions'!$F$36</f>
        <v>0</v>
      </c>
      <c r="R9" s="20">
        <f>'Revenue'!R35*'Assumptions'!$F$36</f>
        <v>0</v>
      </c>
      <c r="S9" s="20">
        <f>'Revenue'!S35*'Assumptions'!$F$36</f>
        <v>0</v>
      </c>
      <c r="T9" s="20">
        <f>'Revenue'!T35*'Assumptions'!$F$36</f>
        <v>0</v>
      </c>
      <c r="U9" s="20">
        <f>'Revenue'!U35*'Assumptions'!$F$36</f>
        <v>0</v>
      </c>
      <c r="V9" s="20">
        <f>'Revenue'!V35*'Assumptions'!$F$36</f>
        <v>0</v>
      </c>
      <c r="W9" s="20">
        <f>'Revenue'!W35*'Assumptions'!$F$36</f>
        <v>0</v>
      </c>
      <c r="X9" s="20">
        <f>'Revenue'!X35*'Assumptions'!$F$36</f>
        <v>0</v>
      </c>
      <c r="Y9" s="20">
        <f>'Revenue'!Y35*'Assumptions'!$F$36</f>
        <v>0</v>
      </c>
      <c r="Z9" s="20">
        <f>'Revenue'!Z35*'Assumptions'!$F$36</f>
        <v>0</v>
      </c>
      <c r="AA9" s="20">
        <f>'Revenue'!AA35*'Assumptions'!$F$36</f>
        <v>0</v>
      </c>
      <c r="AB9" s="20">
        <f>'Revenue'!AB35*'Assumptions'!$F$36</f>
        <v>0</v>
      </c>
      <c r="AC9" s="20">
        <f>'Revenue'!AC35*'Assumptions'!$F$36</f>
        <v>0</v>
      </c>
      <c r="AD9" s="20">
        <f>'Revenue'!AD35*'Assumptions'!$F$36</f>
        <v>0</v>
      </c>
      <c r="AE9" s="20">
        <f>'Revenue'!AE35*'Assumptions'!$F$36</f>
        <v>0</v>
      </c>
      <c r="AF9" s="20">
        <f>'Revenue'!AF35*'Assumptions'!$F$36</f>
        <v>0</v>
      </c>
      <c r="AG9" s="20">
        <f>'Revenue'!AG35*'Assumptions'!$F$36</f>
        <v>0</v>
      </c>
      <c r="AH9" s="20">
        <f>'Revenue'!AH35*'Assumptions'!$F$36</f>
        <v>0</v>
      </c>
      <c r="AI9" s="20">
        <f>'Revenue'!AI35*'Assumptions'!$F$36</f>
        <v>0</v>
      </c>
      <c r="AJ9" s="20">
        <f>'Revenue'!AJ35*'Assumptions'!$F$36</f>
        <v>0</v>
      </c>
      <c r="AK9" s="20">
        <f>'Revenue'!AK35*'Assumptions'!$F$36</f>
        <v>0</v>
      </c>
      <c r="AL9" s="20">
        <f>'Revenue'!AL35*'Assumptions'!$F$36</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255</v>
      </c>
      <c r="B10" s="16"/>
      <c r="C10" s="20">
        <f>'Revenue'!C21*'Assumptions'!$F$37</f>
        <v>0</v>
      </c>
      <c r="D10" s="20">
        <f>'Revenue'!D21*'Assumptions'!$F$37</f>
        <v>0</v>
      </c>
      <c r="E10" s="20">
        <f>'Revenue'!E21*'Assumptions'!$F$37</f>
        <v>0</v>
      </c>
      <c r="F10" s="20">
        <f>'Revenue'!F21*'Assumptions'!$F$37</f>
        <v>0</v>
      </c>
      <c r="G10" s="20">
        <f>'Revenue'!G21*'Assumptions'!$F$37</f>
        <v>0</v>
      </c>
      <c r="H10" s="20">
        <f>'Revenue'!H21*'Assumptions'!$F$37</f>
        <v>0</v>
      </c>
      <c r="I10" s="20">
        <f>'Revenue'!I21*'Assumptions'!$F$37</f>
        <v>0</v>
      </c>
      <c r="J10" s="20">
        <f>'Revenue'!J21*'Assumptions'!$F$37</f>
        <v>0</v>
      </c>
      <c r="K10" s="20">
        <f>'Revenue'!K21*'Assumptions'!$F$37</f>
        <v>0</v>
      </c>
      <c r="L10" s="20">
        <f>'Revenue'!L21*'Assumptions'!$F$37</f>
        <v>0</v>
      </c>
      <c r="M10" s="20">
        <f>'Revenue'!M21*'Assumptions'!$F$37</f>
        <v>0</v>
      </c>
      <c r="N10" s="20">
        <f>'Revenue'!N21*'Assumptions'!$F$37</f>
        <v>0</v>
      </c>
      <c r="O10" s="20">
        <f>'Revenue'!O21*'Assumptions'!$F$37</f>
        <v>0</v>
      </c>
      <c r="P10" s="20">
        <f>'Revenue'!P21*'Assumptions'!$F$37</f>
        <v>0</v>
      </c>
      <c r="Q10" s="20">
        <f>'Revenue'!Q21*'Assumptions'!$F$37</f>
        <v>0</v>
      </c>
      <c r="R10" s="20">
        <f>'Revenue'!R21*'Assumptions'!$F$37</f>
        <v>0</v>
      </c>
      <c r="S10" s="20">
        <f>'Revenue'!S21*'Assumptions'!$F$37</f>
        <v>0</v>
      </c>
      <c r="T10" s="20">
        <f>'Revenue'!T21*'Assumptions'!$F$37</f>
        <v>0</v>
      </c>
      <c r="U10" s="20">
        <f>'Revenue'!U21*'Assumptions'!$F$37</f>
        <v>0</v>
      </c>
      <c r="V10" s="20">
        <f>'Revenue'!V21*'Assumptions'!$F$37</f>
        <v>0</v>
      </c>
      <c r="W10" s="20">
        <f>'Revenue'!W21*'Assumptions'!$F$37</f>
        <v>0</v>
      </c>
      <c r="X10" s="20">
        <f>'Revenue'!X21*'Assumptions'!$F$37</f>
        <v>0</v>
      </c>
      <c r="Y10" s="20">
        <f>'Revenue'!Y21*'Assumptions'!$F$37</f>
        <v>0</v>
      </c>
      <c r="Z10" s="20">
        <f>'Revenue'!Z21*'Assumptions'!$F$37</f>
        <v>0</v>
      </c>
      <c r="AA10" s="20">
        <f>'Revenue'!AA21*'Assumptions'!$F$37</f>
        <v>0</v>
      </c>
      <c r="AB10" s="20">
        <f>'Revenue'!AB21*'Assumptions'!$F$37</f>
        <v>0</v>
      </c>
      <c r="AC10" s="20">
        <f>'Revenue'!AC21*'Assumptions'!$F$37</f>
        <v>0</v>
      </c>
      <c r="AD10" s="20">
        <f>'Revenue'!AD21*'Assumptions'!$F$37</f>
        <v>0</v>
      </c>
      <c r="AE10" s="20">
        <f>'Revenue'!AE21*'Assumptions'!$F$37</f>
        <v>0</v>
      </c>
      <c r="AF10" s="20">
        <f>'Revenue'!AF21*'Assumptions'!$F$37</f>
        <v>0</v>
      </c>
      <c r="AG10" s="20">
        <f>'Revenue'!AG21*'Assumptions'!$F$37</f>
        <v>0</v>
      </c>
      <c r="AH10" s="20">
        <f>'Revenue'!AH21*'Assumptions'!$F$37</f>
        <v>0</v>
      </c>
      <c r="AI10" s="20">
        <f>'Revenue'!AI21*'Assumptions'!$F$37</f>
        <v>0</v>
      </c>
      <c r="AJ10" s="20">
        <f>'Revenue'!AJ21*'Assumptions'!$F$37</f>
        <v>0</v>
      </c>
      <c r="AK10" s="20">
        <f>'Revenue'!AK21*'Assumptions'!$F$37</f>
        <v>0</v>
      </c>
      <c r="AL10" s="20">
        <f>'Revenue'!AL21*'Assumptions'!$F$37</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18" t="s">
        <v>256</v>
      </c>
      <c r="B11" s="16"/>
      <c r="C11" s="20">
        <f>'Revenue'!C28*'Assumptions'!$F$38</f>
        <v>0</v>
      </c>
      <c r="D11" s="20">
        <f>'Revenue'!D28*'Assumptions'!$F$38</f>
        <v>0</v>
      </c>
      <c r="E11" s="20">
        <f>'Revenue'!E28*'Assumptions'!$F$38</f>
        <v>0</v>
      </c>
      <c r="F11" s="20">
        <f>'Revenue'!F28*'Assumptions'!$F$38</f>
        <v>0</v>
      </c>
      <c r="G11" s="20">
        <f>'Revenue'!G28*'Assumptions'!$F$38</f>
        <v>0</v>
      </c>
      <c r="H11" s="20">
        <f>'Revenue'!H28*'Assumptions'!$F$38</f>
        <v>0</v>
      </c>
      <c r="I11" s="20">
        <f>'Revenue'!I28*'Assumptions'!$F$38</f>
        <v>0</v>
      </c>
      <c r="J11" s="20">
        <f>'Revenue'!J28*'Assumptions'!$F$38</f>
        <v>0</v>
      </c>
      <c r="K11" s="20">
        <f>'Revenue'!K28*'Assumptions'!$F$38</f>
        <v>0</v>
      </c>
      <c r="L11" s="20">
        <f>'Revenue'!L28*'Assumptions'!$F$38</f>
        <v>0</v>
      </c>
      <c r="M11" s="20">
        <f>'Revenue'!M28*'Assumptions'!$F$38</f>
        <v>0</v>
      </c>
      <c r="N11" s="20">
        <f>'Revenue'!N28*'Assumptions'!$F$38</f>
        <v>0</v>
      </c>
      <c r="O11" s="20">
        <f>'Revenue'!O28*'Assumptions'!$F$38</f>
        <v>0</v>
      </c>
      <c r="P11" s="20">
        <f>'Revenue'!P28*'Assumptions'!$F$38</f>
        <v>0</v>
      </c>
      <c r="Q11" s="20">
        <f>'Revenue'!Q28*'Assumptions'!$F$38</f>
        <v>0</v>
      </c>
      <c r="R11" s="20">
        <f>'Revenue'!R28*'Assumptions'!$F$38</f>
        <v>0</v>
      </c>
      <c r="S11" s="20">
        <f>'Revenue'!S28*'Assumptions'!$F$38</f>
        <v>0</v>
      </c>
      <c r="T11" s="20">
        <f>'Revenue'!T28*'Assumptions'!$F$38</f>
        <v>0</v>
      </c>
      <c r="U11" s="20">
        <f>'Revenue'!U28*'Assumptions'!$F$38</f>
        <v>0</v>
      </c>
      <c r="V11" s="20">
        <f>'Revenue'!V28*'Assumptions'!$F$38</f>
        <v>0</v>
      </c>
      <c r="W11" s="20">
        <f>'Revenue'!W28*'Assumptions'!$F$38</f>
        <v>0</v>
      </c>
      <c r="X11" s="20">
        <f>'Revenue'!X28*'Assumptions'!$F$38</f>
        <v>0</v>
      </c>
      <c r="Y11" s="20">
        <f>'Revenue'!Y28*'Assumptions'!$F$38</f>
        <v>0</v>
      </c>
      <c r="Z11" s="20">
        <f>'Revenue'!Z28*'Assumptions'!$F$38</f>
        <v>0</v>
      </c>
      <c r="AA11" s="20">
        <f>'Revenue'!AA28*'Assumptions'!$F$38</f>
        <v>0</v>
      </c>
      <c r="AB11" s="20">
        <f>'Revenue'!AB28*'Assumptions'!$F$38</f>
        <v>0</v>
      </c>
      <c r="AC11" s="20">
        <f>'Revenue'!AC28*'Assumptions'!$F$38</f>
        <v>0</v>
      </c>
      <c r="AD11" s="20">
        <f>'Revenue'!AD28*'Assumptions'!$F$38</f>
        <v>0</v>
      </c>
      <c r="AE11" s="20">
        <f>'Revenue'!AE28*'Assumptions'!$F$38</f>
        <v>0</v>
      </c>
      <c r="AF11" s="20">
        <f>'Revenue'!AF28*'Assumptions'!$F$38</f>
        <v>0</v>
      </c>
      <c r="AG11" s="20">
        <f>'Revenue'!AG28*'Assumptions'!$F$38</f>
        <v>0</v>
      </c>
      <c r="AH11" s="20">
        <f>'Revenue'!AH28*'Assumptions'!$F$38</f>
        <v>0</v>
      </c>
      <c r="AI11" s="20">
        <f>'Revenue'!AI28*'Assumptions'!$F$38</f>
        <v>0</v>
      </c>
      <c r="AJ11" s="20">
        <f>'Revenue'!AJ28*'Assumptions'!$F$38</f>
        <v>0</v>
      </c>
      <c r="AK11" s="20">
        <f>'Revenue'!AK28*'Assumptions'!$F$38</f>
        <v>0</v>
      </c>
      <c r="AL11" s="20">
        <f>'Revenue'!AL28*'Assumptions'!$F$38</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18" t="s">
        <v>257</v>
      </c>
      <c r="B12" s="16"/>
      <c r="C12" s="20">
        <f>'Headcount'!$C$21</f>
        <v>0</v>
      </c>
      <c r="D12" s="20">
        <f>'Headcount'!$D$21</f>
        <v>0</v>
      </c>
      <c r="E12" s="20">
        <f>'Headcount'!$E$21</f>
        <v>0</v>
      </c>
      <c r="F12" s="20">
        <f>'Headcount'!$F$21</f>
        <v>0</v>
      </c>
      <c r="G12" s="20">
        <f>'Headcount'!$G$21</f>
        <v>0</v>
      </c>
      <c r="H12" s="20">
        <f>'Headcount'!$H$21</f>
        <v>0</v>
      </c>
      <c r="I12" s="20">
        <f>'Headcount'!$I$21</f>
        <v>0</v>
      </c>
      <c r="J12" s="20">
        <f>'Headcount'!$J$21</f>
        <v>0</v>
      </c>
      <c r="K12" s="20">
        <f>'Headcount'!$K$21</f>
        <v>0</v>
      </c>
      <c r="L12" s="20">
        <f>'Headcount'!$L$21</f>
        <v>0</v>
      </c>
      <c r="M12" s="20">
        <f>'Headcount'!$M$21</f>
        <v>0</v>
      </c>
      <c r="N12" s="20">
        <f>'Headcount'!$N$21</f>
        <v>0</v>
      </c>
      <c r="O12" s="20">
        <f>'Headcount'!$O$21</f>
        <v>0</v>
      </c>
      <c r="P12" s="20">
        <f>'Headcount'!$P$21</f>
        <v>0</v>
      </c>
      <c r="Q12" s="20">
        <f>'Headcount'!$Q$21</f>
        <v>0</v>
      </c>
      <c r="R12" s="20">
        <f>'Headcount'!$R$21</f>
        <v>0</v>
      </c>
      <c r="S12" s="20">
        <f>'Headcount'!$S$21</f>
        <v>0</v>
      </c>
      <c r="T12" s="20">
        <f>'Headcount'!$T$21</f>
        <v>0</v>
      </c>
      <c r="U12" s="20">
        <f>'Headcount'!$U$21</f>
        <v>0</v>
      </c>
      <c r="V12" s="20">
        <f>'Headcount'!$V$21</f>
        <v>0</v>
      </c>
      <c r="W12" s="20">
        <f>'Headcount'!$W$21</f>
        <v>0</v>
      </c>
      <c r="X12" s="20">
        <f>'Headcount'!$X$21</f>
        <v>0</v>
      </c>
      <c r="Y12" s="20">
        <f>'Headcount'!$Y$21</f>
        <v>0</v>
      </c>
      <c r="Z12" s="20">
        <f>'Headcount'!$Z$21</f>
        <v>0</v>
      </c>
      <c r="AA12" s="20">
        <f>'Headcount'!$AA$21</f>
        <v>0</v>
      </c>
      <c r="AB12" s="20">
        <f>'Headcount'!$AB$21</f>
        <v>0</v>
      </c>
      <c r="AC12" s="20">
        <f>'Headcount'!$AC$21</f>
        <v>0</v>
      </c>
      <c r="AD12" s="20">
        <f>'Headcount'!$AD$21</f>
        <v>0</v>
      </c>
      <c r="AE12" s="20">
        <f>'Headcount'!$AE$21</f>
        <v>0</v>
      </c>
      <c r="AF12" s="20">
        <f>'Headcount'!$AF$21</f>
        <v>0</v>
      </c>
      <c r="AG12" s="20">
        <f>'Headcount'!$AG$21</f>
        <v>0</v>
      </c>
      <c r="AH12" s="20">
        <f>'Headcount'!$AH$21</f>
        <v>0</v>
      </c>
      <c r="AI12" s="20">
        <f>'Headcount'!$AI$21</f>
        <v>0</v>
      </c>
      <c r="AJ12" s="20">
        <f>'Headcount'!$AJ$21</f>
        <v>0</v>
      </c>
      <c r="AK12" s="20">
        <f>'Headcount'!$AK$21</f>
        <v>0</v>
      </c>
      <c r="AL12" s="20">
        <f>'Headcount'!$AL$21</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31" t="s">
        <v>258</v>
      </c>
      <c r="B13" s="16"/>
      <c r="C13" s="32">
        <f>C8+C9+C10+C11+C12</f>
        <v>0</v>
      </c>
      <c r="D13" s="32">
        <f>D8+D9+D10+D11+D12</f>
        <v>0</v>
      </c>
      <c r="E13" s="32">
        <f>E8+E9+E10+E11+E12</f>
        <v>0</v>
      </c>
      <c r="F13" s="32">
        <f>F8+F9+F10+F11+F12</f>
        <v>0</v>
      </c>
      <c r="G13" s="32">
        <f>G8+G9+G10+G11+G12</f>
        <v>0</v>
      </c>
      <c r="H13" s="32">
        <f>H8+H9+H10+H11+H12</f>
        <v>0</v>
      </c>
      <c r="I13" s="32">
        <f>I8+I9+I10+I11+I12</f>
        <v>0</v>
      </c>
      <c r="J13" s="32">
        <f>J8+J9+J10+J11+J12</f>
        <v>0</v>
      </c>
      <c r="K13" s="32">
        <f>K8+K9+K10+K11+K12</f>
        <v>0</v>
      </c>
      <c r="L13" s="32">
        <f>L8+L9+L10+L11+L12</f>
        <v>0</v>
      </c>
      <c r="M13" s="32">
        <f>M8+M9+M10+M11+M12</f>
        <v>0</v>
      </c>
      <c r="N13" s="32">
        <f>N8+N9+N10+N11+N12</f>
        <v>0</v>
      </c>
      <c r="O13" s="32">
        <f>O8+O9+O10+O11+O12</f>
        <v>0</v>
      </c>
      <c r="P13" s="32">
        <f>P8+P9+P10+P11+P12</f>
        <v>0</v>
      </c>
      <c r="Q13" s="32">
        <f>Q8+Q9+Q10+Q11+Q12</f>
        <v>0</v>
      </c>
      <c r="R13" s="32">
        <f>R8+R9+R10+R11+R12</f>
        <v>0</v>
      </c>
      <c r="S13" s="32">
        <f>S8+S9+S10+S11+S12</f>
        <v>0</v>
      </c>
      <c r="T13" s="32">
        <f>T8+T9+T10+T11+T12</f>
        <v>0</v>
      </c>
      <c r="U13" s="32">
        <f>U8+U9+U10+U11+U12</f>
        <v>0</v>
      </c>
      <c r="V13" s="32">
        <f>V8+V9+V10+V11+V12</f>
        <v>0</v>
      </c>
      <c r="W13" s="32">
        <f>W8+W9+W10+W11+W12</f>
        <v>0</v>
      </c>
      <c r="X13" s="32">
        <f>X8+X9+X10+X11+X12</f>
        <v>0</v>
      </c>
      <c r="Y13" s="32">
        <f>Y8+Y9+Y10+Y11+Y12</f>
        <v>0</v>
      </c>
      <c r="Z13" s="32">
        <f>Z8+Z9+Z10+Z11+Z12</f>
        <v>0</v>
      </c>
      <c r="AA13" s="32">
        <f>AA8+AA9+AA10+AA11+AA12</f>
        <v>0</v>
      </c>
      <c r="AB13" s="32">
        <f>AB8+AB9+AB10+AB11+AB12</f>
        <v>0</v>
      </c>
      <c r="AC13" s="32">
        <f>AC8+AC9+AC10+AC11+AC12</f>
        <v>0</v>
      </c>
      <c r="AD13" s="32">
        <f>AD8+AD9+AD10+AD11+AD12</f>
        <v>0</v>
      </c>
      <c r="AE13" s="32">
        <f>AE8+AE9+AE10+AE11+AE12</f>
        <v>0</v>
      </c>
      <c r="AF13" s="32">
        <f>AF8+AF9+AF10+AF11+AF12</f>
        <v>0</v>
      </c>
      <c r="AG13" s="32">
        <f>AG8+AG9+AG10+AG11+AG12</f>
        <v>0</v>
      </c>
      <c r="AH13" s="32">
        <f>AH8+AH9+AH10+AH11+AH12</f>
        <v>0</v>
      </c>
      <c r="AI13" s="32">
        <f>AI8+AI9+AI10+AI11+AI12</f>
        <v>0</v>
      </c>
      <c r="AJ13" s="32">
        <f>AJ8+AJ9+AJ10+AJ11+AJ12</f>
        <v>0</v>
      </c>
      <c r="AK13" s="32">
        <f>AK8+AK9+AK10+AK11+AK12</f>
        <v>0</v>
      </c>
      <c r="AL13" s="32">
        <f>AL8+AL9+AL10+AL11+AL12</f>
        <v>0</v>
      </c>
      <c r="AN13" s="32">
        <f>SUM(C13:E13)</f>
        <v>0</v>
      </c>
      <c r="AO13" s="32">
        <f>SUM(F13:H13)</f>
        <v>0</v>
      </c>
      <c r="AP13" s="32">
        <f>SUM(I13:K13)</f>
        <v>0</v>
      </c>
      <c r="AQ13" s="32">
        <f>SUM(L13:N13)</f>
        <v>0</v>
      </c>
      <c r="AR13" s="32">
        <f>SUM(O13:Q13)</f>
        <v>0</v>
      </c>
      <c r="AS13" s="32">
        <f>SUM(R13:T13)</f>
        <v>0</v>
      </c>
      <c r="AT13" s="32">
        <f>SUM(U13:W13)</f>
        <v>0</v>
      </c>
      <c r="AU13" s="32">
        <f>SUM(X13:Z13)</f>
        <v>0</v>
      </c>
      <c r="AV13" s="32">
        <f>SUM(AA13:AC13)</f>
        <v>0</v>
      </c>
      <c r="AW13" s="32">
        <f>SUM(AD13:AF13)</f>
        <v>0</v>
      </c>
      <c r="AX13" s="32">
        <f>SUM(AG13:AI13)</f>
        <v>0</v>
      </c>
      <c r="AY13" s="32">
        <f>SUM(AJ13:AL13)</f>
        <v>0</v>
      </c>
      <c r="BA13" s="32">
        <f>SUM(C13:N13)</f>
        <v>0</v>
      </c>
      <c r="BB13" s="32">
        <f>SUM(O13:Z13)</f>
        <v>0</v>
      </c>
      <c r="BC13" s="32">
        <f>SUM(AA13:AL13)</f>
        <v>0</v>
      </c>
    </row>
    <row r="14" spans="1:55" ht="5" customHeight="1"/>
    <row r="15" spans="1:55" ht="16" customHeight="1">
      <c r="A15" s="14" t="s">
        <v>259</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row>
    <row r="16" spans="1:55">
      <c r="A16" s="28" t="s">
        <v>260</v>
      </c>
      <c r="B16" s="16"/>
      <c r="C16" s="29">
        <f>'Revenue'!C35-C13</f>
        <v>0</v>
      </c>
      <c r="D16" s="29">
        <f>'Revenue'!D35-D13</f>
        <v>0</v>
      </c>
      <c r="E16" s="29">
        <f>'Revenue'!E35-E13</f>
        <v>0</v>
      </c>
      <c r="F16" s="29">
        <f>'Revenue'!F35-F13</f>
        <v>0</v>
      </c>
      <c r="G16" s="29">
        <f>'Revenue'!G35-G13</f>
        <v>0</v>
      </c>
      <c r="H16" s="29">
        <f>'Revenue'!H35-H13</f>
        <v>0</v>
      </c>
      <c r="I16" s="29">
        <f>'Revenue'!I35-I13</f>
        <v>0</v>
      </c>
      <c r="J16" s="29">
        <f>'Revenue'!J35-J13</f>
        <v>0</v>
      </c>
      <c r="K16" s="29">
        <f>'Revenue'!K35-K13</f>
        <v>0</v>
      </c>
      <c r="L16" s="29">
        <f>'Revenue'!L35-L13</f>
        <v>0</v>
      </c>
      <c r="M16" s="29">
        <f>'Revenue'!M35-M13</f>
        <v>0</v>
      </c>
      <c r="N16" s="29">
        <f>'Revenue'!N35-N13</f>
        <v>0</v>
      </c>
      <c r="O16" s="29">
        <f>'Revenue'!O35-O13</f>
        <v>0</v>
      </c>
      <c r="P16" s="29">
        <f>'Revenue'!P35-P13</f>
        <v>0</v>
      </c>
      <c r="Q16" s="29">
        <f>'Revenue'!Q35-Q13</f>
        <v>0</v>
      </c>
      <c r="R16" s="29">
        <f>'Revenue'!R35-R13</f>
        <v>0</v>
      </c>
      <c r="S16" s="29">
        <f>'Revenue'!S35-S13</f>
        <v>0</v>
      </c>
      <c r="T16" s="29">
        <f>'Revenue'!T35-T13</f>
        <v>0</v>
      </c>
      <c r="U16" s="29">
        <f>'Revenue'!U35-U13</f>
        <v>0</v>
      </c>
      <c r="V16" s="29">
        <f>'Revenue'!V35-V13</f>
        <v>0</v>
      </c>
      <c r="W16" s="29">
        <f>'Revenue'!W35-W13</f>
        <v>0</v>
      </c>
      <c r="X16" s="29">
        <f>'Revenue'!X35-X13</f>
        <v>0</v>
      </c>
      <c r="Y16" s="29">
        <f>'Revenue'!Y35-Y13</f>
        <v>0</v>
      </c>
      <c r="Z16" s="29">
        <f>'Revenue'!Z35-Z13</f>
        <v>0</v>
      </c>
      <c r="AA16" s="29">
        <f>'Revenue'!AA35-AA13</f>
        <v>0</v>
      </c>
      <c r="AB16" s="29">
        <f>'Revenue'!AB35-AB13</f>
        <v>0</v>
      </c>
      <c r="AC16" s="29">
        <f>'Revenue'!AC35-AC13</f>
        <v>0</v>
      </c>
      <c r="AD16" s="29">
        <f>'Revenue'!AD35-AD13</f>
        <v>0</v>
      </c>
      <c r="AE16" s="29">
        <f>'Revenue'!AE35-AE13</f>
        <v>0</v>
      </c>
      <c r="AF16" s="29">
        <f>'Revenue'!AF35-AF13</f>
        <v>0</v>
      </c>
      <c r="AG16" s="29">
        <f>'Revenue'!AG35-AG13</f>
        <v>0</v>
      </c>
      <c r="AH16" s="29">
        <f>'Revenue'!AH35-AH13</f>
        <v>0</v>
      </c>
      <c r="AI16" s="29">
        <f>'Revenue'!AI35-AI13</f>
        <v>0</v>
      </c>
      <c r="AJ16" s="29">
        <f>'Revenue'!AJ35-AJ13</f>
        <v>0</v>
      </c>
      <c r="AK16" s="29">
        <f>'Revenue'!AK35-AK13</f>
        <v>0</v>
      </c>
      <c r="AL16" s="29">
        <f>'Revenue'!AL35-AL13</f>
        <v>0</v>
      </c>
      <c r="AN16" s="29">
        <f>SUM(C16:E16)</f>
        <v>0</v>
      </c>
      <c r="AO16" s="29">
        <f>SUM(F16:H16)</f>
        <v>0</v>
      </c>
      <c r="AP16" s="29">
        <f>SUM(I16:K16)</f>
        <v>0</v>
      </c>
      <c r="AQ16" s="29">
        <f>SUM(L16:N16)</f>
        <v>0</v>
      </c>
      <c r="AR16" s="29">
        <f>SUM(O16:Q16)</f>
        <v>0</v>
      </c>
      <c r="AS16" s="29">
        <f>SUM(R16:T16)</f>
        <v>0</v>
      </c>
      <c r="AT16" s="29">
        <f>SUM(U16:W16)</f>
        <v>0</v>
      </c>
      <c r="AU16" s="29">
        <f>SUM(X16:Z16)</f>
        <v>0</v>
      </c>
      <c r="AV16" s="29">
        <f>SUM(AA16:AC16)</f>
        <v>0</v>
      </c>
      <c r="AW16" s="29">
        <f>SUM(AD16:AF16)</f>
        <v>0</v>
      </c>
      <c r="AX16" s="29">
        <f>SUM(AG16:AI16)</f>
        <v>0</v>
      </c>
      <c r="AY16" s="29">
        <f>SUM(AJ16:AL16)</f>
        <v>0</v>
      </c>
      <c r="BA16" s="29">
        <f>SUM(C16:N16)</f>
        <v>0</v>
      </c>
      <c r="BB16" s="29">
        <f>SUM(O16:Z16)</f>
        <v>0</v>
      </c>
      <c r="BC16" s="29">
        <f>SUM(AA16:AL16)</f>
        <v>0</v>
      </c>
    </row>
    <row r="17" spans="1:55">
      <c r="A17" s="18" t="s">
        <v>261</v>
      </c>
      <c r="B17" s="16"/>
      <c r="C17" s="25">
        <f>IFERROR(C16/'Revenue'!C35,0)</f>
        <v>0</v>
      </c>
      <c r="D17" s="25">
        <f>IFERROR(D16/'Revenue'!D35,0)</f>
        <v>0</v>
      </c>
      <c r="E17" s="25">
        <f>IFERROR(E16/'Revenue'!E35,0)</f>
        <v>0</v>
      </c>
      <c r="F17" s="25">
        <f>IFERROR(F16/'Revenue'!F35,0)</f>
        <v>0</v>
      </c>
      <c r="G17" s="25">
        <f>IFERROR(G16/'Revenue'!G35,0)</f>
        <v>0</v>
      </c>
      <c r="H17" s="25">
        <f>IFERROR(H16/'Revenue'!H35,0)</f>
        <v>0</v>
      </c>
      <c r="I17" s="25">
        <f>IFERROR(I16/'Revenue'!I35,0)</f>
        <v>0</v>
      </c>
      <c r="J17" s="25">
        <f>IFERROR(J16/'Revenue'!J35,0)</f>
        <v>0</v>
      </c>
      <c r="K17" s="25">
        <f>IFERROR(K16/'Revenue'!K35,0)</f>
        <v>0</v>
      </c>
      <c r="L17" s="25">
        <f>IFERROR(L16/'Revenue'!L35,0)</f>
        <v>0</v>
      </c>
      <c r="M17" s="25">
        <f>IFERROR(M16/'Revenue'!M35,0)</f>
        <v>0</v>
      </c>
      <c r="N17" s="25">
        <f>IFERROR(N16/'Revenue'!N35,0)</f>
        <v>0</v>
      </c>
      <c r="O17" s="25">
        <f>IFERROR(O16/'Revenue'!O35,0)</f>
        <v>0</v>
      </c>
      <c r="P17" s="25">
        <f>IFERROR(P16/'Revenue'!P35,0)</f>
        <v>0</v>
      </c>
      <c r="Q17" s="25">
        <f>IFERROR(Q16/'Revenue'!Q35,0)</f>
        <v>0</v>
      </c>
      <c r="R17" s="25">
        <f>IFERROR(R16/'Revenue'!R35,0)</f>
        <v>0</v>
      </c>
      <c r="S17" s="25">
        <f>IFERROR(S16/'Revenue'!S35,0)</f>
        <v>0</v>
      </c>
      <c r="T17" s="25">
        <f>IFERROR(T16/'Revenue'!T35,0)</f>
        <v>0</v>
      </c>
      <c r="U17" s="25">
        <f>IFERROR(U16/'Revenue'!U35,0)</f>
        <v>0</v>
      </c>
      <c r="V17" s="25">
        <f>IFERROR(V16/'Revenue'!V35,0)</f>
        <v>0</v>
      </c>
      <c r="W17" s="25">
        <f>IFERROR(W16/'Revenue'!W35,0)</f>
        <v>0</v>
      </c>
      <c r="X17" s="25">
        <f>IFERROR(X16/'Revenue'!X35,0)</f>
        <v>0</v>
      </c>
      <c r="Y17" s="25">
        <f>IFERROR(Y16/'Revenue'!Y35,0)</f>
        <v>0</v>
      </c>
      <c r="Z17" s="25">
        <f>IFERROR(Z16/'Revenue'!Z35,0)</f>
        <v>0</v>
      </c>
      <c r="AA17" s="25">
        <f>IFERROR(AA16/'Revenue'!AA35,0)</f>
        <v>0</v>
      </c>
      <c r="AB17" s="25">
        <f>IFERROR(AB16/'Revenue'!AB35,0)</f>
        <v>0</v>
      </c>
      <c r="AC17" s="25">
        <f>IFERROR(AC16/'Revenue'!AC35,0)</f>
        <v>0</v>
      </c>
      <c r="AD17" s="25">
        <f>IFERROR(AD16/'Revenue'!AD35,0)</f>
        <v>0</v>
      </c>
      <c r="AE17" s="25">
        <f>IFERROR(AE16/'Revenue'!AE35,0)</f>
        <v>0</v>
      </c>
      <c r="AF17" s="25">
        <f>IFERROR(AF16/'Revenue'!AF35,0)</f>
        <v>0</v>
      </c>
      <c r="AG17" s="25">
        <f>IFERROR(AG16/'Revenue'!AG35,0)</f>
        <v>0</v>
      </c>
      <c r="AH17" s="25">
        <f>IFERROR(AH16/'Revenue'!AH35,0)</f>
        <v>0</v>
      </c>
      <c r="AI17" s="25">
        <f>IFERROR(AI16/'Revenue'!AI35,0)</f>
        <v>0</v>
      </c>
      <c r="AJ17" s="25">
        <f>IFERROR(AJ16/'Revenue'!AJ35,0)</f>
        <v>0</v>
      </c>
      <c r="AK17" s="25">
        <f>IFERROR(AK16/'Revenue'!AK35,0)</f>
        <v>0</v>
      </c>
      <c r="AL17" s="25">
        <f>IFERROR(AL16/'Revenue'!AL35,0)</f>
        <v>0</v>
      </c>
      <c r="AN17" s="25">
        <f>AVERAGE(C17:E17)</f>
        <v>0</v>
      </c>
      <c r="AO17" s="25">
        <f>AVERAGE(F17:H17)</f>
        <v>0</v>
      </c>
      <c r="AP17" s="25">
        <f>AVERAGE(I17:K17)</f>
        <v>0</v>
      </c>
      <c r="AQ17" s="25">
        <f>AVERAGE(L17:N17)</f>
        <v>0</v>
      </c>
      <c r="AR17" s="25">
        <f>AVERAGE(O17:Q17)</f>
        <v>0</v>
      </c>
      <c r="AS17" s="25">
        <f>AVERAGE(R17:T17)</f>
        <v>0</v>
      </c>
      <c r="AT17" s="25">
        <f>AVERAGE(U17:W17)</f>
        <v>0</v>
      </c>
      <c r="AU17" s="25">
        <f>AVERAGE(X17:Z17)</f>
        <v>0</v>
      </c>
      <c r="AV17" s="25">
        <f>AVERAGE(AA17:AC17)</f>
        <v>0</v>
      </c>
      <c r="AW17" s="25">
        <f>AVERAGE(AD17:AF17)</f>
        <v>0</v>
      </c>
      <c r="AX17" s="25">
        <f>AVERAGE(AG17:AI17)</f>
        <v>0</v>
      </c>
      <c r="AY17" s="25">
        <f>AVERAGE(AJ17:AL17)</f>
        <v>0</v>
      </c>
      <c r="BA17" s="25">
        <f>AVERAGE(C17:N17)</f>
        <v>0</v>
      </c>
      <c r="BB17" s="25">
        <f>AVERAGE(O17:Z17)</f>
        <v>0</v>
      </c>
      <c r="BC17" s="25">
        <f>AVERAGE(AA17:AL17)</f>
        <v>0</v>
      </c>
    </row>
    <row r="18" spans="1:55">
      <c r="A18" s="18" t="s">
        <v>262</v>
      </c>
      <c r="B18" s="16" t="s">
        <v>263</v>
      </c>
      <c r="C18" s="25">
        <f>IFERROR((C16-'Revenue'!C15)/'Revenue'!C35,0)</f>
        <v>0</v>
      </c>
      <c r="D18" s="25">
        <f>IFERROR((D16-'Revenue'!D15)/'Revenue'!D35,0)</f>
        <v>0</v>
      </c>
      <c r="E18" s="25">
        <f>IFERROR((E16-'Revenue'!E15)/'Revenue'!E35,0)</f>
        <v>0</v>
      </c>
      <c r="F18" s="25">
        <f>IFERROR((F16-'Revenue'!F15)/'Revenue'!F35,0)</f>
        <v>0</v>
      </c>
      <c r="G18" s="25">
        <f>IFERROR((G16-'Revenue'!G15)/'Revenue'!G35,0)</f>
        <v>0</v>
      </c>
      <c r="H18" s="25">
        <f>IFERROR((H16-'Revenue'!H15)/'Revenue'!H35,0)</f>
        <v>0</v>
      </c>
      <c r="I18" s="25">
        <f>IFERROR((I16-'Revenue'!I15)/'Revenue'!I35,0)</f>
        <v>0</v>
      </c>
      <c r="J18" s="25">
        <f>IFERROR((J16-'Revenue'!J15)/'Revenue'!J35,0)</f>
        <v>0</v>
      </c>
      <c r="K18" s="25">
        <f>IFERROR((K16-'Revenue'!K15)/'Revenue'!K35,0)</f>
        <v>0</v>
      </c>
      <c r="L18" s="25">
        <f>IFERROR((L16-'Revenue'!L15)/'Revenue'!L35,0)</f>
        <v>0</v>
      </c>
      <c r="M18" s="25">
        <f>IFERROR((M16-'Revenue'!M15)/'Revenue'!M35,0)</f>
        <v>0</v>
      </c>
      <c r="N18" s="25">
        <f>IFERROR((N16-'Revenue'!N15)/'Revenue'!N35,0)</f>
        <v>0</v>
      </c>
      <c r="O18" s="25">
        <f>IFERROR((O16-'Revenue'!O15)/'Revenue'!O35,0)</f>
        <v>0</v>
      </c>
      <c r="P18" s="25">
        <f>IFERROR((P16-'Revenue'!P15)/'Revenue'!P35,0)</f>
        <v>0</v>
      </c>
      <c r="Q18" s="25">
        <f>IFERROR((Q16-'Revenue'!Q15)/'Revenue'!Q35,0)</f>
        <v>0</v>
      </c>
      <c r="R18" s="25">
        <f>IFERROR((R16-'Revenue'!R15)/'Revenue'!R35,0)</f>
        <v>0</v>
      </c>
      <c r="S18" s="25">
        <f>IFERROR((S16-'Revenue'!S15)/'Revenue'!S35,0)</f>
        <v>0</v>
      </c>
      <c r="T18" s="25">
        <f>IFERROR((T16-'Revenue'!T15)/'Revenue'!T35,0)</f>
        <v>0</v>
      </c>
      <c r="U18" s="25">
        <f>IFERROR((U16-'Revenue'!U15)/'Revenue'!U35,0)</f>
        <v>0</v>
      </c>
      <c r="V18" s="25">
        <f>IFERROR((V16-'Revenue'!V15)/'Revenue'!V35,0)</f>
        <v>0</v>
      </c>
      <c r="W18" s="25">
        <f>IFERROR((W16-'Revenue'!W15)/'Revenue'!W35,0)</f>
        <v>0</v>
      </c>
      <c r="X18" s="25">
        <f>IFERROR((X16-'Revenue'!X15)/'Revenue'!X35,0)</f>
        <v>0</v>
      </c>
      <c r="Y18" s="25">
        <f>IFERROR((Y16-'Revenue'!Y15)/'Revenue'!Y35,0)</f>
        <v>0</v>
      </c>
      <c r="Z18" s="25">
        <f>IFERROR((Z16-'Revenue'!Z15)/'Revenue'!Z35,0)</f>
        <v>0</v>
      </c>
      <c r="AA18" s="25">
        <f>IFERROR((AA16-'Revenue'!AA15)/'Revenue'!AA35,0)</f>
        <v>0</v>
      </c>
      <c r="AB18" s="25">
        <f>IFERROR((AB16-'Revenue'!AB15)/'Revenue'!AB35,0)</f>
        <v>0</v>
      </c>
      <c r="AC18" s="25">
        <f>IFERROR((AC16-'Revenue'!AC15)/'Revenue'!AC35,0)</f>
        <v>0</v>
      </c>
      <c r="AD18" s="25">
        <f>IFERROR((AD16-'Revenue'!AD15)/'Revenue'!AD35,0)</f>
        <v>0</v>
      </c>
      <c r="AE18" s="25">
        <f>IFERROR((AE16-'Revenue'!AE15)/'Revenue'!AE35,0)</f>
        <v>0</v>
      </c>
      <c r="AF18" s="25">
        <f>IFERROR((AF16-'Revenue'!AF15)/'Revenue'!AF35,0)</f>
        <v>0</v>
      </c>
      <c r="AG18" s="25">
        <f>IFERROR((AG16-'Revenue'!AG15)/'Revenue'!AG35,0)</f>
        <v>0</v>
      </c>
      <c r="AH18" s="25">
        <f>IFERROR((AH16-'Revenue'!AH15)/'Revenue'!AH35,0)</f>
        <v>0</v>
      </c>
      <c r="AI18" s="25">
        <f>IFERROR((AI16-'Revenue'!AI15)/'Revenue'!AI35,0)</f>
        <v>0</v>
      </c>
      <c r="AJ18" s="25">
        <f>IFERROR((AJ16-'Revenue'!AJ15)/'Revenue'!AJ35,0)</f>
        <v>0</v>
      </c>
      <c r="AK18" s="25">
        <f>IFERROR((AK16-'Revenue'!AK15)/'Revenue'!AK35,0)</f>
        <v>0</v>
      </c>
      <c r="AL18" s="25">
        <f>IFERROR((AL16-'Revenue'!AL15)/'Revenue'!AL35,0)</f>
        <v>0</v>
      </c>
      <c r="AN18" s="25">
        <f>AVERAGE(C18:E18)</f>
        <v>0</v>
      </c>
      <c r="AO18" s="25">
        <f>AVERAGE(F18:H18)</f>
        <v>0</v>
      </c>
      <c r="AP18" s="25">
        <f>AVERAGE(I18:K18)</f>
        <v>0</v>
      </c>
      <c r="AQ18" s="25">
        <f>AVERAGE(L18:N18)</f>
        <v>0</v>
      </c>
      <c r="AR18" s="25">
        <f>AVERAGE(O18:Q18)</f>
        <v>0</v>
      </c>
      <c r="AS18" s="25">
        <f>AVERAGE(R18:T18)</f>
        <v>0</v>
      </c>
      <c r="AT18" s="25">
        <f>AVERAGE(U18:W18)</f>
        <v>0</v>
      </c>
      <c r="AU18" s="25">
        <f>AVERAGE(X18:Z18)</f>
        <v>0</v>
      </c>
      <c r="AV18" s="25">
        <f>AVERAGE(AA18:AC18)</f>
        <v>0</v>
      </c>
      <c r="AW18" s="25">
        <f>AVERAGE(AD18:AF18)</f>
        <v>0</v>
      </c>
      <c r="AX18" s="25">
        <f>AVERAGE(AG18:AI18)</f>
        <v>0</v>
      </c>
      <c r="AY18" s="25">
        <f>AVERAGE(AJ18:AL18)</f>
        <v>0</v>
      </c>
      <c r="BA18" s="25">
        <f>AVERAGE(C18:N18)</f>
        <v>0</v>
      </c>
      <c r="BB18" s="25">
        <f>AVERAGE(O18:Z18)</f>
        <v>0</v>
      </c>
      <c r="BC18" s="25">
        <f>AVERAGE(AA18:AL18)</f>
        <v>0</v>
      </c>
    </row>
    <row r="19" spans="1:55">
      <c r="A19" s="18" t="s">
        <v>264</v>
      </c>
      <c r="B19" s="16" t="s">
        <v>265</v>
      </c>
      <c r="C19" s="30">
        <f>IF('Revenue'!C42&lt;=0,999,MAX(0,('Revenue'!C32*C18)/'Revenue'!C42))</f>
        <v>0</v>
      </c>
      <c r="D19" s="30">
        <f>IF('Revenue'!D42&lt;=0,999,MAX(0,('Revenue'!D32*D18)/'Revenue'!D42))</f>
        <v>0</v>
      </c>
      <c r="E19" s="30">
        <f>IF('Revenue'!E42&lt;=0,999,MAX(0,('Revenue'!E32*E18)/'Revenue'!E42))</f>
        <v>0</v>
      </c>
      <c r="F19" s="30">
        <f>IF('Revenue'!F42&lt;=0,999,MAX(0,('Revenue'!F32*F18)/'Revenue'!F42))</f>
        <v>0</v>
      </c>
      <c r="G19" s="30">
        <f>IF('Revenue'!G42&lt;=0,999,MAX(0,('Revenue'!G32*G18)/'Revenue'!G42))</f>
        <v>0</v>
      </c>
      <c r="H19" s="30">
        <f>IF('Revenue'!H42&lt;=0,999,MAX(0,('Revenue'!H32*H18)/'Revenue'!H42))</f>
        <v>0</v>
      </c>
      <c r="I19" s="30">
        <f>IF('Revenue'!I42&lt;=0,999,MAX(0,('Revenue'!I32*I18)/'Revenue'!I42))</f>
        <v>0</v>
      </c>
      <c r="J19" s="30">
        <f>IF('Revenue'!J42&lt;=0,999,MAX(0,('Revenue'!J32*J18)/'Revenue'!J42))</f>
        <v>0</v>
      </c>
      <c r="K19" s="30">
        <f>IF('Revenue'!K42&lt;=0,999,MAX(0,('Revenue'!K32*K18)/'Revenue'!K42))</f>
        <v>0</v>
      </c>
      <c r="L19" s="30">
        <f>IF('Revenue'!L42&lt;=0,999,MAX(0,('Revenue'!L32*L18)/'Revenue'!L42))</f>
        <v>0</v>
      </c>
      <c r="M19" s="30">
        <f>IF('Revenue'!M42&lt;=0,999,MAX(0,('Revenue'!M32*M18)/'Revenue'!M42))</f>
        <v>0</v>
      </c>
      <c r="N19" s="30">
        <f>IF('Revenue'!N42&lt;=0,999,MAX(0,('Revenue'!N32*N18)/'Revenue'!N42))</f>
        <v>0</v>
      </c>
      <c r="O19" s="30">
        <f>IF('Revenue'!O42&lt;=0,999,MAX(0,('Revenue'!O32*O18)/'Revenue'!O42))</f>
        <v>0</v>
      </c>
      <c r="P19" s="30">
        <f>IF('Revenue'!P42&lt;=0,999,MAX(0,('Revenue'!P32*P18)/'Revenue'!P42))</f>
        <v>0</v>
      </c>
      <c r="Q19" s="30">
        <f>IF('Revenue'!Q42&lt;=0,999,MAX(0,('Revenue'!Q32*Q18)/'Revenue'!Q42))</f>
        <v>0</v>
      </c>
      <c r="R19" s="30">
        <f>IF('Revenue'!R42&lt;=0,999,MAX(0,('Revenue'!R32*R18)/'Revenue'!R42))</f>
        <v>0</v>
      </c>
      <c r="S19" s="30">
        <f>IF('Revenue'!S42&lt;=0,999,MAX(0,('Revenue'!S32*S18)/'Revenue'!S42))</f>
        <v>0</v>
      </c>
      <c r="T19" s="30">
        <f>IF('Revenue'!T42&lt;=0,999,MAX(0,('Revenue'!T32*T18)/'Revenue'!T42))</f>
        <v>0</v>
      </c>
      <c r="U19" s="30">
        <f>IF('Revenue'!U42&lt;=0,999,MAX(0,('Revenue'!U32*U18)/'Revenue'!U42))</f>
        <v>0</v>
      </c>
      <c r="V19" s="30">
        <f>IF('Revenue'!V42&lt;=0,999,MAX(0,('Revenue'!V32*V18)/'Revenue'!V42))</f>
        <v>0</v>
      </c>
      <c r="W19" s="30">
        <f>IF('Revenue'!W42&lt;=0,999,MAX(0,('Revenue'!W32*W18)/'Revenue'!W42))</f>
        <v>0</v>
      </c>
      <c r="X19" s="30">
        <f>IF('Revenue'!X42&lt;=0,999,MAX(0,('Revenue'!X32*X18)/'Revenue'!X42))</f>
        <v>0</v>
      </c>
      <c r="Y19" s="30">
        <f>IF('Revenue'!Y42&lt;=0,999,MAX(0,('Revenue'!Y32*Y18)/'Revenue'!Y42))</f>
        <v>0</v>
      </c>
      <c r="Z19" s="30">
        <f>IF('Revenue'!Z42&lt;=0,999,MAX(0,('Revenue'!Z32*Z18)/'Revenue'!Z42))</f>
        <v>0</v>
      </c>
      <c r="AA19" s="30">
        <f>IF('Revenue'!AA42&lt;=0,999,MAX(0,('Revenue'!AA32*AA18)/'Revenue'!AA42))</f>
        <v>0</v>
      </c>
      <c r="AB19" s="30">
        <f>IF('Revenue'!AB42&lt;=0,999,MAX(0,('Revenue'!AB32*AB18)/'Revenue'!AB42))</f>
        <v>0</v>
      </c>
      <c r="AC19" s="30">
        <f>IF('Revenue'!AC42&lt;=0,999,MAX(0,('Revenue'!AC32*AC18)/'Revenue'!AC42))</f>
        <v>0</v>
      </c>
      <c r="AD19" s="30">
        <f>IF('Revenue'!AD42&lt;=0,999,MAX(0,('Revenue'!AD32*AD18)/'Revenue'!AD42))</f>
        <v>0</v>
      </c>
      <c r="AE19" s="30">
        <f>IF('Revenue'!AE42&lt;=0,999,MAX(0,('Revenue'!AE32*AE18)/'Revenue'!AE42))</f>
        <v>0</v>
      </c>
      <c r="AF19" s="30">
        <f>IF('Revenue'!AF42&lt;=0,999,MAX(0,('Revenue'!AF32*AF18)/'Revenue'!AF42))</f>
        <v>0</v>
      </c>
      <c r="AG19" s="30">
        <f>IF('Revenue'!AG42&lt;=0,999,MAX(0,('Revenue'!AG32*AG18)/'Revenue'!AG42))</f>
        <v>0</v>
      </c>
      <c r="AH19" s="30">
        <f>IF('Revenue'!AH42&lt;=0,999,MAX(0,('Revenue'!AH32*AH18)/'Revenue'!AH42))</f>
        <v>0</v>
      </c>
      <c r="AI19" s="30">
        <f>IF('Revenue'!AI42&lt;=0,999,MAX(0,('Revenue'!AI32*AI18)/'Revenue'!AI42))</f>
        <v>0</v>
      </c>
      <c r="AJ19" s="30">
        <f>IF('Revenue'!AJ42&lt;=0,999,MAX(0,('Revenue'!AJ32*AJ18)/'Revenue'!AJ42))</f>
        <v>0</v>
      </c>
      <c r="AK19" s="30">
        <f>IF('Revenue'!AK42&lt;=0,999,MAX(0,('Revenue'!AK32*AK18)/'Revenue'!AK42))</f>
        <v>0</v>
      </c>
      <c r="AL19" s="30">
        <f>IF('Revenue'!AL42&lt;=0,999,MAX(0,('Revenue'!AL32*AL18)/'Revenue'!AL42))</f>
        <v>0</v>
      </c>
      <c r="AN19" s="30">
        <f>AVERAGE(C19:E19)</f>
        <v>0</v>
      </c>
      <c r="AO19" s="30">
        <f>AVERAGE(F19:H19)</f>
        <v>0</v>
      </c>
      <c r="AP19" s="30">
        <f>AVERAGE(I19:K19)</f>
        <v>0</v>
      </c>
      <c r="AQ19" s="30">
        <f>AVERAGE(L19:N19)</f>
        <v>0</v>
      </c>
      <c r="AR19" s="30">
        <f>AVERAGE(O19:Q19)</f>
        <v>0</v>
      </c>
      <c r="AS19" s="30">
        <f>AVERAGE(R19:T19)</f>
        <v>0</v>
      </c>
      <c r="AT19" s="30">
        <f>AVERAGE(U19:W19)</f>
        <v>0</v>
      </c>
      <c r="AU19" s="30">
        <f>AVERAGE(X19:Z19)</f>
        <v>0</v>
      </c>
      <c r="AV19" s="30">
        <f>AVERAGE(AA19:AC19)</f>
        <v>0</v>
      </c>
      <c r="AW19" s="30">
        <f>AVERAGE(AD19:AF19)</f>
        <v>0</v>
      </c>
      <c r="AX19" s="30">
        <f>AVERAGE(AG19:AI19)</f>
        <v>0</v>
      </c>
      <c r="AY19" s="30">
        <f>AVERAGE(AJ19:AL19)</f>
        <v>0</v>
      </c>
      <c r="BA19" s="30">
        <f>AVERAGE(C19:N19)</f>
        <v>0</v>
      </c>
      <c r="BB19" s="30">
        <f>AVERAGE(O19:Z19)</f>
        <v>0</v>
      </c>
      <c r="BC19" s="30">
        <f>AVERAGE(AA19:AL19)</f>
        <v>0</v>
      </c>
    </row>
    <row r="20" spans="1:55">
      <c r="A20" s="18" t="s">
        <v>266</v>
      </c>
      <c r="B20" s="16"/>
      <c r="C20" s="33">
        <f>IFERROR(C19/'Revenue'!C43,0)</f>
        <v>0</v>
      </c>
      <c r="D20" s="33">
        <f>IFERROR(D19/'Revenue'!D43,0)</f>
        <v>0</v>
      </c>
      <c r="E20" s="33">
        <f>IFERROR(E19/'Revenue'!E43,0)</f>
        <v>0</v>
      </c>
      <c r="F20" s="33">
        <f>IFERROR(F19/'Revenue'!F43,0)</f>
        <v>0</v>
      </c>
      <c r="G20" s="33">
        <f>IFERROR(G19/'Revenue'!G43,0)</f>
        <v>0</v>
      </c>
      <c r="H20" s="33">
        <f>IFERROR(H19/'Revenue'!H43,0)</f>
        <v>0</v>
      </c>
      <c r="I20" s="33">
        <f>IFERROR(I19/'Revenue'!I43,0)</f>
        <v>0</v>
      </c>
      <c r="J20" s="33">
        <f>IFERROR(J19/'Revenue'!J43,0)</f>
        <v>0</v>
      </c>
      <c r="K20" s="33">
        <f>IFERROR(K19/'Revenue'!K43,0)</f>
        <v>0</v>
      </c>
      <c r="L20" s="33">
        <f>IFERROR(L19/'Revenue'!L43,0)</f>
        <v>0</v>
      </c>
      <c r="M20" s="33">
        <f>IFERROR(M19/'Revenue'!M43,0)</f>
        <v>0</v>
      </c>
      <c r="N20" s="33">
        <f>IFERROR(N19/'Revenue'!N43,0)</f>
        <v>0</v>
      </c>
      <c r="O20" s="33">
        <f>IFERROR(O19/'Revenue'!O43,0)</f>
        <v>0</v>
      </c>
      <c r="P20" s="33">
        <f>IFERROR(P19/'Revenue'!P43,0)</f>
        <v>0</v>
      </c>
      <c r="Q20" s="33">
        <f>IFERROR(Q19/'Revenue'!Q43,0)</f>
        <v>0</v>
      </c>
      <c r="R20" s="33">
        <f>IFERROR(R19/'Revenue'!R43,0)</f>
        <v>0</v>
      </c>
      <c r="S20" s="33">
        <f>IFERROR(S19/'Revenue'!S43,0)</f>
        <v>0</v>
      </c>
      <c r="T20" s="33">
        <f>IFERROR(T19/'Revenue'!T43,0)</f>
        <v>0</v>
      </c>
      <c r="U20" s="33">
        <f>IFERROR(U19/'Revenue'!U43,0)</f>
        <v>0</v>
      </c>
      <c r="V20" s="33">
        <f>IFERROR(V19/'Revenue'!V43,0)</f>
        <v>0</v>
      </c>
      <c r="W20" s="33">
        <f>IFERROR(W19/'Revenue'!W43,0)</f>
        <v>0</v>
      </c>
      <c r="X20" s="33">
        <f>IFERROR(X19/'Revenue'!X43,0)</f>
        <v>0</v>
      </c>
      <c r="Y20" s="33">
        <f>IFERROR(Y19/'Revenue'!Y43,0)</f>
        <v>0</v>
      </c>
      <c r="Z20" s="33">
        <f>IFERROR(Z19/'Revenue'!Z43,0)</f>
        <v>0</v>
      </c>
      <c r="AA20" s="33">
        <f>IFERROR(AA19/'Revenue'!AA43,0)</f>
        <v>0</v>
      </c>
      <c r="AB20" s="33">
        <f>IFERROR(AB19/'Revenue'!AB43,0)</f>
        <v>0</v>
      </c>
      <c r="AC20" s="33">
        <f>IFERROR(AC19/'Revenue'!AC43,0)</f>
        <v>0</v>
      </c>
      <c r="AD20" s="33">
        <f>IFERROR(AD19/'Revenue'!AD43,0)</f>
        <v>0</v>
      </c>
      <c r="AE20" s="33">
        <f>IFERROR(AE19/'Revenue'!AE43,0)</f>
        <v>0</v>
      </c>
      <c r="AF20" s="33">
        <f>IFERROR(AF19/'Revenue'!AF43,0)</f>
        <v>0</v>
      </c>
      <c r="AG20" s="33">
        <f>IFERROR(AG19/'Revenue'!AG43,0)</f>
        <v>0</v>
      </c>
      <c r="AH20" s="33">
        <f>IFERROR(AH19/'Revenue'!AH43,0)</f>
        <v>0</v>
      </c>
      <c r="AI20" s="33">
        <f>IFERROR(AI19/'Revenue'!AI43,0)</f>
        <v>0</v>
      </c>
      <c r="AJ20" s="33">
        <f>IFERROR(AJ19/'Revenue'!AJ43,0)</f>
        <v>0</v>
      </c>
      <c r="AK20" s="33">
        <f>IFERROR(AK19/'Revenue'!AK43,0)</f>
        <v>0</v>
      </c>
      <c r="AL20" s="33">
        <f>IFERROR(AL19/'Revenue'!AL43,0)</f>
        <v>0</v>
      </c>
      <c r="AN20" s="33">
        <f>AVERAGE(C20:E20)</f>
        <v>0</v>
      </c>
      <c r="AO20" s="33">
        <f>AVERAGE(F20:H20)</f>
        <v>0</v>
      </c>
      <c r="AP20" s="33">
        <f>AVERAGE(I20:K20)</f>
        <v>0</v>
      </c>
      <c r="AQ20" s="33">
        <f>AVERAGE(L20:N20)</f>
        <v>0</v>
      </c>
      <c r="AR20" s="33">
        <f>AVERAGE(O20:Q20)</f>
        <v>0</v>
      </c>
      <c r="AS20" s="33">
        <f>AVERAGE(R20:T20)</f>
        <v>0</v>
      </c>
      <c r="AT20" s="33">
        <f>AVERAGE(U20:W20)</f>
        <v>0</v>
      </c>
      <c r="AU20" s="33">
        <f>AVERAGE(X20:Z20)</f>
        <v>0</v>
      </c>
      <c r="AV20" s="33">
        <f>AVERAGE(AA20:AC20)</f>
        <v>0</v>
      </c>
      <c r="AW20" s="33">
        <f>AVERAGE(AD20:AF20)</f>
        <v>0</v>
      </c>
      <c r="AX20" s="33">
        <f>AVERAGE(AG20:AI20)</f>
        <v>0</v>
      </c>
      <c r="AY20" s="33">
        <f>AVERAGE(AJ20:AL20)</f>
        <v>0</v>
      </c>
      <c r="BA20" s="33">
        <f>AVERAGE(C20:N20)</f>
        <v>0</v>
      </c>
      <c r="BB20" s="33">
        <f>AVERAGE(O20:Z20)</f>
        <v>0</v>
      </c>
      <c r="BC20" s="33">
        <f>AVERAGE(AA20:AL20)</f>
        <v>0</v>
      </c>
    </row>
    <row r="21" spans="1:55">
      <c r="A21" s="18" t="s">
        <v>267</v>
      </c>
      <c r="B21" s="16" t="s">
        <v>268</v>
      </c>
      <c r="C21" s="34">
        <f>IF('Revenue'!C32*C18&lt;=0,999,'Revenue'!C43/'Revenue'!C32*C18)</f>
        <v>0</v>
      </c>
      <c r="D21" s="34">
        <f>IF('Revenue'!D32*D18&lt;=0,999,'Revenue'!D43/'Revenue'!D32*D18)</f>
        <v>0</v>
      </c>
      <c r="E21" s="34">
        <f>IF('Revenue'!E32*E18&lt;=0,999,'Revenue'!E43/'Revenue'!E32*E18)</f>
        <v>0</v>
      </c>
      <c r="F21" s="34">
        <f>IF('Revenue'!F32*F18&lt;=0,999,'Revenue'!F43/'Revenue'!F32*F18)</f>
        <v>0</v>
      </c>
      <c r="G21" s="34">
        <f>IF('Revenue'!G32*G18&lt;=0,999,'Revenue'!G43/'Revenue'!G32*G18)</f>
        <v>0</v>
      </c>
      <c r="H21" s="34">
        <f>IF('Revenue'!H32*H18&lt;=0,999,'Revenue'!H43/'Revenue'!H32*H18)</f>
        <v>0</v>
      </c>
      <c r="I21" s="34">
        <f>IF('Revenue'!I32*I18&lt;=0,999,'Revenue'!I43/'Revenue'!I32*I18)</f>
        <v>0</v>
      </c>
      <c r="J21" s="34">
        <f>IF('Revenue'!J32*J18&lt;=0,999,'Revenue'!J43/'Revenue'!J32*J18)</f>
        <v>0</v>
      </c>
      <c r="K21" s="34">
        <f>IF('Revenue'!K32*K18&lt;=0,999,'Revenue'!K43/'Revenue'!K32*K18)</f>
        <v>0</v>
      </c>
      <c r="L21" s="34">
        <f>IF('Revenue'!L32*L18&lt;=0,999,'Revenue'!L43/'Revenue'!L32*L18)</f>
        <v>0</v>
      </c>
      <c r="M21" s="34">
        <f>IF('Revenue'!M32*M18&lt;=0,999,'Revenue'!M43/'Revenue'!M32*M18)</f>
        <v>0</v>
      </c>
      <c r="N21" s="34">
        <f>IF('Revenue'!N32*N18&lt;=0,999,'Revenue'!N43/'Revenue'!N32*N18)</f>
        <v>0</v>
      </c>
      <c r="O21" s="34">
        <f>IF('Revenue'!O32*O18&lt;=0,999,'Revenue'!O43/'Revenue'!O32*O18)</f>
        <v>0</v>
      </c>
      <c r="P21" s="34">
        <f>IF('Revenue'!P32*P18&lt;=0,999,'Revenue'!P43/'Revenue'!P32*P18)</f>
        <v>0</v>
      </c>
      <c r="Q21" s="34">
        <f>IF('Revenue'!Q32*Q18&lt;=0,999,'Revenue'!Q43/'Revenue'!Q32*Q18)</f>
        <v>0</v>
      </c>
      <c r="R21" s="34">
        <f>IF('Revenue'!R32*R18&lt;=0,999,'Revenue'!R43/'Revenue'!R32*R18)</f>
        <v>0</v>
      </c>
      <c r="S21" s="34">
        <f>IF('Revenue'!S32*S18&lt;=0,999,'Revenue'!S43/'Revenue'!S32*S18)</f>
        <v>0</v>
      </c>
      <c r="T21" s="34">
        <f>IF('Revenue'!T32*T18&lt;=0,999,'Revenue'!T43/'Revenue'!T32*T18)</f>
        <v>0</v>
      </c>
      <c r="U21" s="34">
        <f>IF('Revenue'!U32*U18&lt;=0,999,'Revenue'!U43/'Revenue'!U32*U18)</f>
        <v>0</v>
      </c>
      <c r="V21" s="34">
        <f>IF('Revenue'!V32*V18&lt;=0,999,'Revenue'!V43/'Revenue'!V32*V18)</f>
        <v>0</v>
      </c>
      <c r="W21" s="34">
        <f>IF('Revenue'!W32*W18&lt;=0,999,'Revenue'!W43/'Revenue'!W32*W18)</f>
        <v>0</v>
      </c>
      <c r="X21" s="34">
        <f>IF('Revenue'!X32*X18&lt;=0,999,'Revenue'!X43/'Revenue'!X32*X18)</f>
        <v>0</v>
      </c>
      <c r="Y21" s="34">
        <f>IF('Revenue'!Y32*Y18&lt;=0,999,'Revenue'!Y43/'Revenue'!Y32*Y18)</f>
        <v>0</v>
      </c>
      <c r="Z21" s="34">
        <f>IF('Revenue'!Z32*Z18&lt;=0,999,'Revenue'!Z43/'Revenue'!Z32*Z18)</f>
        <v>0</v>
      </c>
      <c r="AA21" s="34">
        <f>IF('Revenue'!AA32*AA18&lt;=0,999,'Revenue'!AA43/'Revenue'!AA32*AA18)</f>
        <v>0</v>
      </c>
      <c r="AB21" s="34">
        <f>IF('Revenue'!AB32*AB18&lt;=0,999,'Revenue'!AB43/'Revenue'!AB32*AB18)</f>
        <v>0</v>
      </c>
      <c r="AC21" s="34">
        <f>IF('Revenue'!AC32*AC18&lt;=0,999,'Revenue'!AC43/'Revenue'!AC32*AC18)</f>
        <v>0</v>
      </c>
      <c r="AD21" s="34">
        <f>IF('Revenue'!AD32*AD18&lt;=0,999,'Revenue'!AD43/'Revenue'!AD32*AD18)</f>
        <v>0</v>
      </c>
      <c r="AE21" s="34">
        <f>IF('Revenue'!AE32*AE18&lt;=0,999,'Revenue'!AE43/'Revenue'!AE32*AE18)</f>
        <v>0</v>
      </c>
      <c r="AF21" s="34">
        <f>IF('Revenue'!AF32*AF18&lt;=0,999,'Revenue'!AF43/'Revenue'!AF32*AF18)</f>
        <v>0</v>
      </c>
      <c r="AG21" s="34">
        <f>IF('Revenue'!AG32*AG18&lt;=0,999,'Revenue'!AG43/'Revenue'!AG32*AG18)</f>
        <v>0</v>
      </c>
      <c r="AH21" s="34">
        <f>IF('Revenue'!AH32*AH18&lt;=0,999,'Revenue'!AH43/'Revenue'!AH32*AH18)</f>
        <v>0</v>
      </c>
      <c r="AI21" s="34">
        <f>IF('Revenue'!AI32*AI18&lt;=0,999,'Revenue'!AI43/'Revenue'!AI32*AI18)</f>
        <v>0</v>
      </c>
      <c r="AJ21" s="34">
        <f>IF('Revenue'!AJ32*AJ18&lt;=0,999,'Revenue'!AJ43/'Revenue'!AJ32*AJ18)</f>
        <v>0</v>
      </c>
      <c r="AK21" s="34">
        <f>IF('Revenue'!AK32*AK18&lt;=0,999,'Revenue'!AK43/'Revenue'!AK32*AK18)</f>
        <v>0</v>
      </c>
      <c r="AL21" s="34">
        <f>IF('Revenue'!AL32*AL18&lt;=0,999,'Revenue'!AL43/'Revenue'!AL32*AL18)</f>
        <v>0</v>
      </c>
      <c r="AN21" s="34">
        <f>AVERAGE(C21:E21)</f>
        <v>0</v>
      </c>
      <c r="AO21" s="34">
        <f>AVERAGE(F21:H21)</f>
        <v>0</v>
      </c>
      <c r="AP21" s="34">
        <f>AVERAGE(I21:K21)</f>
        <v>0</v>
      </c>
      <c r="AQ21" s="34">
        <f>AVERAGE(L21:N21)</f>
        <v>0</v>
      </c>
      <c r="AR21" s="34">
        <f>AVERAGE(O21:Q21)</f>
        <v>0</v>
      </c>
      <c r="AS21" s="34">
        <f>AVERAGE(R21:T21)</f>
        <v>0</v>
      </c>
      <c r="AT21" s="34">
        <f>AVERAGE(U21:W21)</f>
        <v>0</v>
      </c>
      <c r="AU21" s="34">
        <f>AVERAGE(X21:Z21)</f>
        <v>0</v>
      </c>
      <c r="AV21" s="34">
        <f>AVERAGE(AA21:AC21)</f>
        <v>0</v>
      </c>
      <c r="AW21" s="34">
        <f>AVERAGE(AD21:AF21)</f>
        <v>0</v>
      </c>
      <c r="AX21" s="34">
        <f>AVERAGE(AG21:AI21)</f>
        <v>0</v>
      </c>
      <c r="AY21" s="34">
        <f>AVERAGE(AJ21:AL21)</f>
        <v>0</v>
      </c>
      <c r="BA21" s="34">
        <f>AVERAGE(C21:N21)</f>
        <v>0</v>
      </c>
      <c r="BB21" s="34">
        <f>AVERAGE(O21:Z21)</f>
        <v>0</v>
      </c>
      <c r="BC21" s="34">
        <f>AVERAGE(AA21:AL21)</f>
        <v>0</v>
      </c>
    </row>
    <row r="22" spans="1:55">
      <c r="A22" s="18" t="s">
        <v>269</v>
      </c>
      <c r="B22" s="16" t="s">
        <v>270</v>
      </c>
      <c r="C22" s="34">
        <f>INDEX('Cash &amp; Runway'!$C:$AL,MATCH("Runway (months)",'Cash &amp; Runway'!$A:$A,0),1)</f>
        <v>0</v>
      </c>
      <c r="D22" s="34">
        <f>INDEX('Cash &amp; Runway'!$C:$AL,MATCH("Runway (months)",'Cash &amp; Runway'!$A:$A,0),2)</f>
        <v>0</v>
      </c>
      <c r="E22" s="34">
        <f>INDEX('Cash &amp; Runway'!$C:$AL,MATCH("Runway (months)",'Cash &amp; Runway'!$A:$A,0),3)</f>
        <v>0</v>
      </c>
      <c r="F22" s="34">
        <f>INDEX('Cash &amp; Runway'!$C:$AL,MATCH("Runway (months)",'Cash &amp; Runway'!$A:$A,0),4)</f>
        <v>0</v>
      </c>
      <c r="G22" s="34">
        <f>INDEX('Cash &amp; Runway'!$C:$AL,MATCH("Runway (months)",'Cash &amp; Runway'!$A:$A,0),5)</f>
        <v>0</v>
      </c>
      <c r="H22" s="34">
        <f>INDEX('Cash &amp; Runway'!$C:$AL,MATCH("Runway (months)",'Cash &amp; Runway'!$A:$A,0),6)</f>
        <v>0</v>
      </c>
      <c r="I22" s="34">
        <f>INDEX('Cash &amp; Runway'!$C:$AL,MATCH("Runway (months)",'Cash &amp; Runway'!$A:$A,0),7)</f>
        <v>0</v>
      </c>
      <c r="J22" s="34">
        <f>INDEX('Cash &amp; Runway'!$C:$AL,MATCH("Runway (months)",'Cash &amp; Runway'!$A:$A,0),8)</f>
        <v>0</v>
      </c>
      <c r="K22" s="34">
        <f>INDEX('Cash &amp; Runway'!$C:$AL,MATCH("Runway (months)",'Cash &amp; Runway'!$A:$A,0),9)</f>
        <v>0</v>
      </c>
      <c r="L22" s="34">
        <f>INDEX('Cash &amp; Runway'!$C:$AL,MATCH("Runway (months)",'Cash &amp; Runway'!$A:$A,0),10)</f>
        <v>0</v>
      </c>
      <c r="M22" s="34">
        <f>INDEX('Cash &amp; Runway'!$C:$AL,MATCH("Runway (months)",'Cash &amp; Runway'!$A:$A,0),11)</f>
        <v>0</v>
      </c>
      <c r="N22" s="34">
        <f>INDEX('Cash &amp; Runway'!$C:$AL,MATCH("Runway (months)",'Cash &amp; Runway'!$A:$A,0),12)</f>
        <v>0</v>
      </c>
      <c r="O22" s="34">
        <f>INDEX('Cash &amp; Runway'!$C:$AL,MATCH("Runway (months)",'Cash &amp; Runway'!$A:$A,0),13)</f>
        <v>0</v>
      </c>
      <c r="P22" s="34">
        <f>INDEX('Cash &amp; Runway'!$C:$AL,MATCH("Runway (months)",'Cash &amp; Runway'!$A:$A,0),14)</f>
        <v>0</v>
      </c>
      <c r="Q22" s="34">
        <f>INDEX('Cash &amp; Runway'!$C:$AL,MATCH("Runway (months)",'Cash &amp; Runway'!$A:$A,0),15)</f>
        <v>0</v>
      </c>
      <c r="R22" s="34">
        <f>INDEX('Cash &amp; Runway'!$C:$AL,MATCH("Runway (months)",'Cash &amp; Runway'!$A:$A,0),16)</f>
        <v>0</v>
      </c>
      <c r="S22" s="34">
        <f>INDEX('Cash &amp; Runway'!$C:$AL,MATCH("Runway (months)",'Cash &amp; Runway'!$A:$A,0),17)</f>
        <v>0</v>
      </c>
      <c r="T22" s="34">
        <f>INDEX('Cash &amp; Runway'!$C:$AL,MATCH("Runway (months)",'Cash &amp; Runway'!$A:$A,0),18)</f>
        <v>0</v>
      </c>
      <c r="U22" s="34">
        <f>INDEX('Cash &amp; Runway'!$C:$AL,MATCH("Runway (months)",'Cash &amp; Runway'!$A:$A,0),19)</f>
        <v>0</v>
      </c>
      <c r="V22" s="34">
        <f>INDEX('Cash &amp; Runway'!$C:$AL,MATCH("Runway (months)",'Cash &amp; Runway'!$A:$A,0),20)</f>
        <v>0</v>
      </c>
      <c r="W22" s="34">
        <f>INDEX('Cash &amp; Runway'!$C:$AL,MATCH("Runway (months)",'Cash &amp; Runway'!$A:$A,0),21)</f>
        <v>0</v>
      </c>
      <c r="X22" s="34">
        <f>INDEX('Cash &amp; Runway'!$C:$AL,MATCH("Runway (months)",'Cash &amp; Runway'!$A:$A,0),22)</f>
        <v>0</v>
      </c>
      <c r="Y22" s="34">
        <f>INDEX('Cash &amp; Runway'!$C:$AL,MATCH("Runway (months)",'Cash &amp; Runway'!$A:$A,0),23)</f>
        <v>0</v>
      </c>
      <c r="Z22" s="34">
        <f>INDEX('Cash &amp; Runway'!$C:$AL,MATCH("Runway (months)",'Cash &amp; Runway'!$A:$A,0),24)</f>
        <v>0</v>
      </c>
      <c r="AA22" s="34">
        <f>INDEX('Cash &amp; Runway'!$C:$AL,MATCH("Runway (months)",'Cash &amp; Runway'!$A:$A,0),25)</f>
        <v>0</v>
      </c>
      <c r="AB22" s="34">
        <f>INDEX('Cash &amp; Runway'!$C:$AL,MATCH("Runway (months)",'Cash &amp; Runway'!$A:$A,0),26)</f>
        <v>0</v>
      </c>
      <c r="AC22" s="34">
        <f>INDEX('Cash &amp; Runway'!$C:$AL,MATCH("Runway (months)",'Cash &amp; Runway'!$A:$A,0),27)</f>
        <v>0</v>
      </c>
      <c r="AD22" s="34">
        <f>INDEX('Cash &amp; Runway'!$C:$AL,MATCH("Runway (months)",'Cash &amp; Runway'!$A:$A,0),28)</f>
        <v>0</v>
      </c>
      <c r="AE22" s="34">
        <f>INDEX('Cash &amp; Runway'!$C:$AL,MATCH("Runway (months)",'Cash &amp; Runway'!$A:$A,0),29)</f>
        <v>0</v>
      </c>
      <c r="AF22" s="34">
        <f>INDEX('Cash &amp; Runway'!$C:$AL,MATCH("Runway (months)",'Cash &amp; Runway'!$A:$A,0),30)</f>
        <v>0</v>
      </c>
      <c r="AG22" s="34">
        <f>INDEX('Cash &amp; Runway'!$C:$AL,MATCH("Runway (months)",'Cash &amp; Runway'!$A:$A,0),31)</f>
        <v>0</v>
      </c>
      <c r="AH22" s="34">
        <f>INDEX('Cash &amp; Runway'!$C:$AL,MATCH("Runway (months)",'Cash &amp; Runway'!$A:$A,0),32)</f>
        <v>0</v>
      </c>
      <c r="AI22" s="34">
        <f>INDEX('Cash &amp; Runway'!$C:$AL,MATCH("Runway (months)",'Cash &amp; Runway'!$A:$A,0),33)</f>
        <v>0</v>
      </c>
      <c r="AJ22" s="34">
        <f>INDEX('Cash &amp; Runway'!$C:$AL,MATCH("Runway (months)",'Cash &amp; Runway'!$A:$A,0),34)</f>
        <v>0</v>
      </c>
      <c r="AK22" s="34">
        <f>INDEX('Cash &amp; Runway'!$C:$AL,MATCH("Runway (months)",'Cash &amp; Runway'!$A:$A,0),35)</f>
        <v>0</v>
      </c>
      <c r="AL22" s="34">
        <f>INDEX('Cash &amp; Runway'!$C:$AL,MATCH("Runway (months)",'Cash &amp; Runway'!$A:$A,0),36)</f>
        <v>0</v>
      </c>
      <c r="AN22" s="34">
        <f>E22</f>
        <v>0</v>
      </c>
      <c r="AO22" s="34">
        <f>H22</f>
        <v>0</v>
      </c>
      <c r="AP22" s="34">
        <f>K22</f>
        <v>0</v>
      </c>
      <c r="AQ22" s="34">
        <f>N22</f>
        <v>0</v>
      </c>
      <c r="AR22" s="34">
        <f>Q22</f>
        <v>0</v>
      </c>
      <c r="AS22" s="34">
        <f>T22</f>
        <v>0</v>
      </c>
      <c r="AT22" s="34">
        <f>W22</f>
        <v>0</v>
      </c>
      <c r="AU22" s="34">
        <f>Z22</f>
        <v>0</v>
      </c>
      <c r="AV22" s="34">
        <f>AC22</f>
        <v>0</v>
      </c>
      <c r="AW22" s="34">
        <f>AF22</f>
        <v>0</v>
      </c>
      <c r="AX22" s="34">
        <f>AI22</f>
        <v>0</v>
      </c>
      <c r="AY22" s="34">
        <f>AL22</f>
        <v>0</v>
      </c>
      <c r="BA22" s="34">
        <f>N22</f>
        <v>0</v>
      </c>
      <c r="BB22" s="34">
        <f>Z22</f>
        <v>0</v>
      </c>
      <c r="BC22" s="34">
        <f>AL22</f>
        <v>0</v>
      </c>
    </row>
  </sheetData>
  <mergeCells count="7">
    <mergeCell ref="A1:BC1"/>
    <mergeCell ref="A2:BC2"/>
    <mergeCell ref="C5:AL5"/>
    <mergeCell ref="AN5:AY5"/>
    <mergeCell ref="BA5:BC5"/>
    <mergeCell ref="A7:BC7"/>
    <mergeCell ref="A15:BC15"/>
  </mergeCells>
  <pageMargins left="0.7" right="0.7" top="0.75" bottom="0.75" header="0.3" footer="0.3"/>
  <pageSetup paperSize="9" scale="55" orientation="landscape"/>
</worksheet>
</file>

<file path=xl/worksheets/sheet6.xml><?xml version="1.0" encoding="utf-8"?>
<worksheet xmlns="http://schemas.openxmlformats.org/spreadsheetml/2006/main" xmlns:r="http://schemas.openxmlformats.org/officeDocument/2006/relationships">
  <dimension ref="A1:BC26"/>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271</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272</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273</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274</v>
      </c>
      <c r="B8" s="16" t="s">
        <v>275</v>
      </c>
      <c r="C8" s="20">
        <f>'Headcount'!$C$24</f>
        <v>0</v>
      </c>
      <c r="D8" s="20">
        <f>'Headcount'!$D$24</f>
        <v>0</v>
      </c>
      <c r="E8" s="20">
        <f>'Headcount'!$E$24</f>
        <v>0</v>
      </c>
      <c r="F8" s="20">
        <f>'Headcount'!$F$24</f>
        <v>0</v>
      </c>
      <c r="G8" s="20">
        <f>'Headcount'!$G$24</f>
        <v>0</v>
      </c>
      <c r="H8" s="20">
        <f>'Headcount'!$H$24</f>
        <v>0</v>
      </c>
      <c r="I8" s="20">
        <f>'Headcount'!$I$24</f>
        <v>0</v>
      </c>
      <c r="J8" s="20">
        <f>'Headcount'!$J$24</f>
        <v>0</v>
      </c>
      <c r="K8" s="20">
        <f>'Headcount'!$K$24</f>
        <v>0</v>
      </c>
      <c r="L8" s="20">
        <f>'Headcount'!$L$24</f>
        <v>0</v>
      </c>
      <c r="M8" s="20">
        <f>'Headcount'!$M$24</f>
        <v>0</v>
      </c>
      <c r="N8" s="20">
        <f>'Headcount'!$N$24</f>
        <v>0</v>
      </c>
      <c r="O8" s="20">
        <f>'Headcount'!$O$24</f>
        <v>0</v>
      </c>
      <c r="P8" s="20">
        <f>'Headcount'!$P$24</f>
        <v>0</v>
      </c>
      <c r="Q8" s="20">
        <f>'Headcount'!$Q$24</f>
        <v>0</v>
      </c>
      <c r="R8" s="20">
        <f>'Headcount'!$R$24</f>
        <v>0</v>
      </c>
      <c r="S8" s="20">
        <f>'Headcount'!$S$24</f>
        <v>0</v>
      </c>
      <c r="T8" s="20">
        <f>'Headcount'!$T$24</f>
        <v>0</v>
      </c>
      <c r="U8" s="20">
        <f>'Headcount'!$U$24</f>
        <v>0</v>
      </c>
      <c r="V8" s="20">
        <f>'Headcount'!$V$24</f>
        <v>0</v>
      </c>
      <c r="W8" s="20">
        <f>'Headcount'!$W$24</f>
        <v>0</v>
      </c>
      <c r="X8" s="20">
        <f>'Headcount'!$X$24</f>
        <v>0</v>
      </c>
      <c r="Y8" s="20">
        <f>'Headcount'!$Y$24</f>
        <v>0</v>
      </c>
      <c r="Z8" s="20">
        <f>'Headcount'!$Z$24</f>
        <v>0</v>
      </c>
      <c r="AA8" s="20">
        <f>'Headcount'!$AA$24</f>
        <v>0</v>
      </c>
      <c r="AB8" s="20">
        <f>'Headcount'!$AB$24</f>
        <v>0</v>
      </c>
      <c r="AC8" s="20">
        <f>'Headcount'!$AC$24</f>
        <v>0</v>
      </c>
      <c r="AD8" s="20">
        <f>'Headcount'!$AD$24</f>
        <v>0</v>
      </c>
      <c r="AE8" s="20">
        <f>'Headcount'!$AE$24</f>
        <v>0</v>
      </c>
      <c r="AF8" s="20">
        <f>'Headcount'!$AF$24</f>
        <v>0</v>
      </c>
      <c r="AG8" s="20">
        <f>'Headcount'!$AG$24</f>
        <v>0</v>
      </c>
      <c r="AH8" s="20">
        <f>'Headcount'!$AH$24</f>
        <v>0</v>
      </c>
      <c r="AI8" s="20">
        <f>'Headcount'!$AI$24</f>
        <v>0</v>
      </c>
      <c r="AJ8" s="20">
        <f>'Headcount'!$AJ$24</f>
        <v>0</v>
      </c>
      <c r="AK8" s="20">
        <f>'Headcount'!$AK$24</f>
        <v>0</v>
      </c>
      <c r="AL8" s="20">
        <f>'Headcount'!$AL$24</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276</v>
      </c>
      <c r="B9" s="16" t="s">
        <v>277</v>
      </c>
      <c r="C9" s="20">
        <f>'Revenue'!$C$9</f>
        <v>0</v>
      </c>
      <c r="D9" s="20">
        <f>'Revenue'!$D$9</f>
        <v>0</v>
      </c>
      <c r="E9" s="20">
        <f>'Revenue'!$E$9</f>
        <v>0</v>
      </c>
      <c r="F9" s="20">
        <f>'Revenue'!$F$9</f>
        <v>0</v>
      </c>
      <c r="G9" s="20">
        <f>'Revenue'!$G$9</f>
        <v>0</v>
      </c>
      <c r="H9" s="20">
        <f>'Revenue'!$H$9</f>
        <v>0</v>
      </c>
      <c r="I9" s="20">
        <f>'Revenue'!$I$9</f>
        <v>0</v>
      </c>
      <c r="J9" s="20">
        <f>'Revenue'!$J$9</f>
        <v>0</v>
      </c>
      <c r="K9" s="20">
        <f>'Revenue'!$K$9</f>
        <v>0</v>
      </c>
      <c r="L9" s="20">
        <f>'Revenue'!$L$9</f>
        <v>0</v>
      </c>
      <c r="M9" s="20">
        <f>'Revenue'!$M$9</f>
        <v>0</v>
      </c>
      <c r="N9" s="20">
        <f>'Revenue'!$N$9</f>
        <v>0</v>
      </c>
      <c r="O9" s="20">
        <f>'Revenue'!$O$9</f>
        <v>0</v>
      </c>
      <c r="P9" s="20">
        <f>'Revenue'!$P$9</f>
        <v>0</v>
      </c>
      <c r="Q9" s="20">
        <f>'Revenue'!$Q$9</f>
        <v>0</v>
      </c>
      <c r="R9" s="20">
        <f>'Revenue'!$R$9</f>
        <v>0</v>
      </c>
      <c r="S9" s="20">
        <f>'Revenue'!$S$9</f>
        <v>0</v>
      </c>
      <c r="T9" s="20">
        <f>'Revenue'!$T$9</f>
        <v>0</v>
      </c>
      <c r="U9" s="20">
        <f>'Revenue'!$U$9</f>
        <v>0</v>
      </c>
      <c r="V9" s="20">
        <f>'Revenue'!$V$9</f>
        <v>0</v>
      </c>
      <c r="W9" s="20">
        <f>'Revenue'!$W$9</f>
        <v>0</v>
      </c>
      <c r="X9" s="20">
        <f>'Revenue'!$X$9</f>
        <v>0</v>
      </c>
      <c r="Y9" s="20">
        <f>'Revenue'!$Y$9</f>
        <v>0</v>
      </c>
      <c r="Z9" s="20">
        <f>'Revenue'!$Z$9</f>
        <v>0</v>
      </c>
      <c r="AA9" s="20">
        <f>'Revenue'!$AA$9</f>
        <v>0</v>
      </c>
      <c r="AB9" s="20">
        <f>'Revenue'!$AB$9</f>
        <v>0</v>
      </c>
      <c r="AC9" s="20">
        <f>'Revenue'!$AC$9</f>
        <v>0</v>
      </c>
      <c r="AD9" s="20">
        <f>'Revenue'!$AD$9</f>
        <v>0</v>
      </c>
      <c r="AE9" s="20">
        <f>'Revenue'!$AE$9</f>
        <v>0</v>
      </c>
      <c r="AF9" s="20">
        <f>'Revenue'!$AF$9</f>
        <v>0</v>
      </c>
      <c r="AG9" s="20">
        <f>'Revenue'!$AG$9</f>
        <v>0</v>
      </c>
      <c r="AH9" s="20">
        <f>'Revenue'!$AH$9</f>
        <v>0</v>
      </c>
      <c r="AI9" s="20">
        <f>'Revenue'!$AI$9</f>
        <v>0</v>
      </c>
      <c r="AJ9" s="20">
        <f>'Revenue'!$AJ$9</f>
        <v>0</v>
      </c>
      <c r="AK9" s="20">
        <f>'Revenue'!$AK$9</f>
        <v>0</v>
      </c>
      <c r="AL9" s="20">
        <f>'Revenue'!$AL$9</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278</v>
      </c>
      <c r="B10" s="16" t="s">
        <v>279</v>
      </c>
      <c r="C10" s="20">
        <f>'Revenue'!$C$11</f>
        <v>0</v>
      </c>
      <c r="D10" s="20">
        <f>'Revenue'!$D$11</f>
        <v>0</v>
      </c>
      <c r="E10" s="20">
        <f>'Revenue'!$E$11</f>
        <v>0</v>
      </c>
      <c r="F10" s="20">
        <f>'Revenue'!$F$11</f>
        <v>0</v>
      </c>
      <c r="G10" s="20">
        <f>'Revenue'!$G$11</f>
        <v>0</v>
      </c>
      <c r="H10" s="20">
        <f>'Revenue'!$H$11</f>
        <v>0</v>
      </c>
      <c r="I10" s="20">
        <f>'Revenue'!$I$11</f>
        <v>0</v>
      </c>
      <c r="J10" s="20">
        <f>'Revenue'!$J$11</f>
        <v>0</v>
      </c>
      <c r="K10" s="20">
        <f>'Revenue'!$K$11</f>
        <v>0</v>
      </c>
      <c r="L10" s="20">
        <f>'Revenue'!$L$11</f>
        <v>0</v>
      </c>
      <c r="M10" s="20">
        <f>'Revenue'!$M$11</f>
        <v>0</v>
      </c>
      <c r="N10" s="20">
        <f>'Revenue'!$N$11</f>
        <v>0</v>
      </c>
      <c r="O10" s="20">
        <f>'Revenue'!$O$11</f>
        <v>0</v>
      </c>
      <c r="P10" s="20">
        <f>'Revenue'!$P$11</f>
        <v>0</v>
      </c>
      <c r="Q10" s="20">
        <f>'Revenue'!$Q$11</f>
        <v>0</v>
      </c>
      <c r="R10" s="20">
        <f>'Revenue'!$R$11</f>
        <v>0</v>
      </c>
      <c r="S10" s="20">
        <f>'Revenue'!$S$11</f>
        <v>0</v>
      </c>
      <c r="T10" s="20">
        <f>'Revenue'!$T$11</f>
        <v>0</v>
      </c>
      <c r="U10" s="20">
        <f>'Revenue'!$U$11</f>
        <v>0</v>
      </c>
      <c r="V10" s="20">
        <f>'Revenue'!$V$11</f>
        <v>0</v>
      </c>
      <c r="W10" s="20">
        <f>'Revenue'!$W$11</f>
        <v>0</v>
      </c>
      <c r="X10" s="20">
        <f>'Revenue'!$X$11</f>
        <v>0</v>
      </c>
      <c r="Y10" s="20">
        <f>'Revenue'!$Y$11</f>
        <v>0</v>
      </c>
      <c r="Z10" s="20">
        <f>'Revenue'!$Z$11</f>
        <v>0</v>
      </c>
      <c r="AA10" s="20">
        <f>'Revenue'!$AA$11</f>
        <v>0</v>
      </c>
      <c r="AB10" s="20">
        <f>'Revenue'!$AB$11</f>
        <v>0</v>
      </c>
      <c r="AC10" s="20">
        <f>'Revenue'!$AC$11</f>
        <v>0</v>
      </c>
      <c r="AD10" s="20">
        <f>'Revenue'!$AD$11</f>
        <v>0</v>
      </c>
      <c r="AE10" s="20">
        <f>'Revenue'!$AE$11</f>
        <v>0</v>
      </c>
      <c r="AF10" s="20">
        <f>'Revenue'!$AF$11</f>
        <v>0</v>
      </c>
      <c r="AG10" s="20">
        <f>'Revenue'!$AG$11</f>
        <v>0</v>
      </c>
      <c r="AH10" s="20">
        <f>'Revenue'!$AH$11</f>
        <v>0</v>
      </c>
      <c r="AI10" s="20">
        <f>'Revenue'!$AI$11</f>
        <v>0</v>
      </c>
      <c r="AJ10" s="20">
        <f>'Revenue'!$AJ$11</f>
        <v>0</v>
      </c>
      <c r="AK10" s="20">
        <f>'Revenue'!$AK$11</f>
        <v>0</v>
      </c>
      <c r="AL10" s="20">
        <f>'Revenue'!$AL$11</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18" t="s">
        <v>280</v>
      </c>
      <c r="B11" s="16" t="s">
        <v>281</v>
      </c>
      <c r="C11" s="20">
        <f>'Revenue'!$C$13</f>
        <v>0</v>
      </c>
      <c r="D11" s="20">
        <f>'Revenue'!$D$13</f>
        <v>0</v>
      </c>
      <c r="E11" s="20">
        <f>'Revenue'!$E$13</f>
        <v>0</v>
      </c>
      <c r="F11" s="20">
        <f>'Revenue'!$F$13</f>
        <v>0</v>
      </c>
      <c r="G11" s="20">
        <f>'Revenue'!$G$13</f>
        <v>0</v>
      </c>
      <c r="H11" s="20">
        <f>'Revenue'!$H$13</f>
        <v>0</v>
      </c>
      <c r="I11" s="20">
        <f>'Revenue'!$I$13</f>
        <v>0</v>
      </c>
      <c r="J11" s="20">
        <f>'Revenue'!$J$13</f>
        <v>0</v>
      </c>
      <c r="K11" s="20">
        <f>'Revenue'!$K$13</f>
        <v>0</v>
      </c>
      <c r="L11" s="20">
        <f>'Revenue'!$L$13</f>
        <v>0</v>
      </c>
      <c r="M11" s="20">
        <f>'Revenue'!$M$13</f>
        <v>0</v>
      </c>
      <c r="N11" s="20">
        <f>'Revenue'!$N$13</f>
        <v>0</v>
      </c>
      <c r="O11" s="20">
        <f>'Revenue'!$O$13</f>
        <v>0</v>
      </c>
      <c r="P11" s="20">
        <f>'Revenue'!$P$13</f>
        <v>0</v>
      </c>
      <c r="Q11" s="20">
        <f>'Revenue'!$Q$13</f>
        <v>0</v>
      </c>
      <c r="R11" s="20">
        <f>'Revenue'!$R$13</f>
        <v>0</v>
      </c>
      <c r="S11" s="20">
        <f>'Revenue'!$S$13</f>
        <v>0</v>
      </c>
      <c r="T11" s="20">
        <f>'Revenue'!$T$13</f>
        <v>0</v>
      </c>
      <c r="U11" s="20">
        <f>'Revenue'!$U$13</f>
        <v>0</v>
      </c>
      <c r="V11" s="20">
        <f>'Revenue'!$V$13</f>
        <v>0</v>
      </c>
      <c r="W11" s="20">
        <f>'Revenue'!$W$13</f>
        <v>0</v>
      </c>
      <c r="X11" s="20">
        <f>'Revenue'!$X$13</f>
        <v>0</v>
      </c>
      <c r="Y11" s="20">
        <f>'Revenue'!$Y$13</f>
        <v>0</v>
      </c>
      <c r="Z11" s="20">
        <f>'Revenue'!$Z$13</f>
        <v>0</v>
      </c>
      <c r="AA11" s="20">
        <f>'Revenue'!$AA$13</f>
        <v>0</v>
      </c>
      <c r="AB11" s="20">
        <f>'Revenue'!$AB$13</f>
        <v>0</v>
      </c>
      <c r="AC11" s="20">
        <f>'Revenue'!$AC$13</f>
        <v>0</v>
      </c>
      <c r="AD11" s="20">
        <f>'Revenue'!$AD$13</f>
        <v>0</v>
      </c>
      <c r="AE11" s="20">
        <f>'Revenue'!$AE$13</f>
        <v>0</v>
      </c>
      <c r="AF11" s="20">
        <f>'Revenue'!$AF$13</f>
        <v>0</v>
      </c>
      <c r="AG11" s="20">
        <f>'Revenue'!$AG$13</f>
        <v>0</v>
      </c>
      <c r="AH11" s="20">
        <f>'Revenue'!$AH$13</f>
        <v>0</v>
      </c>
      <c r="AI11" s="20">
        <f>'Revenue'!$AI$13</f>
        <v>0</v>
      </c>
      <c r="AJ11" s="20">
        <f>'Revenue'!$AJ$13</f>
        <v>0</v>
      </c>
      <c r="AK11" s="20">
        <f>'Revenue'!$AK$13</f>
        <v>0</v>
      </c>
      <c r="AL11" s="20">
        <f>'Revenue'!$AL$13</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18" t="s">
        <v>282</v>
      </c>
      <c r="B12" s="16" t="s">
        <v>283</v>
      </c>
      <c r="C12" s="20">
        <f>'Assumptions'!$F$61</f>
        <v>0</v>
      </c>
      <c r="D12" s="20">
        <f>'Assumptions'!$F$61</f>
        <v>0</v>
      </c>
      <c r="E12" s="20">
        <f>'Assumptions'!$F$61</f>
        <v>0</v>
      </c>
      <c r="F12" s="20">
        <f>'Assumptions'!$F$61</f>
        <v>0</v>
      </c>
      <c r="G12" s="20">
        <f>'Assumptions'!$F$61</f>
        <v>0</v>
      </c>
      <c r="H12" s="20">
        <f>'Assumptions'!$F$61</f>
        <v>0</v>
      </c>
      <c r="I12" s="20">
        <f>'Assumptions'!$F$61</f>
        <v>0</v>
      </c>
      <c r="J12" s="20">
        <f>'Assumptions'!$F$61</f>
        <v>0</v>
      </c>
      <c r="K12" s="20">
        <f>'Assumptions'!$F$61</f>
        <v>0</v>
      </c>
      <c r="L12" s="20">
        <f>'Assumptions'!$F$61</f>
        <v>0</v>
      </c>
      <c r="M12" s="20">
        <f>'Assumptions'!$F$61</f>
        <v>0</v>
      </c>
      <c r="N12" s="20">
        <f>'Assumptions'!$F$61</f>
        <v>0</v>
      </c>
      <c r="O12" s="20">
        <f>'Assumptions'!$F$61</f>
        <v>0</v>
      </c>
      <c r="P12" s="20">
        <f>'Assumptions'!$F$61</f>
        <v>0</v>
      </c>
      <c r="Q12" s="20">
        <f>'Assumptions'!$F$61</f>
        <v>0</v>
      </c>
      <c r="R12" s="20">
        <f>'Assumptions'!$F$61</f>
        <v>0</v>
      </c>
      <c r="S12" s="20">
        <f>'Assumptions'!$F$61</f>
        <v>0</v>
      </c>
      <c r="T12" s="20">
        <f>'Assumptions'!$F$61</f>
        <v>0</v>
      </c>
      <c r="U12" s="20">
        <f>'Assumptions'!$F$61</f>
        <v>0</v>
      </c>
      <c r="V12" s="20">
        <f>'Assumptions'!$F$61</f>
        <v>0</v>
      </c>
      <c r="W12" s="20">
        <f>'Assumptions'!$F$61</f>
        <v>0</v>
      </c>
      <c r="X12" s="20">
        <f>'Assumptions'!$F$61</f>
        <v>0</v>
      </c>
      <c r="Y12" s="20">
        <f>'Assumptions'!$F$61</f>
        <v>0</v>
      </c>
      <c r="Z12" s="20">
        <f>'Assumptions'!$F$61</f>
        <v>0</v>
      </c>
      <c r="AA12" s="20">
        <f>'Assumptions'!$F$61</f>
        <v>0</v>
      </c>
      <c r="AB12" s="20">
        <f>'Assumptions'!$F$61</f>
        <v>0</v>
      </c>
      <c r="AC12" s="20">
        <f>'Assumptions'!$F$61</f>
        <v>0</v>
      </c>
      <c r="AD12" s="20">
        <f>'Assumptions'!$F$61</f>
        <v>0</v>
      </c>
      <c r="AE12" s="20">
        <f>'Assumptions'!$F$61</f>
        <v>0</v>
      </c>
      <c r="AF12" s="20">
        <f>'Assumptions'!$F$61</f>
        <v>0</v>
      </c>
      <c r="AG12" s="20">
        <f>'Assumptions'!$F$61</f>
        <v>0</v>
      </c>
      <c r="AH12" s="20">
        <f>'Assumptions'!$F$61</f>
        <v>0</v>
      </c>
      <c r="AI12" s="20">
        <f>'Assumptions'!$F$61</f>
        <v>0</v>
      </c>
      <c r="AJ12" s="20">
        <f>'Assumptions'!$F$61</f>
        <v>0</v>
      </c>
      <c r="AK12" s="20">
        <f>'Assumptions'!$F$61</f>
        <v>0</v>
      </c>
      <c r="AL12" s="20">
        <f>'Assumptions'!$F$61</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28" t="s">
        <v>284</v>
      </c>
      <c r="B13" s="16"/>
      <c r="C13" s="29">
        <f>C8+C9+C10+C11+C12</f>
        <v>0</v>
      </c>
      <c r="D13" s="29">
        <f>D8+D9+D10+D11+D12</f>
        <v>0</v>
      </c>
      <c r="E13" s="29">
        <f>E8+E9+E10+E11+E12</f>
        <v>0</v>
      </c>
      <c r="F13" s="29">
        <f>F8+F9+F10+F11+F12</f>
        <v>0</v>
      </c>
      <c r="G13" s="29">
        <f>G8+G9+G10+G11+G12</f>
        <v>0</v>
      </c>
      <c r="H13" s="29">
        <f>H8+H9+H10+H11+H12</f>
        <v>0</v>
      </c>
      <c r="I13" s="29">
        <f>I8+I9+I10+I11+I12</f>
        <v>0</v>
      </c>
      <c r="J13" s="29">
        <f>J8+J9+J10+J11+J12</f>
        <v>0</v>
      </c>
      <c r="K13" s="29">
        <f>K8+K9+K10+K11+K12</f>
        <v>0</v>
      </c>
      <c r="L13" s="29">
        <f>L8+L9+L10+L11+L12</f>
        <v>0</v>
      </c>
      <c r="M13" s="29">
        <f>M8+M9+M10+M11+M12</f>
        <v>0</v>
      </c>
      <c r="N13" s="29">
        <f>N8+N9+N10+N11+N12</f>
        <v>0</v>
      </c>
      <c r="O13" s="29">
        <f>O8+O9+O10+O11+O12</f>
        <v>0</v>
      </c>
      <c r="P13" s="29">
        <f>P8+P9+P10+P11+P12</f>
        <v>0</v>
      </c>
      <c r="Q13" s="29">
        <f>Q8+Q9+Q10+Q11+Q12</f>
        <v>0</v>
      </c>
      <c r="R13" s="29">
        <f>R8+R9+R10+R11+R12</f>
        <v>0</v>
      </c>
      <c r="S13" s="29">
        <f>S8+S9+S10+S11+S12</f>
        <v>0</v>
      </c>
      <c r="T13" s="29">
        <f>T8+T9+T10+T11+T12</f>
        <v>0</v>
      </c>
      <c r="U13" s="29">
        <f>U8+U9+U10+U11+U12</f>
        <v>0</v>
      </c>
      <c r="V13" s="29">
        <f>V8+V9+V10+V11+V12</f>
        <v>0</v>
      </c>
      <c r="W13" s="29">
        <f>W8+W9+W10+W11+W12</f>
        <v>0</v>
      </c>
      <c r="X13" s="29">
        <f>X8+X9+X10+X11+X12</f>
        <v>0</v>
      </c>
      <c r="Y13" s="29">
        <f>Y8+Y9+Y10+Y11+Y12</f>
        <v>0</v>
      </c>
      <c r="Z13" s="29">
        <f>Z8+Z9+Z10+Z11+Z12</f>
        <v>0</v>
      </c>
      <c r="AA13" s="29">
        <f>AA8+AA9+AA10+AA11+AA12</f>
        <v>0</v>
      </c>
      <c r="AB13" s="29">
        <f>AB8+AB9+AB10+AB11+AB12</f>
        <v>0</v>
      </c>
      <c r="AC13" s="29">
        <f>AC8+AC9+AC10+AC11+AC12</f>
        <v>0</v>
      </c>
      <c r="AD13" s="29">
        <f>AD8+AD9+AD10+AD11+AD12</f>
        <v>0</v>
      </c>
      <c r="AE13" s="29">
        <f>AE8+AE9+AE10+AE11+AE12</f>
        <v>0</v>
      </c>
      <c r="AF13" s="29">
        <f>AF8+AF9+AF10+AF11+AF12</f>
        <v>0</v>
      </c>
      <c r="AG13" s="29">
        <f>AG8+AG9+AG10+AG11+AG12</f>
        <v>0</v>
      </c>
      <c r="AH13" s="29">
        <f>AH8+AH9+AH10+AH11+AH12</f>
        <v>0</v>
      </c>
      <c r="AI13" s="29">
        <f>AI8+AI9+AI10+AI11+AI12</f>
        <v>0</v>
      </c>
      <c r="AJ13" s="29">
        <f>AJ8+AJ9+AJ10+AJ11+AJ12</f>
        <v>0</v>
      </c>
      <c r="AK13" s="29">
        <f>AK8+AK9+AK10+AK11+AK12</f>
        <v>0</v>
      </c>
      <c r="AL13" s="29">
        <f>AL8+AL9+AL10+AL11+AL12</f>
        <v>0</v>
      </c>
      <c r="AN13" s="29">
        <f>SUM(C13:E13)</f>
        <v>0</v>
      </c>
      <c r="AO13" s="29">
        <f>SUM(F13:H13)</f>
        <v>0</v>
      </c>
      <c r="AP13" s="29">
        <f>SUM(I13:K13)</f>
        <v>0</v>
      </c>
      <c r="AQ13" s="29">
        <f>SUM(L13:N13)</f>
        <v>0</v>
      </c>
      <c r="AR13" s="29">
        <f>SUM(O13:Q13)</f>
        <v>0</v>
      </c>
      <c r="AS13" s="29">
        <f>SUM(R13:T13)</f>
        <v>0</v>
      </c>
      <c r="AT13" s="29">
        <f>SUM(U13:W13)</f>
        <v>0</v>
      </c>
      <c r="AU13" s="29">
        <f>SUM(X13:Z13)</f>
        <v>0</v>
      </c>
      <c r="AV13" s="29">
        <f>SUM(AA13:AC13)</f>
        <v>0</v>
      </c>
      <c r="AW13" s="29">
        <f>SUM(AD13:AF13)</f>
        <v>0</v>
      </c>
      <c r="AX13" s="29">
        <f>SUM(AG13:AI13)</f>
        <v>0</v>
      </c>
      <c r="AY13" s="29">
        <f>SUM(AJ13:AL13)</f>
        <v>0</v>
      </c>
      <c r="BA13" s="29">
        <f>SUM(C13:N13)</f>
        <v>0</v>
      </c>
      <c r="BB13" s="29">
        <f>SUM(O13:Z13)</f>
        <v>0</v>
      </c>
      <c r="BC13" s="29">
        <f>SUM(AA13:AL13)</f>
        <v>0</v>
      </c>
    </row>
    <row r="14" spans="1:55" ht="5" customHeight="1"/>
    <row r="15" spans="1:55" ht="16" customHeight="1">
      <c r="A15" s="14" t="s">
        <v>285</v>
      </c>
      <c r="B15" s="14"/>
      <c r="C15" s="14"/>
      <c r="D15" s="14"/>
      <c r="E15" s="14"/>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row>
    <row r="16" spans="1:55">
      <c r="A16" s="18" t="s">
        <v>286</v>
      </c>
      <c r="B16" s="16" t="s">
        <v>275</v>
      </c>
      <c r="C16" s="20">
        <f>'Headcount'!$C$25</f>
        <v>0</v>
      </c>
      <c r="D16" s="20">
        <f>'Headcount'!$D$25</f>
        <v>0</v>
      </c>
      <c r="E16" s="20">
        <f>'Headcount'!$E$25</f>
        <v>0</v>
      </c>
      <c r="F16" s="20">
        <f>'Headcount'!$F$25</f>
        <v>0</v>
      </c>
      <c r="G16" s="20">
        <f>'Headcount'!$G$25</f>
        <v>0</v>
      </c>
      <c r="H16" s="20">
        <f>'Headcount'!$H$25</f>
        <v>0</v>
      </c>
      <c r="I16" s="20">
        <f>'Headcount'!$I$25</f>
        <v>0</v>
      </c>
      <c r="J16" s="20">
        <f>'Headcount'!$J$25</f>
        <v>0</v>
      </c>
      <c r="K16" s="20">
        <f>'Headcount'!$K$25</f>
        <v>0</v>
      </c>
      <c r="L16" s="20">
        <f>'Headcount'!$L$25</f>
        <v>0</v>
      </c>
      <c r="M16" s="20">
        <f>'Headcount'!$M$25</f>
        <v>0</v>
      </c>
      <c r="N16" s="20">
        <f>'Headcount'!$N$25</f>
        <v>0</v>
      </c>
      <c r="O16" s="20">
        <f>'Headcount'!$O$25</f>
        <v>0</v>
      </c>
      <c r="P16" s="20">
        <f>'Headcount'!$P$25</f>
        <v>0</v>
      </c>
      <c r="Q16" s="20">
        <f>'Headcount'!$Q$25</f>
        <v>0</v>
      </c>
      <c r="R16" s="20">
        <f>'Headcount'!$R$25</f>
        <v>0</v>
      </c>
      <c r="S16" s="20">
        <f>'Headcount'!$S$25</f>
        <v>0</v>
      </c>
      <c r="T16" s="20">
        <f>'Headcount'!$T$25</f>
        <v>0</v>
      </c>
      <c r="U16" s="20">
        <f>'Headcount'!$U$25</f>
        <v>0</v>
      </c>
      <c r="V16" s="20">
        <f>'Headcount'!$V$25</f>
        <v>0</v>
      </c>
      <c r="W16" s="20">
        <f>'Headcount'!$W$25</f>
        <v>0</v>
      </c>
      <c r="X16" s="20">
        <f>'Headcount'!$X$25</f>
        <v>0</v>
      </c>
      <c r="Y16" s="20">
        <f>'Headcount'!$Y$25</f>
        <v>0</v>
      </c>
      <c r="Z16" s="20">
        <f>'Headcount'!$Z$25</f>
        <v>0</v>
      </c>
      <c r="AA16" s="20">
        <f>'Headcount'!$AA$25</f>
        <v>0</v>
      </c>
      <c r="AB16" s="20">
        <f>'Headcount'!$AB$25</f>
        <v>0</v>
      </c>
      <c r="AC16" s="20">
        <f>'Headcount'!$AC$25</f>
        <v>0</v>
      </c>
      <c r="AD16" s="20">
        <f>'Headcount'!$AD$25</f>
        <v>0</v>
      </c>
      <c r="AE16" s="20">
        <f>'Headcount'!$AE$25</f>
        <v>0</v>
      </c>
      <c r="AF16" s="20">
        <f>'Headcount'!$AF$25</f>
        <v>0</v>
      </c>
      <c r="AG16" s="20">
        <f>'Headcount'!$AG$25</f>
        <v>0</v>
      </c>
      <c r="AH16" s="20">
        <f>'Headcount'!$AH$25</f>
        <v>0</v>
      </c>
      <c r="AI16" s="20">
        <f>'Headcount'!$AI$25</f>
        <v>0</v>
      </c>
      <c r="AJ16" s="20">
        <f>'Headcount'!$AJ$25</f>
        <v>0</v>
      </c>
      <c r="AK16" s="20">
        <f>'Headcount'!$AK$25</f>
        <v>0</v>
      </c>
      <c r="AL16" s="20">
        <f>'Headcount'!$AL$25</f>
        <v>0</v>
      </c>
      <c r="AN16" s="20">
        <f>SUM(C16:E16)</f>
        <v>0</v>
      </c>
      <c r="AO16" s="20">
        <f>SUM(F16:H16)</f>
        <v>0</v>
      </c>
      <c r="AP16" s="20">
        <f>SUM(I16:K16)</f>
        <v>0</v>
      </c>
      <c r="AQ16" s="20">
        <f>SUM(L16:N16)</f>
        <v>0</v>
      </c>
      <c r="AR16" s="20">
        <f>SUM(O16:Q16)</f>
        <v>0</v>
      </c>
      <c r="AS16" s="20">
        <f>SUM(R16:T16)</f>
        <v>0</v>
      </c>
      <c r="AT16" s="20">
        <f>SUM(U16:W16)</f>
        <v>0</v>
      </c>
      <c r="AU16" s="20">
        <f>SUM(X16:Z16)</f>
        <v>0</v>
      </c>
      <c r="AV16" s="20">
        <f>SUM(AA16:AC16)</f>
        <v>0</v>
      </c>
      <c r="AW16" s="20">
        <f>SUM(AD16:AF16)</f>
        <v>0</v>
      </c>
      <c r="AX16" s="20">
        <f>SUM(AG16:AI16)</f>
        <v>0</v>
      </c>
      <c r="AY16" s="20">
        <f>SUM(AJ16:AL16)</f>
        <v>0</v>
      </c>
      <c r="BA16" s="20">
        <f>SUM(C16:N16)</f>
        <v>0</v>
      </c>
      <c r="BB16" s="20">
        <f>SUM(O16:Z16)</f>
        <v>0</v>
      </c>
      <c r="BC16" s="20">
        <f>SUM(AA16:AL16)</f>
        <v>0</v>
      </c>
    </row>
    <row r="17" spans="1:55">
      <c r="A17" s="18" t="s">
        <v>287</v>
      </c>
      <c r="B17" s="16" t="s">
        <v>283</v>
      </c>
      <c r="C17" s="20">
        <f>'Assumptions'!$F$62</f>
        <v>0</v>
      </c>
      <c r="D17" s="20">
        <f>'Assumptions'!$F$62</f>
        <v>0</v>
      </c>
      <c r="E17" s="20">
        <f>'Assumptions'!$F$62</f>
        <v>0</v>
      </c>
      <c r="F17" s="20">
        <f>'Assumptions'!$F$62</f>
        <v>0</v>
      </c>
      <c r="G17" s="20">
        <f>'Assumptions'!$F$62</f>
        <v>0</v>
      </c>
      <c r="H17" s="20">
        <f>'Assumptions'!$F$62</f>
        <v>0</v>
      </c>
      <c r="I17" s="20">
        <f>'Assumptions'!$F$62</f>
        <v>0</v>
      </c>
      <c r="J17" s="20">
        <f>'Assumptions'!$F$62</f>
        <v>0</v>
      </c>
      <c r="K17" s="20">
        <f>'Assumptions'!$F$62</f>
        <v>0</v>
      </c>
      <c r="L17" s="20">
        <f>'Assumptions'!$F$62</f>
        <v>0</v>
      </c>
      <c r="M17" s="20">
        <f>'Assumptions'!$F$62</f>
        <v>0</v>
      </c>
      <c r="N17" s="20">
        <f>'Assumptions'!$F$62</f>
        <v>0</v>
      </c>
      <c r="O17" s="20">
        <f>'Assumptions'!$F$62</f>
        <v>0</v>
      </c>
      <c r="P17" s="20">
        <f>'Assumptions'!$F$62</f>
        <v>0</v>
      </c>
      <c r="Q17" s="20">
        <f>'Assumptions'!$F$62</f>
        <v>0</v>
      </c>
      <c r="R17" s="20">
        <f>'Assumptions'!$F$62</f>
        <v>0</v>
      </c>
      <c r="S17" s="20">
        <f>'Assumptions'!$F$62</f>
        <v>0</v>
      </c>
      <c r="T17" s="20">
        <f>'Assumptions'!$F$62</f>
        <v>0</v>
      </c>
      <c r="U17" s="20">
        <f>'Assumptions'!$F$62</f>
        <v>0</v>
      </c>
      <c r="V17" s="20">
        <f>'Assumptions'!$F$62</f>
        <v>0</v>
      </c>
      <c r="W17" s="20">
        <f>'Assumptions'!$F$62</f>
        <v>0</v>
      </c>
      <c r="X17" s="20">
        <f>'Assumptions'!$F$62</f>
        <v>0</v>
      </c>
      <c r="Y17" s="20">
        <f>'Assumptions'!$F$62</f>
        <v>0</v>
      </c>
      <c r="Z17" s="20">
        <f>'Assumptions'!$F$62</f>
        <v>0</v>
      </c>
      <c r="AA17" s="20">
        <f>'Assumptions'!$F$62</f>
        <v>0</v>
      </c>
      <c r="AB17" s="20">
        <f>'Assumptions'!$F$62</f>
        <v>0</v>
      </c>
      <c r="AC17" s="20">
        <f>'Assumptions'!$F$62</f>
        <v>0</v>
      </c>
      <c r="AD17" s="20">
        <f>'Assumptions'!$F$62</f>
        <v>0</v>
      </c>
      <c r="AE17" s="20">
        <f>'Assumptions'!$F$62</f>
        <v>0</v>
      </c>
      <c r="AF17" s="20">
        <f>'Assumptions'!$F$62</f>
        <v>0</v>
      </c>
      <c r="AG17" s="20">
        <f>'Assumptions'!$F$62</f>
        <v>0</v>
      </c>
      <c r="AH17" s="20">
        <f>'Assumptions'!$F$62</f>
        <v>0</v>
      </c>
      <c r="AI17" s="20">
        <f>'Assumptions'!$F$62</f>
        <v>0</v>
      </c>
      <c r="AJ17" s="20">
        <f>'Assumptions'!$F$62</f>
        <v>0</v>
      </c>
      <c r="AK17" s="20">
        <f>'Assumptions'!$F$62</f>
        <v>0</v>
      </c>
      <c r="AL17" s="20">
        <f>'Assumptions'!$F$62</f>
        <v>0</v>
      </c>
      <c r="AN17" s="20">
        <f>SUM(C17:E17)</f>
        <v>0</v>
      </c>
      <c r="AO17" s="20">
        <f>SUM(F17:H17)</f>
        <v>0</v>
      </c>
      <c r="AP17" s="20">
        <f>SUM(I17:K17)</f>
        <v>0</v>
      </c>
      <c r="AQ17" s="20">
        <f>SUM(L17:N17)</f>
        <v>0</v>
      </c>
      <c r="AR17" s="20">
        <f>SUM(O17:Q17)</f>
        <v>0</v>
      </c>
      <c r="AS17" s="20">
        <f>SUM(R17:T17)</f>
        <v>0</v>
      </c>
      <c r="AT17" s="20">
        <f>SUM(U17:W17)</f>
        <v>0</v>
      </c>
      <c r="AU17" s="20">
        <f>SUM(X17:Z17)</f>
        <v>0</v>
      </c>
      <c r="AV17" s="20">
        <f>SUM(AA17:AC17)</f>
        <v>0</v>
      </c>
      <c r="AW17" s="20">
        <f>SUM(AD17:AF17)</f>
        <v>0</v>
      </c>
      <c r="AX17" s="20">
        <f>SUM(AG17:AI17)</f>
        <v>0</v>
      </c>
      <c r="AY17" s="20">
        <f>SUM(AJ17:AL17)</f>
        <v>0</v>
      </c>
      <c r="BA17" s="20">
        <f>SUM(C17:N17)</f>
        <v>0</v>
      </c>
      <c r="BB17" s="20">
        <f>SUM(O17:Z17)</f>
        <v>0</v>
      </c>
      <c r="BC17" s="20">
        <f>SUM(AA17:AL17)</f>
        <v>0</v>
      </c>
    </row>
    <row r="18" spans="1:55">
      <c r="A18" s="28" t="s">
        <v>288</v>
      </c>
      <c r="B18" s="16"/>
      <c r="C18" s="29">
        <f>C16+C17</f>
        <v>0</v>
      </c>
      <c r="D18" s="29">
        <f>D16+D17</f>
        <v>0</v>
      </c>
      <c r="E18" s="29">
        <f>E16+E17</f>
        <v>0</v>
      </c>
      <c r="F18" s="29">
        <f>F16+F17</f>
        <v>0</v>
      </c>
      <c r="G18" s="29">
        <f>G16+G17</f>
        <v>0</v>
      </c>
      <c r="H18" s="29">
        <f>H16+H17</f>
        <v>0</v>
      </c>
      <c r="I18" s="29">
        <f>I16+I17</f>
        <v>0</v>
      </c>
      <c r="J18" s="29">
        <f>J16+J17</f>
        <v>0</v>
      </c>
      <c r="K18" s="29">
        <f>K16+K17</f>
        <v>0</v>
      </c>
      <c r="L18" s="29">
        <f>L16+L17</f>
        <v>0</v>
      </c>
      <c r="M18" s="29">
        <f>M16+M17</f>
        <v>0</v>
      </c>
      <c r="N18" s="29">
        <f>N16+N17</f>
        <v>0</v>
      </c>
      <c r="O18" s="29">
        <f>O16+O17</f>
        <v>0</v>
      </c>
      <c r="P18" s="29">
        <f>P16+P17</f>
        <v>0</v>
      </c>
      <c r="Q18" s="29">
        <f>Q16+Q17</f>
        <v>0</v>
      </c>
      <c r="R18" s="29">
        <f>R16+R17</f>
        <v>0</v>
      </c>
      <c r="S18" s="29">
        <f>S16+S17</f>
        <v>0</v>
      </c>
      <c r="T18" s="29">
        <f>T16+T17</f>
        <v>0</v>
      </c>
      <c r="U18" s="29">
        <f>U16+U17</f>
        <v>0</v>
      </c>
      <c r="V18" s="29">
        <f>V16+V17</f>
        <v>0</v>
      </c>
      <c r="W18" s="29">
        <f>W16+W17</f>
        <v>0</v>
      </c>
      <c r="X18" s="29">
        <f>X16+X17</f>
        <v>0</v>
      </c>
      <c r="Y18" s="29">
        <f>Y16+Y17</f>
        <v>0</v>
      </c>
      <c r="Z18" s="29">
        <f>Z16+Z17</f>
        <v>0</v>
      </c>
      <c r="AA18" s="29">
        <f>AA16+AA17</f>
        <v>0</v>
      </c>
      <c r="AB18" s="29">
        <f>AB16+AB17</f>
        <v>0</v>
      </c>
      <c r="AC18" s="29">
        <f>AC16+AC17</f>
        <v>0</v>
      </c>
      <c r="AD18" s="29">
        <f>AD16+AD17</f>
        <v>0</v>
      </c>
      <c r="AE18" s="29">
        <f>AE16+AE17</f>
        <v>0</v>
      </c>
      <c r="AF18" s="29">
        <f>AF16+AF17</f>
        <v>0</v>
      </c>
      <c r="AG18" s="29">
        <f>AG16+AG17</f>
        <v>0</v>
      </c>
      <c r="AH18" s="29">
        <f>AH16+AH17</f>
        <v>0</v>
      </c>
      <c r="AI18" s="29">
        <f>AI16+AI17</f>
        <v>0</v>
      </c>
      <c r="AJ18" s="29">
        <f>AJ16+AJ17</f>
        <v>0</v>
      </c>
      <c r="AK18" s="29">
        <f>AK16+AK17</f>
        <v>0</v>
      </c>
      <c r="AL18" s="29">
        <f>AL16+AL17</f>
        <v>0</v>
      </c>
      <c r="AN18" s="29">
        <f>SUM(C18:E18)</f>
        <v>0</v>
      </c>
      <c r="AO18" s="29">
        <f>SUM(F18:H18)</f>
        <v>0</v>
      </c>
      <c r="AP18" s="29">
        <f>SUM(I18:K18)</f>
        <v>0</v>
      </c>
      <c r="AQ18" s="29">
        <f>SUM(L18:N18)</f>
        <v>0</v>
      </c>
      <c r="AR18" s="29">
        <f>SUM(O18:Q18)</f>
        <v>0</v>
      </c>
      <c r="AS18" s="29">
        <f>SUM(R18:T18)</f>
        <v>0</v>
      </c>
      <c r="AT18" s="29">
        <f>SUM(U18:W18)</f>
        <v>0</v>
      </c>
      <c r="AU18" s="29">
        <f>SUM(X18:Z18)</f>
        <v>0</v>
      </c>
      <c r="AV18" s="29">
        <f>SUM(AA18:AC18)</f>
        <v>0</v>
      </c>
      <c r="AW18" s="29">
        <f>SUM(AD18:AF18)</f>
        <v>0</v>
      </c>
      <c r="AX18" s="29">
        <f>SUM(AG18:AI18)</f>
        <v>0</v>
      </c>
      <c r="AY18" s="29">
        <f>SUM(AJ18:AL18)</f>
        <v>0</v>
      </c>
      <c r="BA18" s="29">
        <f>SUM(C18:N18)</f>
        <v>0</v>
      </c>
      <c r="BB18" s="29">
        <f>SUM(O18:Z18)</f>
        <v>0</v>
      </c>
      <c r="BC18" s="29">
        <f>SUM(AA18:AL18)</f>
        <v>0</v>
      </c>
    </row>
    <row r="19" spans="1:55" ht="5" customHeight="1"/>
    <row r="20" spans="1:55" ht="16" customHeight="1">
      <c r="A20" s="14" t="s">
        <v>289</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row>
    <row r="21" spans="1:55">
      <c r="A21" s="18" t="s">
        <v>290</v>
      </c>
      <c r="B21" s="16" t="s">
        <v>275</v>
      </c>
      <c r="C21" s="20">
        <f>'Headcount'!$C$23</f>
        <v>0</v>
      </c>
      <c r="D21" s="20">
        <f>'Headcount'!$D$23</f>
        <v>0</v>
      </c>
      <c r="E21" s="20">
        <f>'Headcount'!$E$23</f>
        <v>0</v>
      </c>
      <c r="F21" s="20">
        <f>'Headcount'!$F$23</f>
        <v>0</v>
      </c>
      <c r="G21" s="20">
        <f>'Headcount'!$G$23</f>
        <v>0</v>
      </c>
      <c r="H21" s="20">
        <f>'Headcount'!$H$23</f>
        <v>0</v>
      </c>
      <c r="I21" s="20">
        <f>'Headcount'!$I$23</f>
        <v>0</v>
      </c>
      <c r="J21" s="20">
        <f>'Headcount'!$J$23</f>
        <v>0</v>
      </c>
      <c r="K21" s="20">
        <f>'Headcount'!$K$23</f>
        <v>0</v>
      </c>
      <c r="L21" s="20">
        <f>'Headcount'!$L$23</f>
        <v>0</v>
      </c>
      <c r="M21" s="20">
        <f>'Headcount'!$M$23</f>
        <v>0</v>
      </c>
      <c r="N21" s="20">
        <f>'Headcount'!$N$23</f>
        <v>0</v>
      </c>
      <c r="O21" s="20">
        <f>'Headcount'!$O$23</f>
        <v>0</v>
      </c>
      <c r="P21" s="20">
        <f>'Headcount'!$P$23</f>
        <v>0</v>
      </c>
      <c r="Q21" s="20">
        <f>'Headcount'!$Q$23</f>
        <v>0</v>
      </c>
      <c r="R21" s="20">
        <f>'Headcount'!$R$23</f>
        <v>0</v>
      </c>
      <c r="S21" s="20">
        <f>'Headcount'!$S$23</f>
        <v>0</v>
      </c>
      <c r="T21" s="20">
        <f>'Headcount'!$T$23</f>
        <v>0</v>
      </c>
      <c r="U21" s="20">
        <f>'Headcount'!$U$23</f>
        <v>0</v>
      </c>
      <c r="V21" s="20">
        <f>'Headcount'!$V$23</f>
        <v>0</v>
      </c>
      <c r="W21" s="20">
        <f>'Headcount'!$W$23</f>
        <v>0</v>
      </c>
      <c r="X21" s="20">
        <f>'Headcount'!$X$23</f>
        <v>0</v>
      </c>
      <c r="Y21" s="20">
        <f>'Headcount'!$Y$23</f>
        <v>0</v>
      </c>
      <c r="Z21" s="20">
        <f>'Headcount'!$Z$23</f>
        <v>0</v>
      </c>
      <c r="AA21" s="20">
        <f>'Headcount'!$AA$23</f>
        <v>0</v>
      </c>
      <c r="AB21" s="20">
        <f>'Headcount'!$AB$23</f>
        <v>0</v>
      </c>
      <c r="AC21" s="20">
        <f>'Headcount'!$AC$23</f>
        <v>0</v>
      </c>
      <c r="AD21" s="20">
        <f>'Headcount'!$AD$23</f>
        <v>0</v>
      </c>
      <c r="AE21" s="20">
        <f>'Headcount'!$AE$23</f>
        <v>0</v>
      </c>
      <c r="AF21" s="20">
        <f>'Headcount'!$AF$23</f>
        <v>0</v>
      </c>
      <c r="AG21" s="20">
        <f>'Headcount'!$AG$23</f>
        <v>0</v>
      </c>
      <c r="AH21" s="20">
        <f>'Headcount'!$AH$23</f>
        <v>0</v>
      </c>
      <c r="AI21" s="20">
        <f>'Headcount'!$AI$23</f>
        <v>0</v>
      </c>
      <c r="AJ21" s="20">
        <f>'Headcount'!$AJ$23</f>
        <v>0</v>
      </c>
      <c r="AK21" s="20">
        <f>'Headcount'!$AK$23</f>
        <v>0</v>
      </c>
      <c r="AL21" s="20">
        <f>'Headcount'!$AL$23</f>
        <v>0</v>
      </c>
      <c r="AN21" s="20">
        <f>SUM(C21:E21)</f>
        <v>0</v>
      </c>
      <c r="AO21" s="20">
        <f>SUM(F21:H21)</f>
        <v>0</v>
      </c>
      <c r="AP21" s="20">
        <f>SUM(I21:K21)</f>
        <v>0</v>
      </c>
      <c r="AQ21" s="20">
        <f>SUM(L21:N21)</f>
        <v>0</v>
      </c>
      <c r="AR21" s="20">
        <f>SUM(O21:Q21)</f>
        <v>0</v>
      </c>
      <c r="AS21" s="20">
        <f>SUM(R21:T21)</f>
        <v>0</v>
      </c>
      <c r="AT21" s="20">
        <f>SUM(U21:W21)</f>
        <v>0</v>
      </c>
      <c r="AU21" s="20">
        <f>SUM(X21:Z21)</f>
        <v>0</v>
      </c>
      <c r="AV21" s="20">
        <f>SUM(AA21:AC21)</f>
        <v>0</v>
      </c>
      <c r="AW21" s="20">
        <f>SUM(AD21:AF21)</f>
        <v>0</v>
      </c>
      <c r="AX21" s="20">
        <f>SUM(AG21:AI21)</f>
        <v>0</v>
      </c>
      <c r="AY21" s="20">
        <f>SUM(AJ21:AL21)</f>
        <v>0</v>
      </c>
      <c r="BA21" s="20">
        <f>SUM(C21:N21)</f>
        <v>0</v>
      </c>
      <c r="BB21" s="20">
        <f>SUM(O21:Z21)</f>
        <v>0</v>
      </c>
      <c r="BC21" s="20">
        <f>SUM(AA21:AL21)</f>
        <v>0</v>
      </c>
    </row>
    <row r="22" spans="1:55">
      <c r="A22" s="18" t="s">
        <v>291</v>
      </c>
      <c r="B22" s="16" t="s">
        <v>283</v>
      </c>
      <c r="C22" s="20">
        <f>'Assumptions'!$F$63</f>
        <v>0</v>
      </c>
      <c r="D22" s="20">
        <f>'Assumptions'!$F$63</f>
        <v>0</v>
      </c>
      <c r="E22" s="20">
        <f>'Assumptions'!$F$63</f>
        <v>0</v>
      </c>
      <c r="F22" s="20">
        <f>'Assumptions'!$F$63</f>
        <v>0</v>
      </c>
      <c r="G22" s="20">
        <f>'Assumptions'!$F$63</f>
        <v>0</v>
      </c>
      <c r="H22" s="20">
        <f>'Assumptions'!$F$63</f>
        <v>0</v>
      </c>
      <c r="I22" s="20">
        <f>'Assumptions'!$F$63</f>
        <v>0</v>
      </c>
      <c r="J22" s="20">
        <f>'Assumptions'!$F$63</f>
        <v>0</v>
      </c>
      <c r="K22" s="20">
        <f>'Assumptions'!$F$63</f>
        <v>0</v>
      </c>
      <c r="L22" s="20">
        <f>'Assumptions'!$F$63</f>
        <v>0</v>
      </c>
      <c r="M22" s="20">
        <f>'Assumptions'!$F$63</f>
        <v>0</v>
      </c>
      <c r="N22" s="20">
        <f>'Assumptions'!$F$63</f>
        <v>0</v>
      </c>
      <c r="O22" s="20">
        <f>'Assumptions'!$F$63</f>
        <v>0</v>
      </c>
      <c r="P22" s="20">
        <f>'Assumptions'!$F$63</f>
        <v>0</v>
      </c>
      <c r="Q22" s="20">
        <f>'Assumptions'!$F$63</f>
        <v>0</v>
      </c>
      <c r="R22" s="20">
        <f>'Assumptions'!$F$63</f>
        <v>0</v>
      </c>
      <c r="S22" s="20">
        <f>'Assumptions'!$F$63</f>
        <v>0</v>
      </c>
      <c r="T22" s="20">
        <f>'Assumptions'!$F$63</f>
        <v>0</v>
      </c>
      <c r="U22" s="20">
        <f>'Assumptions'!$F$63</f>
        <v>0</v>
      </c>
      <c r="V22" s="20">
        <f>'Assumptions'!$F$63</f>
        <v>0</v>
      </c>
      <c r="W22" s="20">
        <f>'Assumptions'!$F$63</f>
        <v>0</v>
      </c>
      <c r="X22" s="20">
        <f>'Assumptions'!$F$63</f>
        <v>0</v>
      </c>
      <c r="Y22" s="20">
        <f>'Assumptions'!$F$63</f>
        <v>0</v>
      </c>
      <c r="Z22" s="20">
        <f>'Assumptions'!$F$63</f>
        <v>0</v>
      </c>
      <c r="AA22" s="20">
        <f>'Assumptions'!$F$63</f>
        <v>0</v>
      </c>
      <c r="AB22" s="20">
        <f>'Assumptions'!$F$63</f>
        <v>0</v>
      </c>
      <c r="AC22" s="20">
        <f>'Assumptions'!$F$63</f>
        <v>0</v>
      </c>
      <c r="AD22" s="20">
        <f>'Assumptions'!$F$63</f>
        <v>0</v>
      </c>
      <c r="AE22" s="20">
        <f>'Assumptions'!$F$63</f>
        <v>0</v>
      </c>
      <c r="AF22" s="20">
        <f>'Assumptions'!$F$63</f>
        <v>0</v>
      </c>
      <c r="AG22" s="20">
        <f>'Assumptions'!$F$63</f>
        <v>0</v>
      </c>
      <c r="AH22" s="20">
        <f>'Assumptions'!$F$63</f>
        <v>0</v>
      </c>
      <c r="AI22" s="20">
        <f>'Assumptions'!$F$63</f>
        <v>0</v>
      </c>
      <c r="AJ22" s="20">
        <f>'Assumptions'!$F$63</f>
        <v>0</v>
      </c>
      <c r="AK22" s="20">
        <f>'Assumptions'!$F$63</f>
        <v>0</v>
      </c>
      <c r="AL22" s="20">
        <f>'Assumptions'!$F$63</f>
        <v>0</v>
      </c>
      <c r="AN22" s="20">
        <f>SUM(C22:E22)</f>
        <v>0</v>
      </c>
      <c r="AO22" s="20">
        <f>SUM(F22:H22)</f>
        <v>0</v>
      </c>
      <c r="AP22" s="20">
        <f>SUM(I22:K22)</f>
        <v>0</v>
      </c>
      <c r="AQ22" s="20">
        <f>SUM(L22:N22)</f>
        <v>0</v>
      </c>
      <c r="AR22" s="20">
        <f>SUM(O22:Q22)</f>
        <v>0</v>
      </c>
      <c r="AS22" s="20">
        <f>SUM(R22:T22)</f>
        <v>0</v>
      </c>
      <c r="AT22" s="20">
        <f>SUM(U22:W22)</f>
        <v>0</v>
      </c>
      <c r="AU22" s="20">
        <f>SUM(X22:Z22)</f>
        <v>0</v>
      </c>
      <c r="AV22" s="20">
        <f>SUM(AA22:AC22)</f>
        <v>0</v>
      </c>
      <c r="AW22" s="20">
        <f>SUM(AD22:AF22)</f>
        <v>0</v>
      </c>
      <c r="AX22" s="20">
        <f>SUM(AG22:AI22)</f>
        <v>0</v>
      </c>
      <c r="AY22" s="20">
        <f>SUM(AJ22:AL22)</f>
        <v>0</v>
      </c>
      <c r="BA22" s="20">
        <f>SUM(C22:N22)</f>
        <v>0</v>
      </c>
      <c r="BB22" s="20">
        <f>SUM(O22:Z22)</f>
        <v>0</v>
      </c>
      <c r="BC22" s="20">
        <f>SUM(AA22:AL22)</f>
        <v>0</v>
      </c>
    </row>
    <row r="23" spans="1:55">
      <c r="A23" s="28" t="s">
        <v>292</v>
      </c>
      <c r="B23" s="16"/>
      <c r="C23" s="29">
        <f>C21+C22</f>
        <v>0</v>
      </c>
      <c r="D23" s="29">
        <f>D21+D22</f>
        <v>0</v>
      </c>
      <c r="E23" s="29">
        <f>E21+E22</f>
        <v>0</v>
      </c>
      <c r="F23" s="29">
        <f>F21+F22</f>
        <v>0</v>
      </c>
      <c r="G23" s="29">
        <f>G21+G22</f>
        <v>0</v>
      </c>
      <c r="H23" s="29">
        <f>H21+H22</f>
        <v>0</v>
      </c>
      <c r="I23" s="29">
        <f>I21+I22</f>
        <v>0</v>
      </c>
      <c r="J23" s="29">
        <f>J21+J22</f>
        <v>0</v>
      </c>
      <c r="K23" s="29">
        <f>K21+K22</f>
        <v>0</v>
      </c>
      <c r="L23" s="29">
        <f>L21+L22</f>
        <v>0</v>
      </c>
      <c r="M23" s="29">
        <f>M21+M22</f>
        <v>0</v>
      </c>
      <c r="N23" s="29">
        <f>N21+N22</f>
        <v>0</v>
      </c>
      <c r="O23" s="29">
        <f>O21+O22</f>
        <v>0</v>
      </c>
      <c r="P23" s="29">
        <f>P21+P22</f>
        <v>0</v>
      </c>
      <c r="Q23" s="29">
        <f>Q21+Q22</f>
        <v>0</v>
      </c>
      <c r="R23" s="29">
        <f>R21+R22</f>
        <v>0</v>
      </c>
      <c r="S23" s="29">
        <f>S21+S22</f>
        <v>0</v>
      </c>
      <c r="T23" s="29">
        <f>T21+T22</f>
        <v>0</v>
      </c>
      <c r="U23" s="29">
        <f>U21+U22</f>
        <v>0</v>
      </c>
      <c r="V23" s="29">
        <f>V21+V22</f>
        <v>0</v>
      </c>
      <c r="W23" s="29">
        <f>W21+W22</f>
        <v>0</v>
      </c>
      <c r="X23" s="29">
        <f>X21+X22</f>
        <v>0</v>
      </c>
      <c r="Y23" s="29">
        <f>Y21+Y22</f>
        <v>0</v>
      </c>
      <c r="Z23" s="29">
        <f>Z21+Z22</f>
        <v>0</v>
      </c>
      <c r="AA23" s="29">
        <f>AA21+AA22</f>
        <v>0</v>
      </c>
      <c r="AB23" s="29">
        <f>AB21+AB22</f>
        <v>0</v>
      </c>
      <c r="AC23" s="29">
        <f>AC21+AC22</f>
        <v>0</v>
      </c>
      <c r="AD23" s="29">
        <f>AD21+AD22</f>
        <v>0</v>
      </c>
      <c r="AE23" s="29">
        <f>AE21+AE22</f>
        <v>0</v>
      </c>
      <c r="AF23" s="29">
        <f>AF21+AF22</f>
        <v>0</v>
      </c>
      <c r="AG23" s="29">
        <f>AG21+AG22</f>
        <v>0</v>
      </c>
      <c r="AH23" s="29">
        <f>AH21+AH22</f>
        <v>0</v>
      </c>
      <c r="AI23" s="29">
        <f>AI21+AI22</f>
        <v>0</v>
      </c>
      <c r="AJ23" s="29">
        <f>AJ21+AJ22</f>
        <v>0</v>
      </c>
      <c r="AK23" s="29">
        <f>AK21+AK22</f>
        <v>0</v>
      </c>
      <c r="AL23" s="29">
        <f>AL21+AL22</f>
        <v>0</v>
      </c>
      <c r="AN23" s="29">
        <f>SUM(C23:E23)</f>
        <v>0</v>
      </c>
      <c r="AO23" s="29">
        <f>SUM(F23:H23)</f>
        <v>0</v>
      </c>
      <c r="AP23" s="29">
        <f>SUM(I23:K23)</f>
        <v>0</v>
      </c>
      <c r="AQ23" s="29">
        <f>SUM(L23:N23)</f>
        <v>0</v>
      </c>
      <c r="AR23" s="29">
        <f>SUM(O23:Q23)</f>
        <v>0</v>
      </c>
      <c r="AS23" s="29">
        <f>SUM(R23:T23)</f>
        <v>0</v>
      </c>
      <c r="AT23" s="29">
        <f>SUM(U23:W23)</f>
        <v>0</v>
      </c>
      <c r="AU23" s="29">
        <f>SUM(X23:Z23)</f>
        <v>0</v>
      </c>
      <c r="AV23" s="29">
        <f>SUM(AA23:AC23)</f>
        <v>0</v>
      </c>
      <c r="AW23" s="29">
        <f>SUM(AD23:AF23)</f>
        <v>0</v>
      </c>
      <c r="AX23" s="29">
        <f>SUM(AG23:AI23)</f>
        <v>0</v>
      </c>
      <c r="AY23" s="29">
        <f>SUM(AJ23:AL23)</f>
        <v>0</v>
      </c>
      <c r="BA23" s="29">
        <f>SUM(C23:N23)</f>
        <v>0</v>
      </c>
      <c r="BB23" s="29">
        <f>SUM(O23:Z23)</f>
        <v>0</v>
      </c>
      <c r="BC23" s="29">
        <f>SUM(AA23:AL23)</f>
        <v>0</v>
      </c>
    </row>
    <row r="24" spans="1:55" ht="5" customHeight="1"/>
    <row r="25" spans="1:55" ht="16" customHeight="1">
      <c r="A25" s="14" t="s">
        <v>293</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row>
    <row r="26" spans="1:55">
      <c r="A26" s="31" t="s">
        <v>294</v>
      </c>
      <c r="B26" s="16"/>
      <c r="C26" s="32">
        <f>C13+C18+C23</f>
        <v>0</v>
      </c>
      <c r="D26" s="32">
        <f>D13+D18+D23</f>
        <v>0</v>
      </c>
      <c r="E26" s="32">
        <f>E13+E18+E23</f>
        <v>0</v>
      </c>
      <c r="F26" s="32">
        <f>F13+F18+F23</f>
        <v>0</v>
      </c>
      <c r="G26" s="32">
        <f>G13+G18+G23</f>
        <v>0</v>
      </c>
      <c r="H26" s="32">
        <f>H13+H18+H23</f>
        <v>0</v>
      </c>
      <c r="I26" s="32">
        <f>I13+I18+I23</f>
        <v>0</v>
      </c>
      <c r="J26" s="32">
        <f>J13+J18+J23</f>
        <v>0</v>
      </c>
      <c r="K26" s="32">
        <f>K13+K18+K23</f>
        <v>0</v>
      </c>
      <c r="L26" s="32">
        <f>L13+L18+L23</f>
        <v>0</v>
      </c>
      <c r="M26" s="32">
        <f>M13+M18+M23</f>
        <v>0</v>
      </c>
      <c r="N26" s="32">
        <f>N13+N18+N23</f>
        <v>0</v>
      </c>
      <c r="O26" s="32">
        <f>O13+O18+O23</f>
        <v>0</v>
      </c>
      <c r="P26" s="32">
        <f>P13+P18+P23</f>
        <v>0</v>
      </c>
      <c r="Q26" s="32">
        <f>Q13+Q18+Q23</f>
        <v>0</v>
      </c>
      <c r="R26" s="32">
        <f>R13+R18+R23</f>
        <v>0</v>
      </c>
      <c r="S26" s="32">
        <f>S13+S18+S23</f>
        <v>0</v>
      </c>
      <c r="T26" s="32">
        <f>T13+T18+T23</f>
        <v>0</v>
      </c>
      <c r="U26" s="32">
        <f>U13+U18+U23</f>
        <v>0</v>
      </c>
      <c r="V26" s="32">
        <f>V13+V18+V23</f>
        <v>0</v>
      </c>
      <c r="W26" s="32">
        <f>W13+W18+W23</f>
        <v>0</v>
      </c>
      <c r="X26" s="32">
        <f>X13+X18+X23</f>
        <v>0</v>
      </c>
      <c r="Y26" s="32">
        <f>Y13+Y18+Y23</f>
        <v>0</v>
      </c>
      <c r="Z26" s="32">
        <f>Z13+Z18+Z23</f>
        <v>0</v>
      </c>
      <c r="AA26" s="32">
        <f>AA13+AA18+AA23</f>
        <v>0</v>
      </c>
      <c r="AB26" s="32">
        <f>AB13+AB18+AB23</f>
        <v>0</v>
      </c>
      <c r="AC26" s="32">
        <f>AC13+AC18+AC23</f>
        <v>0</v>
      </c>
      <c r="AD26" s="32">
        <f>AD13+AD18+AD23</f>
        <v>0</v>
      </c>
      <c r="AE26" s="32">
        <f>AE13+AE18+AE23</f>
        <v>0</v>
      </c>
      <c r="AF26" s="32">
        <f>AF13+AF18+AF23</f>
        <v>0</v>
      </c>
      <c r="AG26" s="32">
        <f>AG13+AG18+AG23</f>
        <v>0</v>
      </c>
      <c r="AH26" s="32">
        <f>AH13+AH18+AH23</f>
        <v>0</v>
      </c>
      <c r="AI26" s="32">
        <f>AI13+AI18+AI23</f>
        <v>0</v>
      </c>
      <c r="AJ26" s="32">
        <f>AJ13+AJ18+AJ23</f>
        <v>0</v>
      </c>
      <c r="AK26" s="32">
        <f>AK13+AK18+AK23</f>
        <v>0</v>
      </c>
      <c r="AL26" s="32">
        <f>AL13+AL18+AL23</f>
        <v>0</v>
      </c>
      <c r="AN26" s="32">
        <f>SUM(C26:E26)</f>
        <v>0</v>
      </c>
      <c r="AO26" s="32">
        <f>SUM(F26:H26)</f>
        <v>0</v>
      </c>
      <c r="AP26" s="32">
        <f>SUM(I26:K26)</f>
        <v>0</v>
      </c>
      <c r="AQ26" s="32">
        <f>SUM(L26:N26)</f>
        <v>0</v>
      </c>
      <c r="AR26" s="32">
        <f>SUM(O26:Q26)</f>
        <v>0</v>
      </c>
      <c r="AS26" s="32">
        <f>SUM(R26:T26)</f>
        <v>0</v>
      </c>
      <c r="AT26" s="32">
        <f>SUM(U26:W26)</f>
        <v>0</v>
      </c>
      <c r="AU26" s="32">
        <f>SUM(X26:Z26)</f>
        <v>0</v>
      </c>
      <c r="AV26" s="32">
        <f>SUM(AA26:AC26)</f>
        <v>0</v>
      </c>
      <c r="AW26" s="32">
        <f>SUM(AD26:AF26)</f>
        <v>0</v>
      </c>
      <c r="AX26" s="32">
        <f>SUM(AG26:AI26)</f>
        <v>0</v>
      </c>
      <c r="AY26" s="32">
        <f>SUM(AJ26:AL26)</f>
        <v>0</v>
      </c>
      <c r="BA26" s="32">
        <f>SUM(C26:N26)</f>
        <v>0</v>
      </c>
      <c r="BB26" s="32">
        <f>SUM(O26:Z26)</f>
        <v>0</v>
      </c>
      <c r="BC26" s="32">
        <f>SUM(AA26:AL26)</f>
        <v>0</v>
      </c>
    </row>
  </sheetData>
  <mergeCells count="9">
    <mergeCell ref="A1:BC1"/>
    <mergeCell ref="A2:BC2"/>
    <mergeCell ref="C5:AL5"/>
    <mergeCell ref="AN5:AY5"/>
    <mergeCell ref="BA5:BC5"/>
    <mergeCell ref="A7:BC7"/>
    <mergeCell ref="A15:BC15"/>
    <mergeCell ref="A20:BC20"/>
    <mergeCell ref="A25:BC25"/>
  </mergeCells>
  <pageMargins left="0.7" right="0.7" top="0.75" bottom="0.75" header="0.3" footer="0.3"/>
  <pageSetup paperSize="9" scale="55" orientation="landscape"/>
</worksheet>
</file>

<file path=xl/worksheets/sheet7.xml><?xml version="1.0" encoding="utf-8"?>
<worksheet xmlns="http://schemas.openxmlformats.org/spreadsheetml/2006/main" xmlns:r="http://schemas.openxmlformats.org/officeDocument/2006/relationships">
  <dimension ref="A1:BC30"/>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295</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296</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297</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298</v>
      </c>
      <c r="B8" s="16" t="s">
        <v>299</v>
      </c>
      <c r="C8" s="20">
        <f>'Revenue'!C35*'Assumptions'!$F$66/30</f>
        <v>0</v>
      </c>
      <c r="D8" s="20">
        <f>'Revenue'!D35*'Assumptions'!$F$66/30</f>
        <v>0</v>
      </c>
      <c r="E8" s="20">
        <f>'Revenue'!E35*'Assumptions'!$F$66/30</f>
        <v>0</v>
      </c>
      <c r="F8" s="20">
        <f>'Revenue'!F35*'Assumptions'!$F$66/30</f>
        <v>0</v>
      </c>
      <c r="G8" s="20">
        <f>'Revenue'!G35*'Assumptions'!$F$66/30</f>
        <v>0</v>
      </c>
      <c r="H8" s="20">
        <f>'Revenue'!H35*'Assumptions'!$F$66/30</f>
        <v>0</v>
      </c>
      <c r="I8" s="20">
        <f>'Revenue'!I35*'Assumptions'!$F$66/30</f>
        <v>0</v>
      </c>
      <c r="J8" s="20">
        <f>'Revenue'!J35*'Assumptions'!$F$66/30</f>
        <v>0</v>
      </c>
      <c r="K8" s="20">
        <f>'Revenue'!K35*'Assumptions'!$F$66/30</f>
        <v>0</v>
      </c>
      <c r="L8" s="20">
        <f>'Revenue'!L35*'Assumptions'!$F$66/30</f>
        <v>0</v>
      </c>
      <c r="M8" s="20">
        <f>'Revenue'!M35*'Assumptions'!$F$66/30</f>
        <v>0</v>
      </c>
      <c r="N8" s="20">
        <f>'Revenue'!N35*'Assumptions'!$F$66/30</f>
        <v>0</v>
      </c>
      <c r="O8" s="20">
        <f>'Revenue'!O35*'Assumptions'!$F$66/30</f>
        <v>0</v>
      </c>
      <c r="P8" s="20">
        <f>'Revenue'!P35*'Assumptions'!$F$66/30</f>
        <v>0</v>
      </c>
      <c r="Q8" s="20">
        <f>'Revenue'!Q35*'Assumptions'!$F$66/30</f>
        <v>0</v>
      </c>
      <c r="R8" s="20">
        <f>'Revenue'!R35*'Assumptions'!$F$66/30</f>
        <v>0</v>
      </c>
      <c r="S8" s="20">
        <f>'Revenue'!S35*'Assumptions'!$F$66/30</f>
        <v>0</v>
      </c>
      <c r="T8" s="20">
        <f>'Revenue'!T35*'Assumptions'!$F$66/30</f>
        <v>0</v>
      </c>
      <c r="U8" s="20">
        <f>'Revenue'!U35*'Assumptions'!$F$66/30</f>
        <v>0</v>
      </c>
      <c r="V8" s="20">
        <f>'Revenue'!V35*'Assumptions'!$F$66/30</f>
        <v>0</v>
      </c>
      <c r="W8" s="20">
        <f>'Revenue'!W35*'Assumptions'!$F$66/30</f>
        <v>0</v>
      </c>
      <c r="X8" s="20">
        <f>'Revenue'!X35*'Assumptions'!$F$66/30</f>
        <v>0</v>
      </c>
      <c r="Y8" s="20">
        <f>'Revenue'!Y35*'Assumptions'!$F$66/30</f>
        <v>0</v>
      </c>
      <c r="Z8" s="20">
        <f>'Revenue'!Z35*'Assumptions'!$F$66/30</f>
        <v>0</v>
      </c>
      <c r="AA8" s="20">
        <f>'Revenue'!AA35*'Assumptions'!$F$66/30</f>
        <v>0</v>
      </c>
      <c r="AB8" s="20">
        <f>'Revenue'!AB35*'Assumptions'!$F$66/30</f>
        <v>0</v>
      </c>
      <c r="AC8" s="20">
        <f>'Revenue'!AC35*'Assumptions'!$F$66/30</f>
        <v>0</v>
      </c>
      <c r="AD8" s="20">
        <f>'Revenue'!AD35*'Assumptions'!$F$66/30</f>
        <v>0</v>
      </c>
      <c r="AE8" s="20">
        <f>'Revenue'!AE35*'Assumptions'!$F$66/30</f>
        <v>0</v>
      </c>
      <c r="AF8" s="20">
        <f>'Revenue'!AF35*'Assumptions'!$F$66/30</f>
        <v>0</v>
      </c>
      <c r="AG8" s="20">
        <f>'Revenue'!AG35*'Assumptions'!$F$66/30</f>
        <v>0</v>
      </c>
      <c r="AH8" s="20">
        <f>'Revenue'!AH35*'Assumptions'!$F$66/30</f>
        <v>0</v>
      </c>
      <c r="AI8" s="20">
        <f>'Revenue'!AI35*'Assumptions'!$F$66/30</f>
        <v>0</v>
      </c>
      <c r="AJ8" s="20">
        <f>'Revenue'!AJ35*'Assumptions'!$F$66/30</f>
        <v>0</v>
      </c>
      <c r="AK8" s="20">
        <f>'Revenue'!AK35*'Assumptions'!$F$66/30</f>
        <v>0</v>
      </c>
      <c r="AL8" s="20">
        <f>'Revenue'!AL35*'Assumptions'!$F$66/30</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300</v>
      </c>
      <c r="B9" s="16" t="s">
        <v>301</v>
      </c>
      <c r="C9" s="20">
        <f>('COGS &amp; GM'!C13+'Opex'!C26)*'Assumptions'!$F$67/30</f>
        <v>0</v>
      </c>
      <c r="D9" s="20">
        <f>('COGS &amp; GM'!D13+'Opex'!D26)*'Assumptions'!$F$67/30</f>
        <v>0</v>
      </c>
      <c r="E9" s="20">
        <f>('COGS &amp; GM'!E13+'Opex'!E26)*'Assumptions'!$F$67/30</f>
        <v>0</v>
      </c>
      <c r="F9" s="20">
        <f>('COGS &amp; GM'!F13+'Opex'!F26)*'Assumptions'!$F$67/30</f>
        <v>0</v>
      </c>
      <c r="G9" s="20">
        <f>('COGS &amp; GM'!G13+'Opex'!G26)*'Assumptions'!$F$67/30</f>
        <v>0</v>
      </c>
      <c r="H9" s="20">
        <f>('COGS &amp; GM'!H13+'Opex'!H26)*'Assumptions'!$F$67/30</f>
        <v>0</v>
      </c>
      <c r="I9" s="20">
        <f>('COGS &amp; GM'!I13+'Opex'!I26)*'Assumptions'!$F$67/30</f>
        <v>0</v>
      </c>
      <c r="J9" s="20">
        <f>('COGS &amp; GM'!J13+'Opex'!J26)*'Assumptions'!$F$67/30</f>
        <v>0</v>
      </c>
      <c r="K9" s="20">
        <f>('COGS &amp; GM'!K13+'Opex'!K26)*'Assumptions'!$F$67/30</f>
        <v>0</v>
      </c>
      <c r="L9" s="20">
        <f>('COGS &amp; GM'!L13+'Opex'!L26)*'Assumptions'!$F$67/30</f>
        <v>0</v>
      </c>
      <c r="M9" s="20">
        <f>('COGS &amp; GM'!M13+'Opex'!M26)*'Assumptions'!$F$67/30</f>
        <v>0</v>
      </c>
      <c r="N9" s="20">
        <f>('COGS &amp; GM'!N13+'Opex'!N26)*'Assumptions'!$F$67/30</f>
        <v>0</v>
      </c>
      <c r="O9" s="20">
        <f>('COGS &amp; GM'!O13+'Opex'!O26)*'Assumptions'!$F$67/30</f>
        <v>0</v>
      </c>
      <c r="P9" s="20">
        <f>('COGS &amp; GM'!P13+'Opex'!P26)*'Assumptions'!$F$67/30</f>
        <v>0</v>
      </c>
      <c r="Q9" s="20">
        <f>('COGS &amp; GM'!Q13+'Opex'!Q26)*'Assumptions'!$F$67/30</f>
        <v>0</v>
      </c>
      <c r="R9" s="20">
        <f>('COGS &amp; GM'!R13+'Opex'!R26)*'Assumptions'!$F$67/30</f>
        <v>0</v>
      </c>
      <c r="S9" s="20">
        <f>('COGS &amp; GM'!S13+'Opex'!S26)*'Assumptions'!$F$67/30</f>
        <v>0</v>
      </c>
      <c r="T9" s="20">
        <f>('COGS &amp; GM'!T13+'Opex'!T26)*'Assumptions'!$F$67/30</f>
        <v>0</v>
      </c>
      <c r="U9" s="20">
        <f>('COGS &amp; GM'!U13+'Opex'!U26)*'Assumptions'!$F$67/30</f>
        <v>0</v>
      </c>
      <c r="V9" s="20">
        <f>('COGS &amp; GM'!V13+'Opex'!V26)*'Assumptions'!$F$67/30</f>
        <v>0</v>
      </c>
      <c r="W9" s="20">
        <f>('COGS &amp; GM'!W13+'Opex'!W26)*'Assumptions'!$F$67/30</f>
        <v>0</v>
      </c>
      <c r="X9" s="20">
        <f>('COGS &amp; GM'!X13+'Opex'!X26)*'Assumptions'!$F$67/30</f>
        <v>0</v>
      </c>
      <c r="Y9" s="20">
        <f>('COGS &amp; GM'!Y13+'Opex'!Y26)*'Assumptions'!$F$67/30</f>
        <v>0</v>
      </c>
      <c r="Z9" s="20">
        <f>('COGS &amp; GM'!Z13+'Opex'!Z26)*'Assumptions'!$F$67/30</f>
        <v>0</v>
      </c>
      <c r="AA9" s="20">
        <f>('COGS &amp; GM'!AA13+'Opex'!AA26)*'Assumptions'!$F$67/30</f>
        <v>0</v>
      </c>
      <c r="AB9" s="20">
        <f>('COGS &amp; GM'!AB13+'Opex'!AB26)*'Assumptions'!$F$67/30</f>
        <v>0</v>
      </c>
      <c r="AC9" s="20">
        <f>('COGS &amp; GM'!AC13+'Opex'!AC26)*'Assumptions'!$F$67/30</f>
        <v>0</v>
      </c>
      <c r="AD9" s="20">
        <f>('COGS &amp; GM'!AD13+'Opex'!AD26)*'Assumptions'!$F$67/30</f>
        <v>0</v>
      </c>
      <c r="AE9" s="20">
        <f>('COGS &amp; GM'!AE13+'Opex'!AE26)*'Assumptions'!$F$67/30</f>
        <v>0</v>
      </c>
      <c r="AF9" s="20">
        <f>('COGS &amp; GM'!AF13+'Opex'!AF26)*'Assumptions'!$F$67/30</f>
        <v>0</v>
      </c>
      <c r="AG9" s="20">
        <f>('COGS &amp; GM'!AG13+'Opex'!AG26)*'Assumptions'!$F$67/30</f>
        <v>0</v>
      </c>
      <c r="AH9" s="20">
        <f>('COGS &amp; GM'!AH13+'Opex'!AH26)*'Assumptions'!$F$67/30</f>
        <v>0</v>
      </c>
      <c r="AI9" s="20">
        <f>('COGS &amp; GM'!AI13+'Opex'!AI26)*'Assumptions'!$F$67/30</f>
        <v>0</v>
      </c>
      <c r="AJ9" s="20">
        <f>('COGS &amp; GM'!AJ13+'Opex'!AJ26)*'Assumptions'!$F$67/30</f>
        <v>0</v>
      </c>
      <c r="AK9" s="20">
        <f>('COGS &amp; GM'!AK13+'Opex'!AK26)*'Assumptions'!$F$67/30</f>
        <v>0</v>
      </c>
      <c r="AL9" s="20">
        <f>('COGS &amp; GM'!AL13+'Opex'!AL26)*'Assumptions'!$F$67/30</f>
        <v>0</v>
      </c>
      <c r="AN9" s="20">
        <f>E9</f>
        <v>0</v>
      </c>
      <c r="AO9" s="20">
        <f>H9</f>
        <v>0</v>
      </c>
      <c r="AP9" s="20">
        <f>K9</f>
        <v>0</v>
      </c>
      <c r="AQ9" s="20">
        <f>N9</f>
        <v>0</v>
      </c>
      <c r="AR9" s="20">
        <f>Q9</f>
        <v>0</v>
      </c>
      <c r="AS9" s="20">
        <f>T9</f>
        <v>0</v>
      </c>
      <c r="AT9" s="20">
        <f>W9</f>
        <v>0</v>
      </c>
      <c r="AU9" s="20">
        <f>Z9</f>
        <v>0</v>
      </c>
      <c r="AV9" s="20">
        <f>AC9</f>
        <v>0</v>
      </c>
      <c r="AW9" s="20">
        <f>AF9</f>
        <v>0</v>
      </c>
      <c r="AX9" s="20">
        <f>AI9</f>
        <v>0</v>
      </c>
      <c r="AY9" s="20">
        <f>AL9</f>
        <v>0</v>
      </c>
      <c r="BA9" s="20">
        <f>N9</f>
        <v>0</v>
      </c>
      <c r="BB9" s="20">
        <f>Z9</f>
        <v>0</v>
      </c>
      <c r="BC9" s="20">
        <f>AL9</f>
        <v>0</v>
      </c>
    </row>
    <row r="10" spans="1:55">
      <c r="A10" s="18" t="s">
        <v>302</v>
      </c>
      <c r="B10" s="16" t="s">
        <v>303</v>
      </c>
      <c r="C10" s="20">
        <f>'Revenue'!C35*'Assumptions'!$F$68</f>
        <v>0</v>
      </c>
      <c r="D10" s="20">
        <f>'Revenue'!D35*'Assumptions'!$F$68</f>
        <v>0</v>
      </c>
      <c r="E10" s="20">
        <f>'Revenue'!E35*'Assumptions'!$F$68</f>
        <v>0</v>
      </c>
      <c r="F10" s="20">
        <f>'Revenue'!F35*'Assumptions'!$F$68</f>
        <v>0</v>
      </c>
      <c r="G10" s="20">
        <f>'Revenue'!G35*'Assumptions'!$F$68</f>
        <v>0</v>
      </c>
      <c r="H10" s="20">
        <f>'Revenue'!H35*'Assumptions'!$F$68</f>
        <v>0</v>
      </c>
      <c r="I10" s="20">
        <f>'Revenue'!I35*'Assumptions'!$F$68</f>
        <v>0</v>
      </c>
      <c r="J10" s="20">
        <f>'Revenue'!J35*'Assumptions'!$F$68</f>
        <v>0</v>
      </c>
      <c r="K10" s="20">
        <f>'Revenue'!K35*'Assumptions'!$F$68</f>
        <v>0</v>
      </c>
      <c r="L10" s="20">
        <f>'Revenue'!L35*'Assumptions'!$F$68</f>
        <v>0</v>
      </c>
      <c r="M10" s="20">
        <f>'Revenue'!M35*'Assumptions'!$F$68</f>
        <v>0</v>
      </c>
      <c r="N10" s="20">
        <f>'Revenue'!N35*'Assumptions'!$F$68</f>
        <v>0</v>
      </c>
      <c r="O10" s="20">
        <f>'Revenue'!O35*'Assumptions'!$F$68</f>
        <v>0</v>
      </c>
      <c r="P10" s="20">
        <f>'Revenue'!P35*'Assumptions'!$F$68</f>
        <v>0</v>
      </c>
      <c r="Q10" s="20">
        <f>'Revenue'!Q35*'Assumptions'!$F$68</f>
        <v>0</v>
      </c>
      <c r="R10" s="20">
        <f>'Revenue'!R35*'Assumptions'!$F$68</f>
        <v>0</v>
      </c>
      <c r="S10" s="20">
        <f>'Revenue'!S35*'Assumptions'!$F$68</f>
        <v>0</v>
      </c>
      <c r="T10" s="20">
        <f>'Revenue'!T35*'Assumptions'!$F$68</f>
        <v>0</v>
      </c>
      <c r="U10" s="20">
        <f>'Revenue'!U35*'Assumptions'!$F$68</f>
        <v>0</v>
      </c>
      <c r="V10" s="20">
        <f>'Revenue'!V35*'Assumptions'!$F$68</f>
        <v>0</v>
      </c>
      <c r="W10" s="20">
        <f>'Revenue'!W35*'Assumptions'!$F$68</f>
        <v>0</v>
      </c>
      <c r="X10" s="20">
        <f>'Revenue'!X35*'Assumptions'!$F$68</f>
        <v>0</v>
      </c>
      <c r="Y10" s="20">
        <f>'Revenue'!Y35*'Assumptions'!$F$68</f>
        <v>0</v>
      </c>
      <c r="Z10" s="20">
        <f>'Revenue'!Z35*'Assumptions'!$F$68</f>
        <v>0</v>
      </c>
      <c r="AA10" s="20">
        <f>'Revenue'!AA35*'Assumptions'!$F$68</f>
        <v>0</v>
      </c>
      <c r="AB10" s="20">
        <f>'Revenue'!AB35*'Assumptions'!$F$68</f>
        <v>0</v>
      </c>
      <c r="AC10" s="20">
        <f>'Revenue'!AC35*'Assumptions'!$F$68</f>
        <v>0</v>
      </c>
      <c r="AD10" s="20">
        <f>'Revenue'!AD35*'Assumptions'!$F$68</f>
        <v>0</v>
      </c>
      <c r="AE10" s="20">
        <f>'Revenue'!AE35*'Assumptions'!$F$68</f>
        <v>0</v>
      </c>
      <c r="AF10" s="20">
        <f>'Revenue'!AF35*'Assumptions'!$F$68</f>
        <v>0</v>
      </c>
      <c r="AG10" s="20">
        <f>'Revenue'!AG35*'Assumptions'!$F$68</f>
        <v>0</v>
      </c>
      <c r="AH10" s="20">
        <f>'Revenue'!AH35*'Assumptions'!$F$68</f>
        <v>0</v>
      </c>
      <c r="AI10" s="20">
        <f>'Revenue'!AI35*'Assumptions'!$F$68</f>
        <v>0</v>
      </c>
      <c r="AJ10" s="20">
        <f>'Revenue'!AJ35*'Assumptions'!$F$68</f>
        <v>0</v>
      </c>
      <c r="AK10" s="20">
        <f>'Revenue'!AK35*'Assumptions'!$F$68</f>
        <v>0</v>
      </c>
      <c r="AL10" s="20">
        <f>'Revenue'!AL35*'Assumptions'!$F$68</f>
        <v>0</v>
      </c>
      <c r="AN10" s="20">
        <f>E10</f>
        <v>0</v>
      </c>
      <c r="AO10" s="20">
        <f>H10</f>
        <v>0</v>
      </c>
      <c r="AP10" s="20">
        <f>K10</f>
        <v>0</v>
      </c>
      <c r="AQ10" s="20">
        <f>N10</f>
        <v>0</v>
      </c>
      <c r="AR10" s="20">
        <f>Q10</f>
        <v>0</v>
      </c>
      <c r="AS10" s="20">
        <f>T10</f>
        <v>0</v>
      </c>
      <c r="AT10" s="20">
        <f>W10</f>
        <v>0</v>
      </c>
      <c r="AU10" s="20">
        <f>Z10</f>
        <v>0</v>
      </c>
      <c r="AV10" s="20">
        <f>AC10</f>
        <v>0</v>
      </c>
      <c r="AW10" s="20">
        <f>AF10</f>
        <v>0</v>
      </c>
      <c r="AX10" s="20">
        <f>AI10</f>
        <v>0</v>
      </c>
      <c r="AY10" s="20">
        <f>AL10</f>
        <v>0</v>
      </c>
      <c r="BA10" s="20">
        <f>N10</f>
        <v>0</v>
      </c>
      <c r="BB10" s="20">
        <f>Z10</f>
        <v>0</v>
      </c>
      <c r="BC10" s="20">
        <f>AL10</f>
        <v>0</v>
      </c>
    </row>
    <row r="11" spans="1:55">
      <c r="A11" s="18" t="s">
        <v>304</v>
      </c>
      <c r="B11" s="16" t="s">
        <v>305</v>
      </c>
      <c r="C11" s="20">
        <f>'Revenue'!C35*'Assumptions'!$F$71</f>
        <v>0</v>
      </c>
      <c r="D11" s="20">
        <f>'Revenue'!D35*'Assumptions'!$F$71</f>
        <v>0</v>
      </c>
      <c r="E11" s="20">
        <f>'Revenue'!E35*'Assumptions'!$F$71</f>
        <v>0</v>
      </c>
      <c r="F11" s="20">
        <f>'Revenue'!F35*'Assumptions'!$F$71</f>
        <v>0</v>
      </c>
      <c r="G11" s="20">
        <f>'Revenue'!G35*'Assumptions'!$F$71</f>
        <v>0</v>
      </c>
      <c r="H11" s="20">
        <f>'Revenue'!H35*'Assumptions'!$F$71</f>
        <v>0</v>
      </c>
      <c r="I11" s="20">
        <f>'Revenue'!I35*'Assumptions'!$F$71</f>
        <v>0</v>
      </c>
      <c r="J11" s="20">
        <f>'Revenue'!J35*'Assumptions'!$F$71</f>
        <v>0</v>
      </c>
      <c r="K11" s="20">
        <f>'Revenue'!K35*'Assumptions'!$F$71</f>
        <v>0</v>
      </c>
      <c r="L11" s="20">
        <f>'Revenue'!L35*'Assumptions'!$F$71</f>
        <v>0</v>
      </c>
      <c r="M11" s="20">
        <f>'Revenue'!M35*'Assumptions'!$F$71</f>
        <v>0</v>
      </c>
      <c r="N11" s="20">
        <f>'Revenue'!N35*'Assumptions'!$F$71</f>
        <v>0</v>
      </c>
      <c r="O11" s="20">
        <f>'Revenue'!O35*'Assumptions'!$F$71</f>
        <v>0</v>
      </c>
      <c r="P11" s="20">
        <f>'Revenue'!P35*'Assumptions'!$F$71</f>
        <v>0</v>
      </c>
      <c r="Q11" s="20">
        <f>'Revenue'!Q35*'Assumptions'!$F$71</f>
        <v>0</v>
      </c>
      <c r="R11" s="20">
        <f>'Revenue'!R35*'Assumptions'!$F$71</f>
        <v>0</v>
      </c>
      <c r="S11" s="20">
        <f>'Revenue'!S35*'Assumptions'!$F$71</f>
        <v>0</v>
      </c>
      <c r="T11" s="20">
        <f>'Revenue'!T35*'Assumptions'!$F$71</f>
        <v>0</v>
      </c>
      <c r="U11" s="20">
        <f>'Revenue'!U35*'Assumptions'!$F$71</f>
        <v>0</v>
      </c>
      <c r="V11" s="20">
        <f>'Revenue'!V35*'Assumptions'!$F$71</f>
        <v>0</v>
      </c>
      <c r="W11" s="20">
        <f>'Revenue'!W35*'Assumptions'!$F$71</f>
        <v>0</v>
      </c>
      <c r="X11" s="20">
        <f>'Revenue'!X35*'Assumptions'!$F$71</f>
        <v>0</v>
      </c>
      <c r="Y11" s="20">
        <f>'Revenue'!Y35*'Assumptions'!$F$71</f>
        <v>0</v>
      </c>
      <c r="Z11" s="20">
        <f>'Revenue'!Z35*'Assumptions'!$F$71</f>
        <v>0</v>
      </c>
      <c r="AA11" s="20">
        <f>'Revenue'!AA35*'Assumptions'!$F$71</f>
        <v>0</v>
      </c>
      <c r="AB11" s="20">
        <f>'Revenue'!AB35*'Assumptions'!$F$71</f>
        <v>0</v>
      </c>
      <c r="AC11" s="20">
        <f>'Revenue'!AC35*'Assumptions'!$F$71</f>
        <v>0</v>
      </c>
      <c r="AD11" s="20">
        <f>'Revenue'!AD35*'Assumptions'!$F$71</f>
        <v>0</v>
      </c>
      <c r="AE11" s="20">
        <f>'Revenue'!AE35*'Assumptions'!$F$71</f>
        <v>0</v>
      </c>
      <c r="AF11" s="20">
        <f>'Revenue'!AF35*'Assumptions'!$F$71</f>
        <v>0</v>
      </c>
      <c r="AG11" s="20">
        <f>'Revenue'!AG35*'Assumptions'!$F$71</f>
        <v>0</v>
      </c>
      <c r="AH11" s="20">
        <f>'Revenue'!AH35*'Assumptions'!$F$71</f>
        <v>0</v>
      </c>
      <c r="AI11" s="20">
        <f>'Revenue'!AI35*'Assumptions'!$F$71</f>
        <v>0</v>
      </c>
      <c r="AJ11" s="20">
        <f>'Revenue'!AJ35*'Assumptions'!$F$71</f>
        <v>0</v>
      </c>
      <c r="AK11" s="20">
        <f>'Revenue'!AK35*'Assumptions'!$F$71</f>
        <v>0</v>
      </c>
      <c r="AL11" s="20">
        <f>'Revenue'!AL35*'Assumptions'!$F$71</f>
        <v>0</v>
      </c>
      <c r="AN11" s="20">
        <f>E11</f>
        <v>0</v>
      </c>
      <c r="AO11" s="20">
        <f>H11</f>
        <v>0</v>
      </c>
      <c r="AP11" s="20">
        <f>K11</f>
        <v>0</v>
      </c>
      <c r="AQ11" s="20">
        <f>N11</f>
        <v>0</v>
      </c>
      <c r="AR11" s="20">
        <f>Q11</f>
        <v>0</v>
      </c>
      <c r="AS11" s="20">
        <f>T11</f>
        <v>0</v>
      </c>
      <c r="AT11" s="20">
        <f>W11</f>
        <v>0</v>
      </c>
      <c r="AU11" s="20">
        <f>Z11</f>
        <v>0</v>
      </c>
      <c r="AV11" s="20">
        <f>AC11</f>
        <v>0</v>
      </c>
      <c r="AW11" s="20">
        <f>AF11</f>
        <v>0</v>
      </c>
      <c r="AX11" s="20">
        <f>AI11</f>
        <v>0</v>
      </c>
      <c r="AY11" s="20">
        <f>AL11</f>
        <v>0</v>
      </c>
      <c r="BA11" s="20">
        <f>N11</f>
        <v>0</v>
      </c>
      <c r="BB11" s="20">
        <f>Z11</f>
        <v>0</v>
      </c>
      <c r="BC11" s="20">
        <f>AL11</f>
        <v>0</v>
      </c>
    </row>
    <row r="12" spans="1:55">
      <c r="A12" s="18" t="s">
        <v>306</v>
      </c>
      <c r="B12" s="16"/>
      <c r="C12" s="20">
        <f>C8</f>
        <v>0</v>
      </c>
      <c r="D12" s="20">
        <f>D8-C8</f>
        <v>0</v>
      </c>
      <c r="E12" s="20">
        <f>E8-D8</f>
        <v>0</v>
      </c>
      <c r="F12" s="20">
        <f>F8-E8</f>
        <v>0</v>
      </c>
      <c r="G12" s="20">
        <f>G8-F8</f>
        <v>0</v>
      </c>
      <c r="H12" s="20">
        <f>H8-G8</f>
        <v>0</v>
      </c>
      <c r="I12" s="20">
        <f>I8-H8</f>
        <v>0</v>
      </c>
      <c r="J12" s="20">
        <f>J8-I8</f>
        <v>0</v>
      </c>
      <c r="K12" s="20">
        <f>K8-J8</f>
        <v>0</v>
      </c>
      <c r="L12" s="20">
        <f>L8-K8</f>
        <v>0</v>
      </c>
      <c r="M12" s="20">
        <f>M8-L8</f>
        <v>0</v>
      </c>
      <c r="N12" s="20">
        <f>N8-M8</f>
        <v>0</v>
      </c>
      <c r="O12" s="20">
        <f>O8-N8</f>
        <v>0</v>
      </c>
      <c r="P12" s="20">
        <f>P8-O8</f>
        <v>0</v>
      </c>
      <c r="Q12" s="20">
        <f>Q8-P8</f>
        <v>0</v>
      </c>
      <c r="R12" s="20">
        <f>R8-Q8</f>
        <v>0</v>
      </c>
      <c r="S12" s="20">
        <f>S8-R8</f>
        <v>0</v>
      </c>
      <c r="T12" s="20">
        <f>T8-S8</f>
        <v>0</v>
      </c>
      <c r="U12" s="20">
        <f>U8-T8</f>
        <v>0</v>
      </c>
      <c r="V12" s="20">
        <f>V8-U8</f>
        <v>0</v>
      </c>
      <c r="W12" s="20">
        <f>W8-V8</f>
        <v>0</v>
      </c>
      <c r="X12" s="20">
        <f>X8-W8</f>
        <v>0</v>
      </c>
      <c r="Y12" s="20">
        <f>Y8-X8</f>
        <v>0</v>
      </c>
      <c r="Z12" s="20">
        <f>Z8-Y8</f>
        <v>0</v>
      </c>
      <c r="AA12" s="20">
        <f>AA8-Z8</f>
        <v>0</v>
      </c>
      <c r="AB12" s="20">
        <f>AB8-AA8</f>
        <v>0</v>
      </c>
      <c r="AC12" s="20">
        <f>AC8-AB8</f>
        <v>0</v>
      </c>
      <c r="AD12" s="20">
        <f>AD8-AC8</f>
        <v>0</v>
      </c>
      <c r="AE12" s="20">
        <f>AE8-AD8</f>
        <v>0</v>
      </c>
      <c r="AF12" s="20">
        <f>AF8-AE8</f>
        <v>0</v>
      </c>
      <c r="AG12" s="20">
        <f>AG8-AF8</f>
        <v>0</v>
      </c>
      <c r="AH12" s="20">
        <f>AH8-AG8</f>
        <v>0</v>
      </c>
      <c r="AI12" s="20">
        <f>AI8-AH8</f>
        <v>0</v>
      </c>
      <c r="AJ12" s="20">
        <f>AJ8-AI8</f>
        <v>0</v>
      </c>
      <c r="AK12" s="20">
        <f>AK8-AJ8</f>
        <v>0</v>
      </c>
      <c r="AL12" s="20">
        <f>AL8-AK8</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18" t="s">
        <v>307</v>
      </c>
      <c r="B13" s="16"/>
      <c r="C13" s="20">
        <f>C9</f>
        <v>0</v>
      </c>
      <c r="D13" s="20">
        <f>D9-C9</f>
        <v>0</v>
      </c>
      <c r="E13" s="20">
        <f>E9-D9</f>
        <v>0</v>
      </c>
      <c r="F13" s="20">
        <f>F9-E9</f>
        <v>0</v>
      </c>
      <c r="G13" s="20">
        <f>G9-F9</f>
        <v>0</v>
      </c>
      <c r="H13" s="20">
        <f>H9-G9</f>
        <v>0</v>
      </c>
      <c r="I13" s="20">
        <f>I9-H9</f>
        <v>0</v>
      </c>
      <c r="J13" s="20">
        <f>J9-I9</f>
        <v>0</v>
      </c>
      <c r="K13" s="20">
        <f>K9-J9</f>
        <v>0</v>
      </c>
      <c r="L13" s="20">
        <f>L9-K9</f>
        <v>0</v>
      </c>
      <c r="M13" s="20">
        <f>M9-L9</f>
        <v>0</v>
      </c>
      <c r="N13" s="20">
        <f>N9-M9</f>
        <v>0</v>
      </c>
      <c r="O13" s="20">
        <f>O9-N9</f>
        <v>0</v>
      </c>
      <c r="P13" s="20">
        <f>P9-O9</f>
        <v>0</v>
      </c>
      <c r="Q13" s="20">
        <f>Q9-P9</f>
        <v>0</v>
      </c>
      <c r="R13" s="20">
        <f>R9-Q9</f>
        <v>0</v>
      </c>
      <c r="S13" s="20">
        <f>S9-R9</f>
        <v>0</v>
      </c>
      <c r="T13" s="20">
        <f>T9-S9</f>
        <v>0</v>
      </c>
      <c r="U13" s="20">
        <f>U9-T9</f>
        <v>0</v>
      </c>
      <c r="V13" s="20">
        <f>V9-U9</f>
        <v>0</v>
      </c>
      <c r="W13" s="20">
        <f>W9-V9</f>
        <v>0</v>
      </c>
      <c r="X13" s="20">
        <f>X9-W9</f>
        <v>0</v>
      </c>
      <c r="Y13" s="20">
        <f>Y9-X9</f>
        <v>0</v>
      </c>
      <c r="Z13" s="20">
        <f>Z9-Y9</f>
        <v>0</v>
      </c>
      <c r="AA13" s="20">
        <f>AA9-Z9</f>
        <v>0</v>
      </c>
      <c r="AB13" s="20">
        <f>AB9-AA9</f>
        <v>0</v>
      </c>
      <c r="AC13" s="20">
        <f>AC9-AB9</f>
        <v>0</v>
      </c>
      <c r="AD13" s="20">
        <f>AD9-AC9</f>
        <v>0</v>
      </c>
      <c r="AE13" s="20">
        <f>AE9-AD9</f>
        <v>0</v>
      </c>
      <c r="AF13" s="20">
        <f>AF9-AE9</f>
        <v>0</v>
      </c>
      <c r="AG13" s="20">
        <f>AG9-AF9</f>
        <v>0</v>
      </c>
      <c r="AH13" s="20">
        <f>AH9-AG9</f>
        <v>0</v>
      </c>
      <c r="AI13" s="20">
        <f>AI9-AH9</f>
        <v>0</v>
      </c>
      <c r="AJ13" s="20">
        <f>AJ9-AI9</f>
        <v>0</v>
      </c>
      <c r="AK13" s="20">
        <f>AK9-AJ9</f>
        <v>0</v>
      </c>
      <c r="AL13" s="20">
        <f>AL9-AK9</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18" t="s">
        <v>308</v>
      </c>
      <c r="B14" s="16"/>
      <c r="C14" s="20">
        <f>C10</f>
        <v>0</v>
      </c>
      <c r="D14" s="20">
        <f>D10-C10</f>
        <v>0</v>
      </c>
      <c r="E14" s="20">
        <f>E10-D10</f>
        <v>0</v>
      </c>
      <c r="F14" s="20">
        <f>F10-E10</f>
        <v>0</v>
      </c>
      <c r="G14" s="20">
        <f>G10-F10</f>
        <v>0</v>
      </c>
      <c r="H14" s="20">
        <f>H10-G10</f>
        <v>0</v>
      </c>
      <c r="I14" s="20">
        <f>I10-H10</f>
        <v>0</v>
      </c>
      <c r="J14" s="20">
        <f>J10-I10</f>
        <v>0</v>
      </c>
      <c r="K14" s="20">
        <f>K10-J10</f>
        <v>0</v>
      </c>
      <c r="L14" s="20">
        <f>L10-K10</f>
        <v>0</v>
      </c>
      <c r="M14" s="20">
        <f>M10-L10</f>
        <v>0</v>
      </c>
      <c r="N14" s="20">
        <f>N10-M10</f>
        <v>0</v>
      </c>
      <c r="O14" s="20">
        <f>O10-N10</f>
        <v>0</v>
      </c>
      <c r="P14" s="20">
        <f>P10-O10</f>
        <v>0</v>
      </c>
      <c r="Q14" s="20">
        <f>Q10-P10</f>
        <v>0</v>
      </c>
      <c r="R14" s="20">
        <f>R10-Q10</f>
        <v>0</v>
      </c>
      <c r="S14" s="20">
        <f>S10-R10</f>
        <v>0</v>
      </c>
      <c r="T14" s="20">
        <f>T10-S10</f>
        <v>0</v>
      </c>
      <c r="U14" s="20">
        <f>U10-T10</f>
        <v>0</v>
      </c>
      <c r="V14" s="20">
        <f>V10-U10</f>
        <v>0</v>
      </c>
      <c r="W14" s="20">
        <f>W10-V10</f>
        <v>0</v>
      </c>
      <c r="X14" s="20">
        <f>X10-W10</f>
        <v>0</v>
      </c>
      <c r="Y14" s="20">
        <f>Y10-X10</f>
        <v>0</v>
      </c>
      <c r="Z14" s="20">
        <f>Z10-Y10</f>
        <v>0</v>
      </c>
      <c r="AA14" s="20">
        <f>AA10-Z10</f>
        <v>0</v>
      </c>
      <c r="AB14" s="20">
        <f>AB10-AA10</f>
        <v>0</v>
      </c>
      <c r="AC14" s="20">
        <f>AC10-AB10</f>
        <v>0</v>
      </c>
      <c r="AD14" s="20">
        <f>AD10-AC10</f>
        <v>0</v>
      </c>
      <c r="AE14" s="20">
        <f>AE10-AD10</f>
        <v>0</v>
      </c>
      <c r="AF14" s="20">
        <f>AF10-AE10</f>
        <v>0</v>
      </c>
      <c r="AG14" s="20">
        <f>AG10-AF10</f>
        <v>0</v>
      </c>
      <c r="AH14" s="20">
        <f>AH10-AG10</f>
        <v>0</v>
      </c>
      <c r="AI14" s="20">
        <f>AI10-AH10</f>
        <v>0</v>
      </c>
      <c r="AJ14" s="20">
        <f>AJ10-AI10</f>
        <v>0</v>
      </c>
      <c r="AK14" s="20">
        <f>AK10-AJ10</f>
        <v>0</v>
      </c>
      <c r="AL14" s="20">
        <f>AL10-AK10</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c r="A15" s="18" t="s">
        <v>309</v>
      </c>
      <c r="B15" s="16"/>
      <c r="C15" s="20">
        <f>C11</f>
        <v>0</v>
      </c>
      <c r="D15" s="20">
        <f>D11-C11</f>
        <v>0</v>
      </c>
      <c r="E15" s="20">
        <f>E11-D11</f>
        <v>0</v>
      </c>
      <c r="F15" s="20">
        <f>F11-E11</f>
        <v>0</v>
      </c>
      <c r="G15" s="20">
        <f>G11-F11</f>
        <v>0</v>
      </c>
      <c r="H15" s="20">
        <f>H11-G11</f>
        <v>0</v>
      </c>
      <c r="I15" s="20">
        <f>I11-H11</f>
        <v>0</v>
      </c>
      <c r="J15" s="20">
        <f>J11-I11</f>
        <v>0</v>
      </c>
      <c r="K15" s="20">
        <f>K11-J11</f>
        <v>0</v>
      </c>
      <c r="L15" s="20">
        <f>L11-K11</f>
        <v>0</v>
      </c>
      <c r="M15" s="20">
        <f>M11-L11</f>
        <v>0</v>
      </c>
      <c r="N15" s="20">
        <f>N11-M11</f>
        <v>0</v>
      </c>
      <c r="O15" s="20">
        <f>O11-N11</f>
        <v>0</v>
      </c>
      <c r="P15" s="20">
        <f>P11-O11</f>
        <v>0</v>
      </c>
      <c r="Q15" s="20">
        <f>Q11-P11</f>
        <v>0</v>
      </c>
      <c r="R15" s="20">
        <f>R11-Q11</f>
        <v>0</v>
      </c>
      <c r="S15" s="20">
        <f>S11-R11</f>
        <v>0</v>
      </c>
      <c r="T15" s="20">
        <f>T11-S11</f>
        <v>0</v>
      </c>
      <c r="U15" s="20">
        <f>U11-T11</f>
        <v>0</v>
      </c>
      <c r="V15" s="20">
        <f>V11-U11</f>
        <v>0</v>
      </c>
      <c r="W15" s="20">
        <f>W11-V11</f>
        <v>0</v>
      </c>
      <c r="X15" s="20">
        <f>X11-W11</f>
        <v>0</v>
      </c>
      <c r="Y15" s="20">
        <f>Y11-X11</f>
        <v>0</v>
      </c>
      <c r="Z15" s="20">
        <f>Z11-Y11</f>
        <v>0</v>
      </c>
      <c r="AA15" s="20">
        <f>AA11-Z11</f>
        <v>0</v>
      </c>
      <c r="AB15" s="20">
        <f>AB11-AA11</f>
        <v>0</v>
      </c>
      <c r="AC15" s="20">
        <f>AC11-AB11</f>
        <v>0</v>
      </c>
      <c r="AD15" s="20">
        <f>AD11-AC11</f>
        <v>0</v>
      </c>
      <c r="AE15" s="20">
        <f>AE11-AD11</f>
        <v>0</v>
      </c>
      <c r="AF15" s="20">
        <f>AF11-AE11</f>
        <v>0</v>
      </c>
      <c r="AG15" s="20">
        <f>AG11-AF11</f>
        <v>0</v>
      </c>
      <c r="AH15" s="20">
        <f>AH11-AG11</f>
        <v>0</v>
      </c>
      <c r="AI15" s="20">
        <f>AI11-AH11</f>
        <v>0</v>
      </c>
      <c r="AJ15" s="20">
        <f>AJ11-AI11</f>
        <v>0</v>
      </c>
      <c r="AK15" s="20">
        <f>AK11-AJ11</f>
        <v>0</v>
      </c>
      <c r="AL15" s="20">
        <f>AL11-AK11</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ht="5" customHeight="1"/>
    <row r="17" spans="1:55" ht="16" customHeight="1">
      <c r="A17" s="14" t="s">
        <v>310</v>
      </c>
      <c r="B17" s="14"/>
      <c r="C17" s="14"/>
      <c r="D17" s="14"/>
      <c r="E17" s="14"/>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row>
    <row r="18" spans="1:55">
      <c r="A18" s="18" t="s">
        <v>311</v>
      </c>
      <c r="B18" s="16" t="s">
        <v>312</v>
      </c>
      <c r="C18" s="20">
        <f>'Revenue'!C35*'Assumptions'!$F$69</f>
        <v>0</v>
      </c>
      <c r="D18" s="20">
        <f>'Revenue'!D35*'Assumptions'!$F$69</f>
        <v>0</v>
      </c>
      <c r="E18" s="20">
        <f>'Revenue'!E35*'Assumptions'!$F$69</f>
        <v>0</v>
      </c>
      <c r="F18" s="20">
        <f>'Revenue'!F35*'Assumptions'!$F$69</f>
        <v>0</v>
      </c>
      <c r="G18" s="20">
        <f>'Revenue'!G35*'Assumptions'!$F$69</f>
        <v>0</v>
      </c>
      <c r="H18" s="20">
        <f>'Revenue'!H35*'Assumptions'!$F$69</f>
        <v>0</v>
      </c>
      <c r="I18" s="20">
        <f>'Revenue'!I35*'Assumptions'!$F$69</f>
        <v>0</v>
      </c>
      <c r="J18" s="20">
        <f>'Revenue'!J35*'Assumptions'!$F$69</f>
        <v>0</v>
      </c>
      <c r="K18" s="20">
        <f>'Revenue'!K35*'Assumptions'!$F$69</f>
        <v>0</v>
      </c>
      <c r="L18" s="20">
        <f>'Revenue'!L35*'Assumptions'!$F$69</f>
        <v>0</v>
      </c>
      <c r="M18" s="20">
        <f>'Revenue'!M35*'Assumptions'!$F$69</f>
        <v>0</v>
      </c>
      <c r="N18" s="20">
        <f>'Revenue'!N35*'Assumptions'!$F$69</f>
        <v>0</v>
      </c>
      <c r="O18" s="20">
        <f>'Revenue'!O35*'Assumptions'!$F$69</f>
        <v>0</v>
      </c>
      <c r="P18" s="20">
        <f>'Revenue'!P35*'Assumptions'!$F$69</f>
        <v>0</v>
      </c>
      <c r="Q18" s="20">
        <f>'Revenue'!Q35*'Assumptions'!$F$69</f>
        <v>0</v>
      </c>
      <c r="R18" s="20">
        <f>'Revenue'!R35*'Assumptions'!$F$69</f>
        <v>0</v>
      </c>
      <c r="S18" s="20">
        <f>'Revenue'!S35*'Assumptions'!$F$69</f>
        <v>0</v>
      </c>
      <c r="T18" s="20">
        <f>'Revenue'!T35*'Assumptions'!$F$69</f>
        <v>0</v>
      </c>
      <c r="U18" s="20">
        <f>'Revenue'!U35*'Assumptions'!$F$69</f>
        <v>0</v>
      </c>
      <c r="V18" s="20">
        <f>'Revenue'!V35*'Assumptions'!$F$69</f>
        <v>0</v>
      </c>
      <c r="W18" s="20">
        <f>'Revenue'!W35*'Assumptions'!$F$69</f>
        <v>0</v>
      </c>
      <c r="X18" s="20">
        <f>'Revenue'!X35*'Assumptions'!$F$69</f>
        <v>0</v>
      </c>
      <c r="Y18" s="20">
        <f>'Revenue'!Y35*'Assumptions'!$F$69</f>
        <v>0</v>
      </c>
      <c r="Z18" s="20">
        <f>'Revenue'!Z35*'Assumptions'!$F$69</f>
        <v>0</v>
      </c>
      <c r="AA18" s="20">
        <f>'Revenue'!AA35*'Assumptions'!$F$69</f>
        <v>0</v>
      </c>
      <c r="AB18" s="20">
        <f>'Revenue'!AB35*'Assumptions'!$F$69</f>
        <v>0</v>
      </c>
      <c r="AC18" s="20">
        <f>'Revenue'!AC35*'Assumptions'!$F$69</f>
        <v>0</v>
      </c>
      <c r="AD18" s="20">
        <f>'Revenue'!AD35*'Assumptions'!$F$69</f>
        <v>0</v>
      </c>
      <c r="AE18" s="20">
        <f>'Revenue'!AE35*'Assumptions'!$F$69</f>
        <v>0</v>
      </c>
      <c r="AF18" s="20">
        <f>'Revenue'!AF35*'Assumptions'!$F$69</f>
        <v>0</v>
      </c>
      <c r="AG18" s="20">
        <f>'Revenue'!AG35*'Assumptions'!$F$69</f>
        <v>0</v>
      </c>
      <c r="AH18" s="20">
        <f>'Revenue'!AH35*'Assumptions'!$F$69</f>
        <v>0</v>
      </c>
      <c r="AI18" s="20">
        <f>'Revenue'!AI35*'Assumptions'!$F$69</f>
        <v>0</v>
      </c>
      <c r="AJ18" s="20">
        <f>'Revenue'!AJ35*'Assumptions'!$F$69</f>
        <v>0</v>
      </c>
      <c r="AK18" s="20">
        <f>'Revenue'!AK35*'Assumptions'!$F$69</f>
        <v>0</v>
      </c>
      <c r="AL18" s="20">
        <f>'Revenue'!AL35*'Assumptions'!$F$69</f>
        <v>0</v>
      </c>
      <c r="AN18" s="20">
        <f>SUM(C18:E18)</f>
        <v>0</v>
      </c>
      <c r="AO18" s="20">
        <f>SUM(F18:H18)</f>
        <v>0</v>
      </c>
      <c r="AP18" s="20">
        <f>SUM(I18:K18)</f>
        <v>0</v>
      </c>
      <c r="AQ18" s="20">
        <f>SUM(L18:N18)</f>
        <v>0</v>
      </c>
      <c r="AR18" s="20">
        <f>SUM(O18:Q18)</f>
        <v>0</v>
      </c>
      <c r="AS18" s="20">
        <f>SUM(R18:T18)</f>
        <v>0</v>
      </c>
      <c r="AT18" s="20">
        <f>SUM(U18:W18)</f>
        <v>0</v>
      </c>
      <c r="AU18" s="20">
        <f>SUM(X18:Z18)</f>
        <v>0</v>
      </c>
      <c r="AV18" s="20">
        <f>SUM(AA18:AC18)</f>
        <v>0</v>
      </c>
      <c r="AW18" s="20">
        <f>SUM(AD18:AF18)</f>
        <v>0</v>
      </c>
      <c r="AX18" s="20">
        <f>SUM(AG18:AI18)</f>
        <v>0</v>
      </c>
      <c r="AY18" s="20">
        <f>SUM(AJ18:AL18)</f>
        <v>0</v>
      </c>
      <c r="BA18" s="20">
        <f>SUM(C18:N18)</f>
        <v>0</v>
      </c>
      <c r="BB18" s="20">
        <f>SUM(O18:Z18)</f>
        <v>0</v>
      </c>
      <c r="BC18" s="20">
        <f>SUM(AA18:AL18)</f>
        <v>0</v>
      </c>
    </row>
    <row r="19" spans="1:55">
      <c r="A19" s="18" t="s">
        <v>313</v>
      </c>
      <c r="B19" s="16" t="s">
        <v>314</v>
      </c>
      <c r="C19" s="20">
        <f>SUM(INDEX('Working Capital'!$C$18:$AL$18,1,MAX(1,1-ROUND('Assumptions'!$F$70,0)+1)):INDEX('Working Capital'!$C$18:$AL$18,1,1))/ROUND('Assumptions'!$F$70,0)</f>
        <v>0</v>
      </c>
      <c r="D19" s="20">
        <f>SUM(INDEX('Working Capital'!$C$18:$AL$18,1,MAX(1,2-ROUND('Assumptions'!$F$70,0)+1)):INDEX('Working Capital'!$C$18:$AL$18,1,2))/ROUND('Assumptions'!$F$70,0)</f>
        <v>0</v>
      </c>
      <c r="E19" s="20">
        <f>SUM(INDEX('Working Capital'!$C$18:$AL$18,1,MAX(1,3-ROUND('Assumptions'!$F$70,0)+1)):INDEX('Working Capital'!$C$18:$AL$18,1,3))/ROUND('Assumptions'!$F$70,0)</f>
        <v>0</v>
      </c>
      <c r="F19" s="20">
        <f>SUM(INDEX('Working Capital'!$C$18:$AL$18,1,MAX(1,4-ROUND('Assumptions'!$F$70,0)+1)):INDEX('Working Capital'!$C$18:$AL$18,1,4))/ROUND('Assumptions'!$F$70,0)</f>
        <v>0</v>
      </c>
      <c r="G19" s="20">
        <f>SUM(INDEX('Working Capital'!$C$18:$AL$18,1,MAX(1,5-ROUND('Assumptions'!$F$70,0)+1)):INDEX('Working Capital'!$C$18:$AL$18,1,5))/ROUND('Assumptions'!$F$70,0)</f>
        <v>0</v>
      </c>
      <c r="H19" s="20">
        <f>SUM(INDEX('Working Capital'!$C$18:$AL$18,1,MAX(1,6-ROUND('Assumptions'!$F$70,0)+1)):INDEX('Working Capital'!$C$18:$AL$18,1,6))/ROUND('Assumptions'!$F$70,0)</f>
        <v>0</v>
      </c>
      <c r="I19" s="20">
        <f>SUM(INDEX('Working Capital'!$C$18:$AL$18,1,MAX(1,7-ROUND('Assumptions'!$F$70,0)+1)):INDEX('Working Capital'!$C$18:$AL$18,1,7))/ROUND('Assumptions'!$F$70,0)</f>
        <v>0</v>
      </c>
      <c r="J19" s="20">
        <f>SUM(INDEX('Working Capital'!$C$18:$AL$18,1,MAX(1,8-ROUND('Assumptions'!$F$70,0)+1)):INDEX('Working Capital'!$C$18:$AL$18,1,8))/ROUND('Assumptions'!$F$70,0)</f>
        <v>0</v>
      </c>
      <c r="K19" s="20">
        <f>SUM(INDEX('Working Capital'!$C$18:$AL$18,1,MAX(1,9-ROUND('Assumptions'!$F$70,0)+1)):INDEX('Working Capital'!$C$18:$AL$18,1,9))/ROUND('Assumptions'!$F$70,0)</f>
        <v>0</v>
      </c>
      <c r="L19" s="20">
        <f>SUM(INDEX('Working Capital'!$C$18:$AL$18,1,MAX(1,10-ROUND('Assumptions'!$F$70,0)+1)):INDEX('Working Capital'!$C$18:$AL$18,1,10))/ROUND('Assumptions'!$F$70,0)</f>
        <v>0</v>
      </c>
      <c r="M19" s="20">
        <f>SUM(INDEX('Working Capital'!$C$18:$AL$18,1,MAX(1,11-ROUND('Assumptions'!$F$70,0)+1)):INDEX('Working Capital'!$C$18:$AL$18,1,11))/ROUND('Assumptions'!$F$70,0)</f>
        <v>0</v>
      </c>
      <c r="N19" s="20">
        <f>SUM(INDEX('Working Capital'!$C$18:$AL$18,1,MAX(1,12-ROUND('Assumptions'!$F$70,0)+1)):INDEX('Working Capital'!$C$18:$AL$18,1,12))/ROUND('Assumptions'!$F$70,0)</f>
        <v>0</v>
      </c>
      <c r="O19" s="20">
        <f>SUM(INDEX('Working Capital'!$C$18:$AL$18,1,MAX(1,13-ROUND('Assumptions'!$F$70,0)+1)):INDEX('Working Capital'!$C$18:$AL$18,1,13))/ROUND('Assumptions'!$F$70,0)</f>
        <v>0</v>
      </c>
      <c r="P19" s="20">
        <f>SUM(INDEX('Working Capital'!$C$18:$AL$18,1,MAX(1,14-ROUND('Assumptions'!$F$70,0)+1)):INDEX('Working Capital'!$C$18:$AL$18,1,14))/ROUND('Assumptions'!$F$70,0)</f>
        <v>0</v>
      </c>
      <c r="Q19" s="20">
        <f>SUM(INDEX('Working Capital'!$C$18:$AL$18,1,MAX(1,15-ROUND('Assumptions'!$F$70,0)+1)):INDEX('Working Capital'!$C$18:$AL$18,1,15))/ROUND('Assumptions'!$F$70,0)</f>
        <v>0</v>
      </c>
      <c r="R19" s="20">
        <f>SUM(INDEX('Working Capital'!$C$18:$AL$18,1,MAX(1,16-ROUND('Assumptions'!$F$70,0)+1)):INDEX('Working Capital'!$C$18:$AL$18,1,16))/ROUND('Assumptions'!$F$70,0)</f>
        <v>0</v>
      </c>
      <c r="S19" s="20">
        <f>SUM(INDEX('Working Capital'!$C$18:$AL$18,1,MAX(1,17-ROUND('Assumptions'!$F$70,0)+1)):INDEX('Working Capital'!$C$18:$AL$18,1,17))/ROUND('Assumptions'!$F$70,0)</f>
        <v>0</v>
      </c>
      <c r="T19" s="20">
        <f>SUM(INDEX('Working Capital'!$C$18:$AL$18,1,MAX(1,18-ROUND('Assumptions'!$F$70,0)+1)):INDEX('Working Capital'!$C$18:$AL$18,1,18))/ROUND('Assumptions'!$F$70,0)</f>
        <v>0</v>
      </c>
      <c r="U19" s="20">
        <f>SUM(INDEX('Working Capital'!$C$18:$AL$18,1,MAX(1,19-ROUND('Assumptions'!$F$70,0)+1)):INDEX('Working Capital'!$C$18:$AL$18,1,19))/ROUND('Assumptions'!$F$70,0)</f>
        <v>0</v>
      </c>
      <c r="V19" s="20">
        <f>SUM(INDEX('Working Capital'!$C$18:$AL$18,1,MAX(1,20-ROUND('Assumptions'!$F$70,0)+1)):INDEX('Working Capital'!$C$18:$AL$18,1,20))/ROUND('Assumptions'!$F$70,0)</f>
        <v>0</v>
      </c>
      <c r="W19" s="20">
        <f>SUM(INDEX('Working Capital'!$C$18:$AL$18,1,MAX(1,21-ROUND('Assumptions'!$F$70,0)+1)):INDEX('Working Capital'!$C$18:$AL$18,1,21))/ROUND('Assumptions'!$F$70,0)</f>
        <v>0</v>
      </c>
      <c r="X19" s="20">
        <f>SUM(INDEX('Working Capital'!$C$18:$AL$18,1,MAX(1,22-ROUND('Assumptions'!$F$70,0)+1)):INDEX('Working Capital'!$C$18:$AL$18,1,22))/ROUND('Assumptions'!$F$70,0)</f>
        <v>0</v>
      </c>
      <c r="Y19" s="20">
        <f>SUM(INDEX('Working Capital'!$C$18:$AL$18,1,MAX(1,23-ROUND('Assumptions'!$F$70,0)+1)):INDEX('Working Capital'!$C$18:$AL$18,1,23))/ROUND('Assumptions'!$F$70,0)</f>
        <v>0</v>
      </c>
      <c r="Z19" s="20">
        <f>SUM(INDEX('Working Capital'!$C$18:$AL$18,1,MAX(1,24-ROUND('Assumptions'!$F$70,0)+1)):INDEX('Working Capital'!$C$18:$AL$18,1,24))/ROUND('Assumptions'!$F$70,0)</f>
        <v>0</v>
      </c>
      <c r="AA19" s="20">
        <f>SUM(INDEX('Working Capital'!$C$18:$AL$18,1,MAX(1,25-ROUND('Assumptions'!$F$70,0)+1)):INDEX('Working Capital'!$C$18:$AL$18,1,25))/ROUND('Assumptions'!$F$70,0)</f>
        <v>0</v>
      </c>
      <c r="AB19" s="20">
        <f>SUM(INDEX('Working Capital'!$C$18:$AL$18,1,MAX(1,26-ROUND('Assumptions'!$F$70,0)+1)):INDEX('Working Capital'!$C$18:$AL$18,1,26))/ROUND('Assumptions'!$F$70,0)</f>
        <v>0</v>
      </c>
      <c r="AC19" s="20">
        <f>SUM(INDEX('Working Capital'!$C$18:$AL$18,1,MAX(1,27-ROUND('Assumptions'!$F$70,0)+1)):INDEX('Working Capital'!$C$18:$AL$18,1,27))/ROUND('Assumptions'!$F$70,0)</f>
        <v>0</v>
      </c>
      <c r="AD19" s="20">
        <f>SUM(INDEX('Working Capital'!$C$18:$AL$18,1,MAX(1,28-ROUND('Assumptions'!$F$70,0)+1)):INDEX('Working Capital'!$C$18:$AL$18,1,28))/ROUND('Assumptions'!$F$70,0)</f>
        <v>0</v>
      </c>
      <c r="AE19" s="20">
        <f>SUM(INDEX('Working Capital'!$C$18:$AL$18,1,MAX(1,29-ROUND('Assumptions'!$F$70,0)+1)):INDEX('Working Capital'!$C$18:$AL$18,1,29))/ROUND('Assumptions'!$F$70,0)</f>
        <v>0</v>
      </c>
      <c r="AF19" s="20">
        <f>SUM(INDEX('Working Capital'!$C$18:$AL$18,1,MAX(1,30-ROUND('Assumptions'!$F$70,0)+1)):INDEX('Working Capital'!$C$18:$AL$18,1,30))/ROUND('Assumptions'!$F$70,0)</f>
        <v>0</v>
      </c>
      <c r="AG19" s="20">
        <f>SUM(INDEX('Working Capital'!$C$18:$AL$18,1,MAX(1,31-ROUND('Assumptions'!$F$70,0)+1)):INDEX('Working Capital'!$C$18:$AL$18,1,31))/ROUND('Assumptions'!$F$70,0)</f>
        <v>0</v>
      </c>
      <c r="AH19" s="20">
        <f>SUM(INDEX('Working Capital'!$C$18:$AL$18,1,MAX(1,32-ROUND('Assumptions'!$F$70,0)+1)):INDEX('Working Capital'!$C$18:$AL$18,1,32))/ROUND('Assumptions'!$F$70,0)</f>
        <v>0</v>
      </c>
      <c r="AI19" s="20">
        <f>SUM(INDEX('Working Capital'!$C$18:$AL$18,1,MAX(1,33-ROUND('Assumptions'!$F$70,0)+1)):INDEX('Working Capital'!$C$18:$AL$18,1,33))/ROUND('Assumptions'!$F$70,0)</f>
        <v>0</v>
      </c>
      <c r="AJ19" s="20">
        <f>SUM(INDEX('Working Capital'!$C$18:$AL$18,1,MAX(1,34-ROUND('Assumptions'!$F$70,0)+1)):INDEX('Working Capital'!$C$18:$AL$18,1,34))/ROUND('Assumptions'!$F$70,0)</f>
        <v>0</v>
      </c>
      <c r="AK19" s="20">
        <f>SUM(INDEX('Working Capital'!$C$18:$AL$18,1,MAX(1,35-ROUND('Assumptions'!$F$70,0)+1)):INDEX('Working Capital'!$C$18:$AL$18,1,35))/ROUND('Assumptions'!$F$70,0)</f>
        <v>0</v>
      </c>
      <c r="AL19" s="20">
        <f>SUM(INDEX('Working Capital'!$C$18:$AL$18,1,MAX(1,36-ROUND('Assumptions'!$F$70,0)+1)):INDEX('Working Capital'!$C$18:$AL$18,1,36))/ROUND('Assumptions'!$F$70,0)</f>
        <v>0</v>
      </c>
      <c r="AN19" s="20">
        <f>SUM(C19:E19)</f>
        <v>0</v>
      </c>
      <c r="AO19" s="20">
        <f>SUM(F19:H19)</f>
        <v>0</v>
      </c>
      <c r="AP19" s="20">
        <f>SUM(I19:K19)</f>
        <v>0</v>
      </c>
      <c r="AQ19" s="20">
        <f>SUM(L19:N19)</f>
        <v>0</v>
      </c>
      <c r="AR19" s="20">
        <f>SUM(O19:Q19)</f>
        <v>0</v>
      </c>
      <c r="AS19" s="20">
        <f>SUM(R19:T19)</f>
        <v>0</v>
      </c>
      <c r="AT19" s="20">
        <f>SUM(U19:W19)</f>
        <v>0</v>
      </c>
      <c r="AU19" s="20">
        <f>SUM(X19:Z19)</f>
        <v>0</v>
      </c>
      <c r="AV19" s="20">
        <f>SUM(AA19:AC19)</f>
        <v>0</v>
      </c>
      <c r="AW19" s="20">
        <f>SUM(AD19:AF19)</f>
        <v>0</v>
      </c>
      <c r="AX19" s="20">
        <f>SUM(AG19:AI19)</f>
        <v>0</v>
      </c>
      <c r="AY19" s="20">
        <f>SUM(AJ19:AL19)</f>
        <v>0</v>
      </c>
      <c r="BA19" s="20">
        <f>SUM(C19:N19)</f>
        <v>0</v>
      </c>
      <c r="BB19" s="20">
        <f>SUM(O19:Z19)</f>
        <v>0</v>
      </c>
      <c r="BC19" s="20">
        <f>SUM(AA19:AL19)</f>
        <v>0</v>
      </c>
    </row>
    <row r="20" spans="1:55">
      <c r="A20" s="18" t="s">
        <v>315</v>
      </c>
      <c r="B20" s="16"/>
      <c r="C20" s="20">
        <f>C18-C19</f>
        <v>0</v>
      </c>
      <c r="D20" s="20">
        <f>C20+D18-D19</f>
        <v>0</v>
      </c>
      <c r="E20" s="20">
        <f>D20+E18-E19</f>
        <v>0</v>
      </c>
      <c r="F20" s="20">
        <f>E20+F18-F19</f>
        <v>0</v>
      </c>
      <c r="G20" s="20">
        <f>F20+G18-G19</f>
        <v>0</v>
      </c>
      <c r="H20" s="20">
        <f>G20+H18-H19</f>
        <v>0</v>
      </c>
      <c r="I20" s="20">
        <f>H20+I18-I19</f>
        <v>0</v>
      </c>
      <c r="J20" s="20">
        <f>I20+J18-J19</f>
        <v>0</v>
      </c>
      <c r="K20" s="20">
        <f>J20+K18-K19</f>
        <v>0</v>
      </c>
      <c r="L20" s="20">
        <f>K20+L18-L19</f>
        <v>0</v>
      </c>
      <c r="M20" s="20">
        <f>L20+M18-M19</f>
        <v>0</v>
      </c>
      <c r="N20" s="20">
        <f>M20+N18-N19</f>
        <v>0</v>
      </c>
      <c r="O20" s="20">
        <f>N20+O18-O19</f>
        <v>0</v>
      </c>
      <c r="P20" s="20">
        <f>O20+P18-P19</f>
        <v>0</v>
      </c>
      <c r="Q20" s="20">
        <f>P20+Q18-Q19</f>
        <v>0</v>
      </c>
      <c r="R20" s="20">
        <f>Q20+R18-R19</f>
        <v>0</v>
      </c>
      <c r="S20" s="20">
        <f>R20+S18-S19</f>
        <v>0</v>
      </c>
      <c r="T20" s="20">
        <f>S20+T18-T19</f>
        <v>0</v>
      </c>
      <c r="U20" s="20">
        <f>T20+U18-U19</f>
        <v>0</v>
      </c>
      <c r="V20" s="20">
        <f>U20+V18-V19</f>
        <v>0</v>
      </c>
      <c r="W20" s="20">
        <f>V20+W18-W19</f>
        <v>0</v>
      </c>
      <c r="X20" s="20">
        <f>W20+X18-X19</f>
        <v>0</v>
      </c>
      <c r="Y20" s="20">
        <f>X20+Y18-Y19</f>
        <v>0</v>
      </c>
      <c r="Z20" s="20">
        <f>Y20+Z18-Z19</f>
        <v>0</v>
      </c>
      <c r="AA20" s="20">
        <f>Z20+AA18-AA19</f>
        <v>0</v>
      </c>
      <c r="AB20" s="20">
        <f>AA20+AB18-AB19</f>
        <v>0</v>
      </c>
      <c r="AC20" s="20">
        <f>AB20+AC18-AC19</f>
        <v>0</v>
      </c>
      <c r="AD20" s="20">
        <f>AC20+AD18-AD19</f>
        <v>0</v>
      </c>
      <c r="AE20" s="20">
        <f>AD20+AE18-AE19</f>
        <v>0</v>
      </c>
      <c r="AF20" s="20">
        <f>AE20+AF18-AF19</f>
        <v>0</v>
      </c>
      <c r="AG20" s="20">
        <f>AF20+AG18-AG19</f>
        <v>0</v>
      </c>
      <c r="AH20" s="20">
        <f>AG20+AH18-AH19</f>
        <v>0</v>
      </c>
      <c r="AI20" s="20">
        <f>AH20+AI18-AI19</f>
        <v>0</v>
      </c>
      <c r="AJ20" s="20">
        <f>AI20+AJ18-AJ19</f>
        <v>0</v>
      </c>
      <c r="AK20" s="20">
        <f>AJ20+AK18-AK19</f>
        <v>0</v>
      </c>
      <c r="AL20" s="20">
        <f>AK20+AL18-AL19</f>
        <v>0</v>
      </c>
      <c r="AN20" s="20">
        <f>E20</f>
        <v>0</v>
      </c>
      <c r="AO20" s="20">
        <f>H20</f>
        <v>0</v>
      </c>
      <c r="AP20" s="20">
        <f>K20</f>
        <v>0</v>
      </c>
      <c r="AQ20" s="20">
        <f>N20</f>
        <v>0</v>
      </c>
      <c r="AR20" s="20">
        <f>Q20</f>
        <v>0</v>
      </c>
      <c r="AS20" s="20">
        <f>T20</f>
        <v>0</v>
      </c>
      <c r="AT20" s="20">
        <f>W20</f>
        <v>0</v>
      </c>
      <c r="AU20" s="20">
        <f>Z20</f>
        <v>0</v>
      </c>
      <c r="AV20" s="20">
        <f>AC20</f>
        <v>0</v>
      </c>
      <c r="AW20" s="20">
        <f>AF20</f>
        <v>0</v>
      </c>
      <c r="AX20" s="20">
        <f>AI20</f>
        <v>0</v>
      </c>
      <c r="AY20" s="20">
        <f>AL20</f>
        <v>0</v>
      </c>
      <c r="BA20" s="20">
        <f>N20</f>
        <v>0</v>
      </c>
      <c r="BB20" s="20">
        <f>Z20</f>
        <v>0</v>
      </c>
      <c r="BC20" s="20">
        <f>AL20</f>
        <v>0</v>
      </c>
    </row>
    <row r="21" spans="1:55" ht="5" customHeight="1"/>
    <row r="22" spans="1:55" ht="16" customHeight="1">
      <c r="A22" s="14" t="s">
        <v>316</v>
      </c>
      <c r="B22" s="14"/>
      <c r="C22" s="14"/>
      <c r="D22" s="14"/>
      <c r="E22" s="14"/>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row>
    <row r="23" spans="1:55">
      <c r="A23" s="18" t="s">
        <v>317</v>
      </c>
      <c r="B23" s="16" t="s">
        <v>318</v>
      </c>
      <c r="C23" s="20">
        <f>0</f>
        <v>0</v>
      </c>
      <c r="D23" s="20">
        <f>0</f>
        <v>0</v>
      </c>
      <c r="E23" s="20">
        <f>0</f>
        <v>0</v>
      </c>
      <c r="F23" s="20">
        <f>0</f>
        <v>0</v>
      </c>
      <c r="G23" s="20">
        <f>0</f>
        <v>0</v>
      </c>
      <c r="H23" s="20">
        <f>0</f>
        <v>0</v>
      </c>
      <c r="I23" s="20">
        <f>0</f>
        <v>0</v>
      </c>
      <c r="J23" s="20">
        <f>0</f>
        <v>0</v>
      </c>
      <c r="K23" s="20">
        <f>0</f>
        <v>0</v>
      </c>
      <c r="L23" s="20">
        <f>'Assumptions'!$F$73</f>
        <v>0</v>
      </c>
      <c r="M23" s="20">
        <f>0</f>
        <v>0</v>
      </c>
      <c r="N23" s="20">
        <f>0</f>
        <v>0</v>
      </c>
      <c r="O23" s="20">
        <f>0</f>
        <v>0</v>
      </c>
      <c r="P23" s="20">
        <f>0</f>
        <v>0</v>
      </c>
      <c r="Q23" s="20">
        <f>0</f>
        <v>0</v>
      </c>
      <c r="R23" s="20">
        <f>0</f>
        <v>0</v>
      </c>
      <c r="S23" s="20">
        <f>0</f>
        <v>0</v>
      </c>
      <c r="T23" s="20">
        <f>0</f>
        <v>0</v>
      </c>
      <c r="U23" s="20">
        <f>0</f>
        <v>0</v>
      </c>
      <c r="V23" s="20">
        <f>0</f>
        <v>0</v>
      </c>
      <c r="W23" s="20">
        <f>0</f>
        <v>0</v>
      </c>
      <c r="X23" s="20">
        <f>0</f>
        <v>0</v>
      </c>
      <c r="Y23" s="20">
        <f>0</f>
        <v>0</v>
      </c>
      <c r="Z23" s="20">
        <f>0</f>
        <v>0</v>
      </c>
      <c r="AA23" s="20">
        <f>0</f>
        <v>0</v>
      </c>
      <c r="AB23" s="20">
        <f>0</f>
        <v>0</v>
      </c>
      <c r="AC23" s="20">
        <f>0</f>
        <v>0</v>
      </c>
      <c r="AD23" s="20">
        <f>0</f>
        <v>0</v>
      </c>
      <c r="AE23" s="20">
        <f>0</f>
        <v>0</v>
      </c>
      <c r="AF23" s="20">
        <f>0</f>
        <v>0</v>
      </c>
      <c r="AG23" s="20">
        <f>0</f>
        <v>0</v>
      </c>
      <c r="AH23" s="20">
        <f>0</f>
        <v>0</v>
      </c>
      <c r="AI23" s="20">
        <f>0</f>
        <v>0</v>
      </c>
      <c r="AJ23" s="20">
        <f>0</f>
        <v>0</v>
      </c>
      <c r="AK23" s="20">
        <f>0</f>
        <v>0</v>
      </c>
      <c r="AL23" s="20">
        <f>0</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18" t="s">
        <v>319</v>
      </c>
      <c r="B24" s="16" t="s">
        <v>320</v>
      </c>
      <c r="C24" s="20">
        <f>0</f>
        <v>0</v>
      </c>
      <c r="D24" s="20">
        <f>0</f>
        <v>0</v>
      </c>
      <c r="E24" s="20">
        <f>0</f>
        <v>0</v>
      </c>
      <c r="F24" s="20">
        <f>0</f>
        <v>0</v>
      </c>
      <c r="G24" s="20">
        <f>0</f>
        <v>0</v>
      </c>
      <c r="H24" s="20">
        <f>0</f>
        <v>0</v>
      </c>
      <c r="I24" s="20">
        <f>0</f>
        <v>0</v>
      </c>
      <c r="J24" s="20">
        <f>0</f>
        <v>0</v>
      </c>
      <c r="K24" s="20">
        <f>0</f>
        <v>0</v>
      </c>
      <c r="L24" s="20">
        <f>0</f>
        <v>0</v>
      </c>
      <c r="M24" s="20">
        <f>0</f>
        <v>0</v>
      </c>
      <c r="N24" s="20">
        <f>0</f>
        <v>0</v>
      </c>
      <c r="O24" s="20">
        <f>0</f>
        <v>0</v>
      </c>
      <c r="P24" s="20">
        <f>0</f>
        <v>0</v>
      </c>
      <c r="Q24" s="20">
        <f>0</f>
        <v>0</v>
      </c>
      <c r="R24" s="20">
        <f>0</f>
        <v>0</v>
      </c>
      <c r="S24" s="20">
        <f>0</f>
        <v>0</v>
      </c>
      <c r="T24" s="20">
        <f>0</f>
        <v>0</v>
      </c>
      <c r="U24" s="20">
        <f>MIN(T25,'Assumptions'!$F$74)</f>
        <v>0</v>
      </c>
      <c r="V24" s="20">
        <f>MIN(U25,'Assumptions'!$F$74)</f>
        <v>0</v>
      </c>
      <c r="W24" s="20">
        <f>MIN(V25,'Assumptions'!$F$74)</f>
        <v>0</v>
      </c>
      <c r="X24" s="20">
        <f>MIN(W25,'Assumptions'!$F$74)</f>
        <v>0</v>
      </c>
      <c r="Y24" s="20">
        <f>MIN(X25,'Assumptions'!$F$74)</f>
        <v>0</v>
      </c>
      <c r="Z24" s="20">
        <f>MIN(Y25,'Assumptions'!$F$74)</f>
        <v>0</v>
      </c>
      <c r="AA24" s="20">
        <f>MIN(Z25,'Assumptions'!$F$74)</f>
        <v>0</v>
      </c>
      <c r="AB24" s="20">
        <f>MIN(AA25,'Assumptions'!$F$74)</f>
        <v>0</v>
      </c>
      <c r="AC24" s="20">
        <f>MIN(AB25,'Assumptions'!$F$74)</f>
        <v>0</v>
      </c>
      <c r="AD24" s="20">
        <f>MIN(AC25,'Assumptions'!$F$74)</f>
        <v>0</v>
      </c>
      <c r="AE24" s="20">
        <f>MIN(AD25,'Assumptions'!$F$74)</f>
        <v>0</v>
      </c>
      <c r="AF24" s="20">
        <f>MIN(AE25,'Assumptions'!$F$74)</f>
        <v>0</v>
      </c>
      <c r="AG24" s="20">
        <f>MIN(AF25,'Assumptions'!$F$74)</f>
        <v>0</v>
      </c>
      <c r="AH24" s="20">
        <f>MIN(AG25,'Assumptions'!$F$74)</f>
        <v>0</v>
      </c>
      <c r="AI24" s="20">
        <f>MIN(AH25,'Assumptions'!$F$74)</f>
        <v>0</v>
      </c>
      <c r="AJ24" s="20">
        <f>MIN(AI25,'Assumptions'!$F$74)</f>
        <v>0</v>
      </c>
      <c r="AK24" s="20">
        <f>MIN(AJ25,'Assumptions'!$F$74)</f>
        <v>0</v>
      </c>
      <c r="AL24" s="20">
        <f>MIN(AK25,'Assumptions'!$F$74)</f>
        <v>0</v>
      </c>
      <c r="AN24" s="20">
        <f>SUM(C24:E24)</f>
        <v>0</v>
      </c>
      <c r="AO24" s="20">
        <f>SUM(F24:H24)</f>
        <v>0</v>
      </c>
      <c r="AP24" s="20">
        <f>SUM(I24:K24)</f>
        <v>0</v>
      </c>
      <c r="AQ24" s="20">
        <f>SUM(L24:N24)</f>
        <v>0</v>
      </c>
      <c r="AR24" s="20">
        <f>SUM(O24:Q24)</f>
        <v>0</v>
      </c>
      <c r="AS24" s="20">
        <f>SUM(R24:T24)</f>
        <v>0</v>
      </c>
      <c r="AT24" s="20">
        <f>SUM(U24:W24)</f>
        <v>0</v>
      </c>
      <c r="AU24" s="20">
        <f>SUM(X24:Z24)</f>
        <v>0</v>
      </c>
      <c r="AV24" s="20">
        <f>SUM(AA24:AC24)</f>
        <v>0</v>
      </c>
      <c r="AW24" s="20">
        <f>SUM(AD24:AF24)</f>
        <v>0</v>
      </c>
      <c r="AX24" s="20">
        <f>SUM(AG24:AI24)</f>
        <v>0</v>
      </c>
      <c r="AY24" s="20">
        <f>SUM(AJ24:AL24)</f>
        <v>0</v>
      </c>
      <c r="BA24" s="20">
        <f>SUM(C24:N24)</f>
        <v>0</v>
      </c>
      <c r="BB24" s="20">
        <f>SUM(O24:Z24)</f>
        <v>0</v>
      </c>
      <c r="BC24" s="20">
        <f>SUM(AA24:AL24)</f>
        <v>0</v>
      </c>
    </row>
    <row r="25" spans="1:55">
      <c r="A25" s="28" t="s">
        <v>321</v>
      </c>
      <c r="B25" s="16" t="s">
        <v>322</v>
      </c>
      <c r="C25" s="29">
        <f>C23-C24</f>
        <v>0</v>
      </c>
      <c r="D25" s="29">
        <f>C25+D23-D24</f>
        <v>0</v>
      </c>
      <c r="E25" s="29">
        <f>D25+E23-E24</f>
        <v>0</v>
      </c>
      <c r="F25" s="29">
        <f>E25+F23-F24</f>
        <v>0</v>
      </c>
      <c r="G25" s="29">
        <f>F25+G23-G24</f>
        <v>0</v>
      </c>
      <c r="H25" s="29">
        <f>G25+H23-H24</f>
        <v>0</v>
      </c>
      <c r="I25" s="29">
        <f>H25+I23-I24</f>
        <v>0</v>
      </c>
      <c r="J25" s="29">
        <f>I25+J23-J24</f>
        <v>0</v>
      </c>
      <c r="K25" s="29">
        <f>J25+K23-K24</f>
        <v>0</v>
      </c>
      <c r="L25" s="29">
        <f>K25+L23-L24</f>
        <v>0</v>
      </c>
      <c r="M25" s="29">
        <f>L25+M23-M24</f>
        <v>0</v>
      </c>
      <c r="N25" s="29">
        <f>M25+N23-N24</f>
        <v>0</v>
      </c>
      <c r="O25" s="29">
        <f>N25+O23-O24</f>
        <v>0</v>
      </c>
      <c r="P25" s="29">
        <f>O25+P23-P24</f>
        <v>0</v>
      </c>
      <c r="Q25" s="29">
        <f>P25+Q23-Q24</f>
        <v>0</v>
      </c>
      <c r="R25" s="29">
        <f>Q25+R23-R24</f>
        <v>0</v>
      </c>
      <c r="S25" s="29">
        <f>R25+S23-S24</f>
        <v>0</v>
      </c>
      <c r="T25" s="29">
        <f>S25+T23-T24</f>
        <v>0</v>
      </c>
      <c r="U25" s="29">
        <f>T25+U23-U24</f>
        <v>0</v>
      </c>
      <c r="V25" s="29">
        <f>U25+V23-V24</f>
        <v>0</v>
      </c>
      <c r="W25" s="29">
        <f>V25+W23-W24</f>
        <v>0</v>
      </c>
      <c r="X25" s="29">
        <f>W25+X23-X24</f>
        <v>0</v>
      </c>
      <c r="Y25" s="29">
        <f>X25+Y23-Y24</f>
        <v>0</v>
      </c>
      <c r="Z25" s="29">
        <f>Y25+Z23-Z24</f>
        <v>0</v>
      </c>
      <c r="AA25" s="29">
        <f>Z25+AA23-AA24</f>
        <v>0</v>
      </c>
      <c r="AB25" s="29">
        <f>AA25+AB23-AB24</f>
        <v>0</v>
      </c>
      <c r="AC25" s="29">
        <f>AB25+AC23-AC24</f>
        <v>0</v>
      </c>
      <c r="AD25" s="29">
        <f>AC25+AD23-AD24</f>
        <v>0</v>
      </c>
      <c r="AE25" s="29">
        <f>AD25+AE23-AE24</f>
        <v>0</v>
      </c>
      <c r="AF25" s="29">
        <f>AE25+AF23-AF24</f>
        <v>0</v>
      </c>
      <c r="AG25" s="29">
        <f>AF25+AG23-AG24</f>
        <v>0</v>
      </c>
      <c r="AH25" s="29">
        <f>AG25+AH23-AH24</f>
        <v>0</v>
      </c>
      <c r="AI25" s="29">
        <f>AH25+AI23-AI24</f>
        <v>0</v>
      </c>
      <c r="AJ25" s="29">
        <f>AI25+AJ23-AJ24</f>
        <v>0</v>
      </c>
      <c r="AK25" s="29">
        <f>AJ25+AK23-AK24</f>
        <v>0</v>
      </c>
      <c r="AL25" s="29">
        <f>AK25+AL23-AL24</f>
        <v>0</v>
      </c>
      <c r="AN25" s="29">
        <f>E25</f>
        <v>0</v>
      </c>
      <c r="AO25" s="29">
        <f>H25</f>
        <v>0</v>
      </c>
      <c r="AP25" s="29">
        <f>K25</f>
        <v>0</v>
      </c>
      <c r="AQ25" s="29">
        <f>N25</f>
        <v>0</v>
      </c>
      <c r="AR25" s="29">
        <f>Q25</f>
        <v>0</v>
      </c>
      <c r="AS25" s="29">
        <f>T25</f>
        <v>0</v>
      </c>
      <c r="AT25" s="29">
        <f>W25</f>
        <v>0</v>
      </c>
      <c r="AU25" s="29">
        <f>Z25</f>
        <v>0</v>
      </c>
      <c r="AV25" s="29">
        <f>AC25</f>
        <v>0</v>
      </c>
      <c r="AW25" s="29">
        <f>AF25</f>
        <v>0</v>
      </c>
      <c r="AX25" s="29">
        <f>AI25</f>
        <v>0</v>
      </c>
      <c r="AY25" s="29">
        <f>AL25</f>
        <v>0</v>
      </c>
      <c r="BA25" s="29">
        <f>N25</f>
        <v>0</v>
      </c>
      <c r="BB25" s="29">
        <f>Z25</f>
        <v>0</v>
      </c>
      <c r="BC25" s="29">
        <f>AL25</f>
        <v>0</v>
      </c>
    </row>
    <row r="26" spans="1:55">
      <c r="A26" s="18" t="s">
        <v>323</v>
      </c>
      <c r="B26" s="16" t="s">
        <v>324</v>
      </c>
      <c r="C26" s="20">
        <f>C23*'Assumptions'!$F$72/12/2</f>
        <v>0</v>
      </c>
      <c r="D26" s="20">
        <f>C25*'Assumptions'!$F$72/12</f>
        <v>0</v>
      </c>
      <c r="E26" s="20">
        <f>D25*'Assumptions'!$F$72/12</f>
        <v>0</v>
      </c>
      <c r="F26" s="20">
        <f>E25*'Assumptions'!$F$72/12</f>
        <v>0</v>
      </c>
      <c r="G26" s="20">
        <f>F25*'Assumptions'!$F$72/12</f>
        <v>0</v>
      </c>
      <c r="H26" s="20">
        <f>G25*'Assumptions'!$F$72/12</f>
        <v>0</v>
      </c>
      <c r="I26" s="20">
        <f>H25*'Assumptions'!$F$72/12</f>
        <v>0</v>
      </c>
      <c r="J26" s="20">
        <f>I25*'Assumptions'!$F$72/12</f>
        <v>0</v>
      </c>
      <c r="K26" s="20">
        <f>J25*'Assumptions'!$F$72/12</f>
        <v>0</v>
      </c>
      <c r="L26" s="20">
        <f>K25*'Assumptions'!$F$72/12</f>
        <v>0</v>
      </c>
      <c r="M26" s="20">
        <f>L25*'Assumptions'!$F$72/12</f>
        <v>0</v>
      </c>
      <c r="N26" s="20">
        <f>M25*'Assumptions'!$F$72/12</f>
        <v>0</v>
      </c>
      <c r="O26" s="20">
        <f>N25*'Assumptions'!$F$72/12</f>
        <v>0</v>
      </c>
      <c r="P26" s="20">
        <f>O25*'Assumptions'!$F$72/12</f>
        <v>0</v>
      </c>
      <c r="Q26" s="20">
        <f>P25*'Assumptions'!$F$72/12</f>
        <v>0</v>
      </c>
      <c r="R26" s="20">
        <f>Q25*'Assumptions'!$F$72/12</f>
        <v>0</v>
      </c>
      <c r="S26" s="20">
        <f>R25*'Assumptions'!$F$72/12</f>
        <v>0</v>
      </c>
      <c r="T26" s="20">
        <f>S25*'Assumptions'!$F$72/12</f>
        <v>0</v>
      </c>
      <c r="U26" s="20">
        <f>T25*'Assumptions'!$F$72/12</f>
        <v>0</v>
      </c>
      <c r="V26" s="20">
        <f>U25*'Assumptions'!$F$72/12</f>
        <v>0</v>
      </c>
      <c r="W26" s="20">
        <f>V25*'Assumptions'!$F$72/12</f>
        <v>0</v>
      </c>
      <c r="X26" s="20">
        <f>W25*'Assumptions'!$F$72/12</f>
        <v>0</v>
      </c>
      <c r="Y26" s="20">
        <f>X25*'Assumptions'!$F$72/12</f>
        <v>0</v>
      </c>
      <c r="Z26" s="20">
        <f>Y25*'Assumptions'!$F$72/12</f>
        <v>0</v>
      </c>
      <c r="AA26" s="20">
        <f>Z25*'Assumptions'!$F$72/12</f>
        <v>0</v>
      </c>
      <c r="AB26" s="20">
        <f>AA25*'Assumptions'!$F$72/12</f>
        <v>0</v>
      </c>
      <c r="AC26" s="20">
        <f>AB25*'Assumptions'!$F$72/12</f>
        <v>0</v>
      </c>
      <c r="AD26" s="20">
        <f>AC25*'Assumptions'!$F$72/12</f>
        <v>0</v>
      </c>
      <c r="AE26" s="20">
        <f>AD25*'Assumptions'!$F$72/12</f>
        <v>0</v>
      </c>
      <c r="AF26" s="20">
        <f>AE25*'Assumptions'!$F$72/12</f>
        <v>0</v>
      </c>
      <c r="AG26" s="20">
        <f>AF25*'Assumptions'!$F$72/12</f>
        <v>0</v>
      </c>
      <c r="AH26" s="20">
        <f>AG25*'Assumptions'!$F$72/12</f>
        <v>0</v>
      </c>
      <c r="AI26" s="20">
        <f>AH25*'Assumptions'!$F$72/12</f>
        <v>0</v>
      </c>
      <c r="AJ26" s="20">
        <f>AI25*'Assumptions'!$F$72/12</f>
        <v>0</v>
      </c>
      <c r="AK26" s="20">
        <f>AJ25*'Assumptions'!$F$72/12</f>
        <v>0</v>
      </c>
      <c r="AL26" s="20">
        <f>AK25*'Assumptions'!$F$72/12</f>
        <v>0</v>
      </c>
      <c r="AN26" s="20">
        <f>SUM(C26:E26)</f>
        <v>0</v>
      </c>
      <c r="AO26" s="20">
        <f>SUM(F26:H26)</f>
        <v>0</v>
      </c>
      <c r="AP26" s="20">
        <f>SUM(I26:K26)</f>
        <v>0</v>
      </c>
      <c r="AQ26" s="20">
        <f>SUM(L26:N26)</f>
        <v>0</v>
      </c>
      <c r="AR26" s="20">
        <f>SUM(O26:Q26)</f>
        <v>0</v>
      </c>
      <c r="AS26" s="20">
        <f>SUM(R26:T26)</f>
        <v>0</v>
      </c>
      <c r="AT26" s="20">
        <f>SUM(U26:W26)</f>
        <v>0</v>
      </c>
      <c r="AU26" s="20">
        <f>SUM(X26:Z26)</f>
        <v>0</v>
      </c>
      <c r="AV26" s="20">
        <f>SUM(AA26:AC26)</f>
        <v>0</v>
      </c>
      <c r="AW26" s="20">
        <f>SUM(AD26:AF26)</f>
        <v>0</v>
      </c>
      <c r="AX26" s="20">
        <f>SUM(AG26:AI26)</f>
        <v>0</v>
      </c>
      <c r="AY26" s="20">
        <f>SUM(AJ26:AL26)</f>
        <v>0</v>
      </c>
      <c r="BA26" s="20">
        <f>SUM(C26:N26)</f>
        <v>0</v>
      </c>
      <c r="BB26" s="20">
        <f>SUM(O26:Z26)</f>
        <v>0</v>
      </c>
      <c r="BC26" s="20">
        <f>SUM(AA26:AL26)</f>
        <v>0</v>
      </c>
    </row>
    <row r="27" spans="1:55" ht="5" customHeight="1"/>
    <row r="28" spans="1:55" ht="16" customHeight="1">
      <c r="A28" s="14" t="s">
        <v>325</v>
      </c>
      <c r="B28" s="14"/>
      <c r="C28" s="14"/>
      <c r="D28" s="14"/>
      <c r="E28" s="14"/>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row>
    <row r="29" spans="1:55">
      <c r="A29" s="18" t="s">
        <v>326</v>
      </c>
      <c r="B29" s="16" t="s">
        <v>327</v>
      </c>
      <c r="C29" s="20">
        <f>0</f>
        <v>0</v>
      </c>
      <c r="D29" s="20">
        <f>0</f>
        <v>0</v>
      </c>
      <c r="E29" s="20">
        <f>0</f>
        <v>0</v>
      </c>
      <c r="F29" s="20">
        <f>0</f>
        <v>0</v>
      </c>
      <c r="G29" s="20">
        <f>0</f>
        <v>0</v>
      </c>
      <c r="H29" s="20">
        <f>'Assumptions'!$F$75</f>
        <v>0</v>
      </c>
      <c r="I29" s="20">
        <f>0</f>
        <v>0</v>
      </c>
      <c r="J29" s="20">
        <f>0</f>
        <v>0</v>
      </c>
      <c r="K29" s="20">
        <f>0</f>
        <v>0</v>
      </c>
      <c r="L29" s="20">
        <f>0</f>
        <v>0</v>
      </c>
      <c r="M29" s="20">
        <f>0</f>
        <v>0</v>
      </c>
      <c r="N29" s="20">
        <f>0</f>
        <v>0</v>
      </c>
      <c r="O29" s="20">
        <f>0</f>
        <v>0</v>
      </c>
      <c r="P29" s="20">
        <f>0</f>
        <v>0</v>
      </c>
      <c r="Q29" s="20">
        <f>0</f>
        <v>0</v>
      </c>
      <c r="R29" s="20">
        <f>0</f>
        <v>0</v>
      </c>
      <c r="S29" s="20">
        <f>0</f>
        <v>0</v>
      </c>
      <c r="T29" s="20">
        <f>0</f>
        <v>0</v>
      </c>
      <c r="U29" s="20">
        <f>0</f>
        <v>0</v>
      </c>
      <c r="V29" s="20">
        <f>0</f>
        <v>0</v>
      </c>
      <c r="W29" s="20">
        <f>0</f>
        <v>0</v>
      </c>
      <c r="X29" s="20">
        <f>'Assumptions'!$F$76</f>
        <v>0</v>
      </c>
      <c r="Y29" s="20">
        <f>0</f>
        <v>0</v>
      </c>
      <c r="Z29" s="20">
        <f>0</f>
        <v>0</v>
      </c>
      <c r="AA29" s="20">
        <f>0</f>
        <v>0</v>
      </c>
      <c r="AB29" s="20">
        <f>0</f>
        <v>0</v>
      </c>
      <c r="AC29" s="20">
        <f>0</f>
        <v>0</v>
      </c>
      <c r="AD29" s="20">
        <f>0</f>
        <v>0</v>
      </c>
      <c r="AE29" s="20">
        <f>0</f>
        <v>0</v>
      </c>
      <c r="AF29" s="20">
        <f>0</f>
        <v>0</v>
      </c>
      <c r="AG29" s="20">
        <f>0</f>
        <v>0</v>
      </c>
      <c r="AH29" s="20">
        <f>0</f>
        <v>0</v>
      </c>
      <c r="AI29" s="20">
        <f>0</f>
        <v>0</v>
      </c>
      <c r="AJ29" s="20">
        <f>0</f>
        <v>0</v>
      </c>
      <c r="AK29" s="20">
        <f>0</f>
        <v>0</v>
      </c>
      <c r="AL29" s="20">
        <f>0</f>
        <v>0</v>
      </c>
      <c r="AN29" s="20">
        <f>SUM(C29:E29)</f>
        <v>0</v>
      </c>
      <c r="AO29" s="20">
        <f>SUM(F29:H29)</f>
        <v>0</v>
      </c>
      <c r="AP29" s="20">
        <f>SUM(I29:K29)</f>
        <v>0</v>
      </c>
      <c r="AQ29" s="20">
        <f>SUM(L29:N29)</f>
        <v>0</v>
      </c>
      <c r="AR29" s="20">
        <f>SUM(O29:Q29)</f>
        <v>0</v>
      </c>
      <c r="AS29" s="20">
        <f>SUM(R29:T29)</f>
        <v>0</v>
      </c>
      <c r="AT29" s="20">
        <f>SUM(U29:W29)</f>
        <v>0</v>
      </c>
      <c r="AU29" s="20">
        <f>SUM(X29:Z29)</f>
        <v>0</v>
      </c>
      <c r="AV29" s="20">
        <f>SUM(AA29:AC29)</f>
        <v>0</v>
      </c>
      <c r="AW29" s="20">
        <f>SUM(AD29:AF29)</f>
        <v>0</v>
      </c>
      <c r="AX29" s="20">
        <f>SUM(AG29:AI29)</f>
        <v>0</v>
      </c>
      <c r="AY29" s="20">
        <f>SUM(AJ29:AL29)</f>
        <v>0</v>
      </c>
      <c r="BA29" s="20">
        <f>SUM(C29:N29)</f>
        <v>0</v>
      </c>
      <c r="BB29" s="20">
        <f>SUM(O29:Z29)</f>
        <v>0</v>
      </c>
      <c r="BC29" s="20">
        <f>SUM(AA29:AL29)</f>
        <v>0</v>
      </c>
    </row>
    <row r="30" spans="1:55">
      <c r="A30" s="18" t="s">
        <v>328</v>
      </c>
      <c r="B30" s="16"/>
      <c r="C30" s="29">
        <f>C29</f>
        <v>0</v>
      </c>
      <c r="D30" s="29">
        <f>C30+D29</f>
        <v>0</v>
      </c>
      <c r="E30" s="29">
        <f>D30+E29</f>
        <v>0</v>
      </c>
      <c r="F30" s="29">
        <f>E30+F29</f>
        <v>0</v>
      </c>
      <c r="G30" s="29">
        <f>F30+G29</f>
        <v>0</v>
      </c>
      <c r="H30" s="29">
        <f>G30+H29</f>
        <v>0</v>
      </c>
      <c r="I30" s="29">
        <f>H30+I29</f>
        <v>0</v>
      </c>
      <c r="J30" s="29">
        <f>I30+J29</f>
        <v>0</v>
      </c>
      <c r="K30" s="29">
        <f>J30+K29</f>
        <v>0</v>
      </c>
      <c r="L30" s="29">
        <f>K30+L29</f>
        <v>0</v>
      </c>
      <c r="M30" s="29">
        <f>L30+M29</f>
        <v>0</v>
      </c>
      <c r="N30" s="29">
        <f>M30+N29</f>
        <v>0</v>
      </c>
      <c r="O30" s="29">
        <f>N30+O29</f>
        <v>0</v>
      </c>
      <c r="P30" s="29">
        <f>O30+P29</f>
        <v>0</v>
      </c>
      <c r="Q30" s="29">
        <f>P30+Q29</f>
        <v>0</v>
      </c>
      <c r="R30" s="29">
        <f>Q30+R29</f>
        <v>0</v>
      </c>
      <c r="S30" s="29">
        <f>R30+S29</f>
        <v>0</v>
      </c>
      <c r="T30" s="29">
        <f>S30+T29</f>
        <v>0</v>
      </c>
      <c r="U30" s="29">
        <f>T30+U29</f>
        <v>0</v>
      </c>
      <c r="V30" s="29">
        <f>U30+V29</f>
        <v>0</v>
      </c>
      <c r="W30" s="29">
        <f>V30+W29</f>
        <v>0</v>
      </c>
      <c r="X30" s="29">
        <f>W30+X29</f>
        <v>0</v>
      </c>
      <c r="Y30" s="29">
        <f>X30+Y29</f>
        <v>0</v>
      </c>
      <c r="Z30" s="29">
        <f>Y30+Z29</f>
        <v>0</v>
      </c>
      <c r="AA30" s="29">
        <f>Z30+AA29</f>
        <v>0</v>
      </c>
      <c r="AB30" s="29">
        <f>AA30+AB29</f>
        <v>0</v>
      </c>
      <c r="AC30" s="29">
        <f>AB30+AC29</f>
        <v>0</v>
      </c>
      <c r="AD30" s="29">
        <f>AC30+AD29</f>
        <v>0</v>
      </c>
      <c r="AE30" s="29">
        <f>AD30+AE29</f>
        <v>0</v>
      </c>
      <c r="AF30" s="29">
        <f>AE30+AF29</f>
        <v>0</v>
      </c>
      <c r="AG30" s="29">
        <f>AF30+AG29</f>
        <v>0</v>
      </c>
      <c r="AH30" s="29">
        <f>AG30+AH29</f>
        <v>0</v>
      </c>
      <c r="AI30" s="29">
        <f>AH30+AI29</f>
        <v>0</v>
      </c>
      <c r="AJ30" s="29">
        <f>AI30+AJ29</f>
        <v>0</v>
      </c>
      <c r="AK30" s="29">
        <f>AJ30+AK29</f>
        <v>0</v>
      </c>
      <c r="AL30" s="29">
        <f>AK30+AL29</f>
        <v>0</v>
      </c>
      <c r="AN30" s="29">
        <f>E30</f>
        <v>0</v>
      </c>
      <c r="AO30" s="29">
        <f>H30</f>
        <v>0</v>
      </c>
      <c r="AP30" s="29">
        <f>K30</f>
        <v>0</v>
      </c>
      <c r="AQ30" s="29">
        <f>N30</f>
        <v>0</v>
      </c>
      <c r="AR30" s="29">
        <f>Q30</f>
        <v>0</v>
      </c>
      <c r="AS30" s="29">
        <f>T30</f>
        <v>0</v>
      </c>
      <c r="AT30" s="29">
        <f>W30</f>
        <v>0</v>
      </c>
      <c r="AU30" s="29">
        <f>Z30</f>
        <v>0</v>
      </c>
      <c r="AV30" s="29">
        <f>AC30</f>
        <v>0</v>
      </c>
      <c r="AW30" s="29">
        <f>AF30</f>
        <v>0</v>
      </c>
      <c r="AX30" s="29">
        <f>AI30</f>
        <v>0</v>
      </c>
      <c r="AY30" s="29">
        <f>AL30</f>
        <v>0</v>
      </c>
      <c r="BA30" s="29">
        <f>N30</f>
        <v>0</v>
      </c>
      <c r="BB30" s="29">
        <f>Z30</f>
        <v>0</v>
      </c>
      <c r="BC30" s="29">
        <f>AL30</f>
        <v>0</v>
      </c>
    </row>
  </sheetData>
  <mergeCells count="9">
    <mergeCell ref="A1:BC1"/>
    <mergeCell ref="A2:BC2"/>
    <mergeCell ref="C5:AL5"/>
    <mergeCell ref="AN5:AY5"/>
    <mergeCell ref="BA5:BC5"/>
    <mergeCell ref="A7:BC7"/>
    <mergeCell ref="A17:BC17"/>
    <mergeCell ref="A22:BC22"/>
    <mergeCell ref="A28:BC28"/>
  </mergeCells>
  <pageMargins left="0.7" right="0.7" top="0.75" bottom="0.75" header="0.3" footer="0.3"/>
  <pageSetup paperSize="9" scale="55" orientation="landscape"/>
</worksheet>
</file>

<file path=xl/worksheets/sheet8.xml><?xml version="1.0" encoding="utf-8"?>
<worksheet xmlns="http://schemas.openxmlformats.org/spreadsheetml/2006/main" xmlns:r="http://schemas.openxmlformats.org/officeDocument/2006/relationships">
  <dimension ref="A1:BC2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329</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330</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c r="A7" s="18" t="s">
        <v>331</v>
      </c>
      <c r="B7" s="16"/>
      <c r="C7" s="20">
        <f>'Revenue'!$C$35</f>
        <v>0</v>
      </c>
      <c r="D7" s="20">
        <f>'Revenue'!$D$35</f>
        <v>0</v>
      </c>
      <c r="E7" s="20">
        <f>'Revenue'!$E$35</f>
        <v>0</v>
      </c>
      <c r="F7" s="20">
        <f>'Revenue'!$F$35</f>
        <v>0</v>
      </c>
      <c r="G7" s="20">
        <f>'Revenue'!$G$35</f>
        <v>0</v>
      </c>
      <c r="H7" s="20">
        <f>'Revenue'!$H$35</f>
        <v>0</v>
      </c>
      <c r="I7" s="20">
        <f>'Revenue'!$I$35</f>
        <v>0</v>
      </c>
      <c r="J7" s="20">
        <f>'Revenue'!$J$35</f>
        <v>0</v>
      </c>
      <c r="K7" s="20">
        <f>'Revenue'!$K$35</f>
        <v>0</v>
      </c>
      <c r="L7" s="20">
        <f>'Revenue'!$L$35</f>
        <v>0</v>
      </c>
      <c r="M7" s="20">
        <f>'Revenue'!$M$35</f>
        <v>0</v>
      </c>
      <c r="N7" s="20">
        <f>'Revenue'!$N$35</f>
        <v>0</v>
      </c>
      <c r="O7" s="20">
        <f>'Revenue'!$O$35</f>
        <v>0</v>
      </c>
      <c r="P7" s="20">
        <f>'Revenue'!$P$35</f>
        <v>0</v>
      </c>
      <c r="Q7" s="20">
        <f>'Revenue'!$Q$35</f>
        <v>0</v>
      </c>
      <c r="R7" s="20">
        <f>'Revenue'!$R$35</f>
        <v>0</v>
      </c>
      <c r="S7" s="20">
        <f>'Revenue'!$S$35</f>
        <v>0</v>
      </c>
      <c r="T7" s="20">
        <f>'Revenue'!$T$35</f>
        <v>0</v>
      </c>
      <c r="U7" s="20">
        <f>'Revenue'!$U$35</f>
        <v>0</v>
      </c>
      <c r="V7" s="20">
        <f>'Revenue'!$V$35</f>
        <v>0</v>
      </c>
      <c r="W7" s="20">
        <f>'Revenue'!$W$35</f>
        <v>0</v>
      </c>
      <c r="X7" s="20">
        <f>'Revenue'!$X$35</f>
        <v>0</v>
      </c>
      <c r="Y7" s="20">
        <f>'Revenue'!$Y$35</f>
        <v>0</v>
      </c>
      <c r="Z7" s="20">
        <f>'Revenue'!$Z$35</f>
        <v>0</v>
      </c>
      <c r="AA7" s="20">
        <f>'Revenue'!$AA$35</f>
        <v>0</v>
      </c>
      <c r="AB7" s="20">
        <f>'Revenue'!$AB$35</f>
        <v>0</v>
      </c>
      <c r="AC7" s="20">
        <f>'Revenue'!$AC$35</f>
        <v>0</v>
      </c>
      <c r="AD7" s="20">
        <f>'Revenue'!$AD$35</f>
        <v>0</v>
      </c>
      <c r="AE7" s="20">
        <f>'Revenue'!$AE$35</f>
        <v>0</v>
      </c>
      <c r="AF7" s="20">
        <f>'Revenue'!$AF$35</f>
        <v>0</v>
      </c>
      <c r="AG7" s="20">
        <f>'Revenue'!$AG$35</f>
        <v>0</v>
      </c>
      <c r="AH7" s="20">
        <f>'Revenue'!$AH$35</f>
        <v>0</v>
      </c>
      <c r="AI7" s="20">
        <f>'Revenue'!$AI$35</f>
        <v>0</v>
      </c>
      <c r="AJ7" s="20">
        <f>'Revenue'!$AJ$35</f>
        <v>0</v>
      </c>
      <c r="AK7" s="20">
        <f>'Revenue'!$AK$35</f>
        <v>0</v>
      </c>
      <c r="AL7" s="20">
        <f>'Revenue'!$AL$35</f>
        <v>0</v>
      </c>
      <c r="AN7" s="20">
        <f>SUM(C7:E7)</f>
        <v>0</v>
      </c>
      <c r="AO7" s="20">
        <f>SUM(F7:H7)</f>
        <v>0</v>
      </c>
      <c r="AP7" s="20">
        <f>SUM(I7:K7)</f>
        <v>0</v>
      </c>
      <c r="AQ7" s="20">
        <f>SUM(L7:N7)</f>
        <v>0</v>
      </c>
      <c r="AR7" s="20">
        <f>SUM(O7:Q7)</f>
        <v>0</v>
      </c>
      <c r="AS7" s="20">
        <f>SUM(R7:T7)</f>
        <v>0</v>
      </c>
      <c r="AT7" s="20">
        <f>SUM(U7:W7)</f>
        <v>0</v>
      </c>
      <c r="AU7" s="20">
        <f>SUM(X7:Z7)</f>
        <v>0</v>
      </c>
      <c r="AV7" s="20">
        <f>SUM(AA7:AC7)</f>
        <v>0</v>
      </c>
      <c r="AW7" s="20">
        <f>SUM(AD7:AF7)</f>
        <v>0</v>
      </c>
      <c r="AX7" s="20">
        <f>SUM(AG7:AI7)</f>
        <v>0</v>
      </c>
      <c r="AY7" s="20">
        <f>SUM(AJ7:AL7)</f>
        <v>0</v>
      </c>
      <c r="BA7" s="20">
        <f>SUM(C7:N7)</f>
        <v>0</v>
      </c>
      <c r="BB7" s="20">
        <f>SUM(O7:Z7)</f>
        <v>0</v>
      </c>
      <c r="BC7" s="20">
        <f>SUM(AA7:AL7)</f>
        <v>0</v>
      </c>
    </row>
    <row r="8" spans="1:55">
      <c r="A8" s="18" t="s">
        <v>332</v>
      </c>
      <c r="B8" s="16"/>
      <c r="C8" s="20">
        <f>'COGS &amp; GM'!$C$13</f>
        <v>0</v>
      </c>
      <c r="D8" s="20">
        <f>'COGS &amp; GM'!$D$13</f>
        <v>0</v>
      </c>
      <c r="E8" s="20">
        <f>'COGS &amp; GM'!$E$13</f>
        <v>0</v>
      </c>
      <c r="F8" s="20">
        <f>'COGS &amp; GM'!$F$13</f>
        <v>0</v>
      </c>
      <c r="G8" s="20">
        <f>'COGS &amp; GM'!$G$13</f>
        <v>0</v>
      </c>
      <c r="H8" s="20">
        <f>'COGS &amp; GM'!$H$13</f>
        <v>0</v>
      </c>
      <c r="I8" s="20">
        <f>'COGS &amp; GM'!$I$13</f>
        <v>0</v>
      </c>
      <c r="J8" s="20">
        <f>'COGS &amp; GM'!$J$13</f>
        <v>0</v>
      </c>
      <c r="K8" s="20">
        <f>'COGS &amp; GM'!$K$13</f>
        <v>0</v>
      </c>
      <c r="L8" s="20">
        <f>'COGS &amp; GM'!$L$13</f>
        <v>0</v>
      </c>
      <c r="M8" s="20">
        <f>'COGS &amp; GM'!$M$13</f>
        <v>0</v>
      </c>
      <c r="N8" s="20">
        <f>'COGS &amp; GM'!$N$13</f>
        <v>0</v>
      </c>
      <c r="O8" s="20">
        <f>'COGS &amp; GM'!$O$13</f>
        <v>0</v>
      </c>
      <c r="P8" s="20">
        <f>'COGS &amp; GM'!$P$13</f>
        <v>0</v>
      </c>
      <c r="Q8" s="20">
        <f>'COGS &amp; GM'!$Q$13</f>
        <v>0</v>
      </c>
      <c r="R8" s="20">
        <f>'COGS &amp; GM'!$R$13</f>
        <v>0</v>
      </c>
      <c r="S8" s="20">
        <f>'COGS &amp; GM'!$S$13</f>
        <v>0</v>
      </c>
      <c r="T8" s="20">
        <f>'COGS &amp; GM'!$T$13</f>
        <v>0</v>
      </c>
      <c r="U8" s="20">
        <f>'COGS &amp; GM'!$U$13</f>
        <v>0</v>
      </c>
      <c r="V8" s="20">
        <f>'COGS &amp; GM'!$V$13</f>
        <v>0</v>
      </c>
      <c r="W8" s="20">
        <f>'COGS &amp; GM'!$W$13</f>
        <v>0</v>
      </c>
      <c r="X8" s="20">
        <f>'COGS &amp; GM'!$X$13</f>
        <v>0</v>
      </c>
      <c r="Y8" s="20">
        <f>'COGS &amp; GM'!$Y$13</f>
        <v>0</v>
      </c>
      <c r="Z8" s="20">
        <f>'COGS &amp; GM'!$Z$13</f>
        <v>0</v>
      </c>
      <c r="AA8" s="20">
        <f>'COGS &amp; GM'!$AA$13</f>
        <v>0</v>
      </c>
      <c r="AB8" s="20">
        <f>'COGS &amp; GM'!$AB$13</f>
        <v>0</v>
      </c>
      <c r="AC8" s="20">
        <f>'COGS &amp; GM'!$AC$13</f>
        <v>0</v>
      </c>
      <c r="AD8" s="20">
        <f>'COGS &amp; GM'!$AD$13</f>
        <v>0</v>
      </c>
      <c r="AE8" s="20">
        <f>'COGS &amp; GM'!$AE$13</f>
        <v>0</v>
      </c>
      <c r="AF8" s="20">
        <f>'COGS &amp; GM'!$AF$13</f>
        <v>0</v>
      </c>
      <c r="AG8" s="20">
        <f>'COGS &amp; GM'!$AG$13</f>
        <v>0</v>
      </c>
      <c r="AH8" s="20">
        <f>'COGS &amp; GM'!$AH$13</f>
        <v>0</v>
      </c>
      <c r="AI8" s="20">
        <f>'COGS &amp; GM'!$AI$13</f>
        <v>0</v>
      </c>
      <c r="AJ8" s="20">
        <f>'COGS &amp; GM'!$AJ$13</f>
        <v>0</v>
      </c>
      <c r="AK8" s="20">
        <f>'COGS &amp; GM'!$AK$13</f>
        <v>0</v>
      </c>
      <c r="AL8" s="20">
        <f>'COGS &amp; GM'!$AL$13</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28" t="s">
        <v>260</v>
      </c>
      <c r="B9" s="16"/>
      <c r="C9" s="29">
        <f>C7-C8</f>
        <v>0</v>
      </c>
      <c r="D9" s="29">
        <f>D7-D8</f>
        <v>0</v>
      </c>
      <c r="E9" s="29">
        <f>E7-E8</f>
        <v>0</v>
      </c>
      <c r="F9" s="29">
        <f>F7-F8</f>
        <v>0</v>
      </c>
      <c r="G9" s="29">
        <f>G7-G8</f>
        <v>0</v>
      </c>
      <c r="H9" s="29">
        <f>H7-H8</f>
        <v>0</v>
      </c>
      <c r="I9" s="29">
        <f>I7-I8</f>
        <v>0</v>
      </c>
      <c r="J9" s="29">
        <f>J7-J8</f>
        <v>0</v>
      </c>
      <c r="K9" s="29">
        <f>K7-K8</f>
        <v>0</v>
      </c>
      <c r="L9" s="29">
        <f>L7-L8</f>
        <v>0</v>
      </c>
      <c r="M9" s="29">
        <f>M7-M8</f>
        <v>0</v>
      </c>
      <c r="N9" s="29">
        <f>N7-N8</f>
        <v>0</v>
      </c>
      <c r="O9" s="29">
        <f>O7-O8</f>
        <v>0</v>
      </c>
      <c r="P9" s="29">
        <f>P7-P8</f>
        <v>0</v>
      </c>
      <c r="Q9" s="29">
        <f>Q7-Q8</f>
        <v>0</v>
      </c>
      <c r="R9" s="29">
        <f>R7-R8</f>
        <v>0</v>
      </c>
      <c r="S9" s="29">
        <f>S7-S8</f>
        <v>0</v>
      </c>
      <c r="T9" s="29">
        <f>T7-T8</f>
        <v>0</v>
      </c>
      <c r="U9" s="29">
        <f>U7-U8</f>
        <v>0</v>
      </c>
      <c r="V9" s="29">
        <f>V7-V8</f>
        <v>0</v>
      </c>
      <c r="W9" s="29">
        <f>W7-W8</f>
        <v>0</v>
      </c>
      <c r="X9" s="29">
        <f>X7-X8</f>
        <v>0</v>
      </c>
      <c r="Y9" s="29">
        <f>Y7-Y8</f>
        <v>0</v>
      </c>
      <c r="Z9" s="29">
        <f>Z7-Z8</f>
        <v>0</v>
      </c>
      <c r="AA9" s="29">
        <f>AA7-AA8</f>
        <v>0</v>
      </c>
      <c r="AB9" s="29">
        <f>AB7-AB8</f>
        <v>0</v>
      </c>
      <c r="AC9" s="29">
        <f>AC7-AC8</f>
        <v>0</v>
      </c>
      <c r="AD9" s="29">
        <f>AD7-AD8</f>
        <v>0</v>
      </c>
      <c r="AE9" s="29">
        <f>AE7-AE8</f>
        <v>0</v>
      </c>
      <c r="AF9" s="29">
        <f>AF7-AF8</f>
        <v>0</v>
      </c>
      <c r="AG9" s="29">
        <f>AG7-AG8</f>
        <v>0</v>
      </c>
      <c r="AH9" s="29">
        <f>AH7-AH8</f>
        <v>0</v>
      </c>
      <c r="AI9" s="29">
        <f>AI7-AI8</f>
        <v>0</v>
      </c>
      <c r="AJ9" s="29">
        <f>AJ7-AJ8</f>
        <v>0</v>
      </c>
      <c r="AK9" s="29">
        <f>AK7-AK8</f>
        <v>0</v>
      </c>
      <c r="AL9" s="29">
        <f>AL7-AL8</f>
        <v>0</v>
      </c>
      <c r="AN9" s="29">
        <f>SUM(C9:E9)</f>
        <v>0</v>
      </c>
      <c r="AO9" s="29">
        <f>SUM(F9:H9)</f>
        <v>0</v>
      </c>
      <c r="AP9" s="29">
        <f>SUM(I9:K9)</f>
        <v>0</v>
      </c>
      <c r="AQ9" s="29">
        <f>SUM(L9:N9)</f>
        <v>0</v>
      </c>
      <c r="AR9" s="29">
        <f>SUM(O9:Q9)</f>
        <v>0</v>
      </c>
      <c r="AS9" s="29">
        <f>SUM(R9:T9)</f>
        <v>0</v>
      </c>
      <c r="AT9" s="29">
        <f>SUM(U9:W9)</f>
        <v>0</v>
      </c>
      <c r="AU9" s="29">
        <f>SUM(X9:Z9)</f>
        <v>0</v>
      </c>
      <c r="AV9" s="29">
        <f>SUM(AA9:AC9)</f>
        <v>0</v>
      </c>
      <c r="AW9" s="29">
        <f>SUM(AD9:AF9)</f>
        <v>0</v>
      </c>
      <c r="AX9" s="29">
        <f>SUM(AG9:AI9)</f>
        <v>0</v>
      </c>
      <c r="AY9" s="29">
        <f>SUM(AJ9:AL9)</f>
        <v>0</v>
      </c>
      <c r="BA9" s="29">
        <f>SUM(C9:N9)</f>
        <v>0</v>
      </c>
      <c r="BB9" s="29">
        <f>SUM(O9:Z9)</f>
        <v>0</v>
      </c>
      <c r="BC9" s="29">
        <f>SUM(AA9:AL9)</f>
        <v>0</v>
      </c>
    </row>
    <row r="10" spans="1:55">
      <c r="A10" s="18" t="s">
        <v>261</v>
      </c>
      <c r="B10" s="16"/>
      <c r="C10" s="25">
        <f>IFERROR(C9/C7,0)</f>
        <v>0</v>
      </c>
      <c r="D10" s="25">
        <f>IFERROR(D9/D7,0)</f>
        <v>0</v>
      </c>
      <c r="E10" s="25">
        <f>IFERROR(E9/E7,0)</f>
        <v>0</v>
      </c>
      <c r="F10" s="25">
        <f>IFERROR(F9/F7,0)</f>
        <v>0</v>
      </c>
      <c r="G10" s="25">
        <f>IFERROR(G9/G7,0)</f>
        <v>0</v>
      </c>
      <c r="H10" s="25">
        <f>IFERROR(H9/H7,0)</f>
        <v>0</v>
      </c>
      <c r="I10" s="25">
        <f>IFERROR(I9/I7,0)</f>
        <v>0</v>
      </c>
      <c r="J10" s="25">
        <f>IFERROR(J9/J7,0)</f>
        <v>0</v>
      </c>
      <c r="K10" s="25">
        <f>IFERROR(K9/K7,0)</f>
        <v>0</v>
      </c>
      <c r="L10" s="25">
        <f>IFERROR(L9/L7,0)</f>
        <v>0</v>
      </c>
      <c r="M10" s="25">
        <f>IFERROR(M9/M7,0)</f>
        <v>0</v>
      </c>
      <c r="N10" s="25">
        <f>IFERROR(N9/N7,0)</f>
        <v>0</v>
      </c>
      <c r="O10" s="25">
        <f>IFERROR(O9/O7,0)</f>
        <v>0</v>
      </c>
      <c r="P10" s="25">
        <f>IFERROR(P9/P7,0)</f>
        <v>0</v>
      </c>
      <c r="Q10" s="25">
        <f>IFERROR(Q9/Q7,0)</f>
        <v>0</v>
      </c>
      <c r="R10" s="25">
        <f>IFERROR(R9/R7,0)</f>
        <v>0</v>
      </c>
      <c r="S10" s="25">
        <f>IFERROR(S9/S7,0)</f>
        <v>0</v>
      </c>
      <c r="T10" s="25">
        <f>IFERROR(T9/T7,0)</f>
        <v>0</v>
      </c>
      <c r="U10" s="25">
        <f>IFERROR(U9/U7,0)</f>
        <v>0</v>
      </c>
      <c r="V10" s="25">
        <f>IFERROR(V9/V7,0)</f>
        <v>0</v>
      </c>
      <c r="W10" s="25">
        <f>IFERROR(W9/W7,0)</f>
        <v>0</v>
      </c>
      <c r="X10" s="25">
        <f>IFERROR(X9/X7,0)</f>
        <v>0</v>
      </c>
      <c r="Y10" s="25">
        <f>IFERROR(Y9/Y7,0)</f>
        <v>0</v>
      </c>
      <c r="Z10" s="25">
        <f>IFERROR(Z9/Z7,0)</f>
        <v>0</v>
      </c>
      <c r="AA10" s="25">
        <f>IFERROR(AA9/AA7,0)</f>
        <v>0</v>
      </c>
      <c r="AB10" s="25">
        <f>IFERROR(AB9/AB7,0)</f>
        <v>0</v>
      </c>
      <c r="AC10" s="25">
        <f>IFERROR(AC9/AC7,0)</f>
        <v>0</v>
      </c>
      <c r="AD10" s="25">
        <f>IFERROR(AD9/AD7,0)</f>
        <v>0</v>
      </c>
      <c r="AE10" s="25">
        <f>IFERROR(AE9/AE7,0)</f>
        <v>0</v>
      </c>
      <c r="AF10" s="25">
        <f>IFERROR(AF9/AF7,0)</f>
        <v>0</v>
      </c>
      <c r="AG10" s="25">
        <f>IFERROR(AG9/AG7,0)</f>
        <v>0</v>
      </c>
      <c r="AH10" s="25">
        <f>IFERROR(AH9/AH7,0)</f>
        <v>0</v>
      </c>
      <c r="AI10" s="25">
        <f>IFERROR(AI9/AI7,0)</f>
        <v>0</v>
      </c>
      <c r="AJ10" s="25">
        <f>IFERROR(AJ9/AJ7,0)</f>
        <v>0</v>
      </c>
      <c r="AK10" s="25">
        <f>IFERROR(AK9/AK7,0)</f>
        <v>0</v>
      </c>
      <c r="AL10" s="25">
        <f>IFERROR(AL9/AL7,0)</f>
        <v>0</v>
      </c>
      <c r="AN10" s="25">
        <f>AVERAGE(C10:E10)</f>
        <v>0</v>
      </c>
      <c r="AO10" s="25">
        <f>AVERAGE(F10:H10)</f>
        <v>0</v>
      </c>
      <c r="AP10" s="25">
        <f>AVERAGE(I10:K10)</f>
        <v>0</v>
      </c>
      <c r="AQ10" s="25">
        <f>AVERAGE(L10:N10)</f>
        <v>0</v>
      </c>
      <c r="AR10" s="25">
        <f>AVERAGE(O10:Q10)</f>
        <v>0</v>
      </c>
      <c r="AS10" s="25">
        <f>AVERAGE(R10:T10)</f>
        <v>0</v>
      </c>
      <c r="AT10" s="25">
        <f>AVERAGE(U10:W10)</f>
        <v>0</v>
      </c>
      <c r="AU10" s="25">
        <f>AVERAGE(X10:Z10)</f>
        <v>0</v>
      </c>
      <c r="AV10" s="25">
        <f>AVERAGE(AA10:AC10)</f>
        <v>0</v>
      </c>
      <c r="AW10" s="25">
        <f>AVERAGE(AD10:AF10)</f>
        <v>0</v>
      </c>
      <c r="AX10" s="25">
        <f>AVERAGE(AG10:AI10)</f>
        <v>0</v>
      </c>
      <c r="AY10" s="25">
        <f>AVERAGE(AJ10:AL10)</f>
        <v>0</v>
      </c>
      <c r="BA10" s="25">
        <f>AVERAGE(C10:N10)</f>
        <v>0</v>
      </c>
      <c r="BB10" s="25">
        <f>AVERAGE(O10:Z10)</f>
        <v>0</v>
      </c>
      <c r="BC10" s="25">
        <f>AVERAGE(AA10:AL10)</f>
        <v>0</v>
      </c>
    </row>
    <row r="11" spans="1:55" ht="5" customHeight="1"/>
    <row r="12" spans="1:55" ht="16" customHeight="1">
      <c r="A12" s="14" t="s">
        <v>333</v>
      </c>
      <c r="B12" s="14"/>
      <c r="C12" s="14"/>
      <c r="D12" s="14"/>
      <c r="E12" s="14"/>
      <c r="F12" s="14"/>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row>
    <row r="13" spans="1:55">
      <c r="A13" s="18" t="s">
        <v>334</v>
      </c>
      <c r="B13" s="16"/>
      <c r="C13" s="20">
        <f>'Opex'!$C$13</f>
        <v>0</v>
      </c>
      <c r="D13" s="20">
        <f>'Opex'!$D$13</f>
        <v>0</v>
      </c>
      <c r="E13" s="20">
        <f>'Opex'!$E$13</f>
        <v>0</v>
      </c>
      <c r="F13" s="20">
        <f>'Opex'!$F$13</f>
        <v>0</v>
      </c>
      <c r="G13" s="20">
        <f>'Opex'!$G$13</f>
        <v>0</v>
      </c>
      <c r="H13" s="20">
        <f>'Opex'!$H$13</f>
        <v>0</v>
      </c>
      <c r="I13" s="20">
        <f>'Opex'!$I$13</f>
        <v>0</v>
      </c>
      <c r="J13" s="20">
        <f>'Opex'!$J$13</f>
        <v>0</v>
      </c>
      <c r="K13" s="20">
        <f>'Opex'!$K$13</f>
        <v>0</v>
      </c>
      <c r="L13" s="20">
        <f>'Opex'!$L$13</f>
        <v>0</v>
      </c>
      <c r="M13" s="20">
        <f>'Opex'!$M$13</f>
        <v>0</v>
      </c>
      <c r="N13" s="20">
        <f>'Opex'!$N$13</f>
        <v>0</v>
      </c>
      <c r="O13" s="20">
        <f>'Opex'!$O$13</f>
        <v>0</v>
      </c>
      <c r="P13" s="20">
        <f>'Opex'!$P$13</f>
        <v>0</v>
      </c>
      <c r="Q13" s="20">
        <f>'Opex'!$Q$13</f>
        <v>0</v>
      </c>
      <c r="R13" s="20">
        <f>'Opex'!$R$13</f>
        <v>0</v>
      </c>
      <c r="S13" s="20">
        <f>'Opex'!$S$13</f>
        <v>0</v>
      </c>
      <c r="T13" s="20">
        <f>'Opex'!$T$13</f>
        <v>0</v>
      </c>
      <c r="U13" s="20">
        <f>'Opex'!$U$13</f>
        <v>0</v>
      </c>
      <c r="V13" s="20">
        <f>'Opex'!$V$13</f>
        <v>0</v>
      </c>
      <c r="W13" s="20">
        <f>'Opex'!$W$13</f>
        <v>0</v>
      </c>
      <c r="X13" s="20">
        <f>'Opex'!$X$13</f>
        <v>0</v>
      </c>
      <c r="Y13" s="20">
        <f>'Opex'!$Y$13</f>
        <v>0</v>
      </c>
      <c r="Z13" s="20">
        <f>'Opex'!$Z$13</f>
        <v>0</v>
      </c>
      <c r="AA13" s="20">
        <f>'Opex'!$AA$13</f>
        <v>0</v>
      </c>
      <c r="AB13" s="20">
        <f>'Opex'!$AB$13</f>
        <v>0</v>
      </c>
      <c r="AC13" s="20">
        <f>'Opex'!$AC$13</f>
        <v>0</v>
      </c>
      <c r="AD13" s="20">
        <f>'Opex'!$AD$13</f>
        <v>0</v>
      </c>
      <c r="AE13" s="20">
        <f>'Opex'!$AE$13</f>
        <v>0</v>
      </c>
      <c r="AF13" s="20">
        <f>'Opex'!$AF$13</f>
        <v>0</v>
      </c>
      <c r="AG13" s="20">
        <f>'Opex'!$AG$13</f>
        <v>0</v>
      </c>
      <c r="AH13" s="20">
        <f>'Opex'!$AH$13</f>
        <v>0</v>
      </c>
      <c r="AI13" s="20">
        <f>'Opex'!$AI$13</f>
        <v>0</v>
      </c>
      <c r="AJ13" s="20">
        <f>'Opex'!$AJ$13</f>
        <v>0</v>
      </c>
      <c r="AK13" s="20">
        <f>'Opex'!$AK$13</f>
        <v>0</v>
      </c>
      <c r="AL13" s="20">
        <f>'Opex'!$AL$13</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18" t="s">
        <v>335</v>
      </c>
      <c r="B14" s="16"/>
      <c r="C14" s="20">
        <f>'Opex'!$C$18</f>
        <v>0</v>
      </c>
      <c r="D14" s="20">
        <f>'Opex'!$D$18</f>
        <v>0</v>
      </c>
      <c r="E14" s="20">
        <f>'Opex'!$E$18</f>
        <v>0</v>
      </c>
      <c r="F14" s="20">
        <f>'Opex'!$F$18</f>
        <v>0</v>
      </c>
      <c r="G14" s="20">
        <f>'Opex'!$G$18</f>
        <v>0</v>
      </c>
      <c r="H14" s="20">
        <f>'Opex'!$H$18</f>
        <v>0</v>
      </c>
      <c r="I14" s="20">
        <f>'Opex'!$I$18</f>
        <v>0</v>
      </c>
      <c r="J14" s="20">
        <f>'Opex'!$J$18</f>
        <v>0</v>
      </c>
      <c r="K14" s="20">
        <f>'Opex'!$K$18</f>
        <v>0</v>
      </c>
      <c r="L14" s="20">
        <f>'Opex'!$L$18</f>
        <v>0</v>
      </c>
      <c r="M14" s="20">
        <f>'Opex'!$M$18</f>
        <v>0</v>
      </c>
      <c r="N14" s="20">
        <f>'Opex'!$N$18</f>
        <v>0</v>
      </c>
      <c r="O14" s="20">
        <f>'Opex'!$O$18</f>
        <v>0</v>
      </c>
      <c r="P14" s="20">
        <f>'Opex'!$P$18</f>
        <v>0</v>
      </c>
      <c r="Q14" s="20">
        <f>'Opex'!$Q$18</f>
        <v>0</v>
      </c>
      <c r="R14" s="20">
        <f>'Opex'!$R$18</f>
        <v>0</v>
      </c>
      <c r="S14" s="20">
        <f>'Opex'!$S$18</f>
        <v>0</v>
      </c>
      <c r="T14" s="20">
        <f>'Opex'!$T$18</f>
        <v>0</v>
      </c>
      <c r="U14" s="20">
        <f>'Opex'!$U$18</f>
        <v>0</v>
      </c>
      <c r="V14" s="20">
        <f>'Opex'!$V$18</f>
        <v>0</v>
      </c>
      <c r="W14" s="20">
        <f>'Opex'!$W$18</f>
        <v>0</v>
      </c>
      <c r="X14" s="20">
        <f>'Opex'!$X$18</f>
        <v>0</v>
      </c>
      <c r="Y14" s="20">
        <f>'Opex'!$Y$18</f>
        <v>0</v>
      </c>
      <c r="Z14" s="20">
        <f>'Opex'!$Z$18</f>
        <v>0</v>
      </c>
      <c r="AA14" s="20">
        <f>'Opex'!$AA$18</f>
        <v>0</v>
      </c>
      <c r="AB14" s="20">
        <f>'Opex'!$AB$18</f>
        <v>0</v>
      </c>
      <c r="AC14" s="20">
        <f>'Opex'!$AC$18</f>
        <v>0</v>
      </c>
      <c r="AD14" s="20">
        <f>'Opex'!$AD$18</f>
        <v>0</v>
      </c>
      <c r="AE14" s="20">
        <f>'Opex'!$AE$18</f>
        <v>0</v>
      </c>
      <c r="AF14" s="20">
        <f>'Opex'!$AF$18</f>
        <v>0</v>
      </c>
      <c r="AG14" s="20">
        <f>'Opex'!$AG$18</f>
        <v>0</v>
      </c>
      <c r="AH14" s="20">
        <f>'Opex'!$AH$18</f>
        <v>0</v>
      </c>
      <c r="AI14" s="20">
        <f>'Opex'!$AI$18</f>
        <v>0</v>
      </c>
      <c r="AJ14" s="20">
        <f>'Opex'!$AJ$18</f>
        <v>0</v>
      </c>
      <c r="AK14" s="20">
        <f>'Opex'!$AK$18</f>
        <v>0</v>
      </c>
      <c r="AL14" s="20">
        <f>'Opex'!$AL$18</f>
        <v>0</v>
      </c>
      <c r="AN14" s="20">
        <f>SUM(C14:E14)</f>
        <v>0</v>
      </c>
      <c r="AO14" s="20">
        <f>SUM(F14:H14)</f>
        <v>0</v>
      </c>
      <c r="AP14" s="20">
        <f>SUM(I14:K14)</f>
        <v>0</v>
      </c>
      <c r="AQ14" s="20">
        <f>SUM(L14:N14)</f>
        <v>0</v>
      </c>
      <c r="AR14" s="20">
        <f>SUM(O14:Q14)</f>
        <v>0</v>
      </c>
      <c r="AS14" s="20">
        <f>SUM(R14:T14)</f>
        <v>0</v>
      </c>
      <c r="AT14" s="20">
        <f>SUM(U14:W14)</f>
        <v>0</v>
      </c>
      <c r="AU14" s="20">
        <f>SUM(X14:Z14)</f>
        <v>0</v>
      </c>
      <c r="AV14" s="20">
        <f>SUM(AA14:AC14)</f>
        <v>0</v>
      </c>
      <c r="AW14" s="20">
        <f>SUM(AD14:AF14)</f>
        <v>0</v>
      </c>
      <c r="AX14" s="20">
        <f>SUM(AG14:AI14)</f>
        <v>0</v>
      </c>
      <c r="AY14" s="20">
        <f>SUM(AJ14:AL14)</f>
        <v>0</v>
      </c>
      <c r="BA14" s="20">
        <f>SUM(C14:N14)</f>
        <v>0</v>
      </c>
      <c r="BB14" s="20">
        <f>SUM(O14:Z14)</f>
        <v>0</v>
      </c>
      <c r="BC14" s="20">
        <f>SUM(AA14:AL14)</f>
        <v>0</v>
      </c>
    </row>
    <row r="15" spans="1:55">
      <c r="A15" s="18" t="s">
        <v>336</v>
      </c>
      <c r="B15" s="16"/>
      <c r="C15" s="20">
        <f>'Opex'!$C$23</f>
        <v>0</v>
      </c>
      <c r="D15" s="20">
        <f>'Opex'!$D$23</f>
        <v>0</v>
      </c>
      <c r="E15" s="20">
        <f>'Opex'!$E$23</f>
        <v>0</v>
      </c>
      <c r="F15" s="20">
        <f>'Opex'!$F$23</f>
        <v>0</v>
      </c>
      <c r="G15" s="20">
        <f>'Opex'!$G$23</f>
        <v>0</v>
      </c>
      <c r="H15" s="20">
        <f>'Opex'!$H$23</f>
        <v>0</v>
      </c>
      <c r="I15" s="20">
        <f>'Opex'!$I$23</f>
        <v>0</v>
      </c>
      <c r="J15" s="20">
        <f>'Opex'!$J$23</f>
        <v>0</v>
      </c>
      <c r="K15" s="20">
        <f>'Opex'!$K$23</f>
        <v>0</v>
      </c>
      <c r="L15" s="20">
        <f>'Opex'!$L$23</f>
        <v>0</v>
      </c>
      <c r="M15" s="20">
        <f>'Opex'!$M$23</f>
        <v>0</v>
      </c>
      <c r="N15" s="20">
        <f>'Opex'!$N$23</f>
        <v>0</v>
      </c>
      <c r="O15" s="20">
        <f>'Opex'!$O$23</f>
        <v>0</v>
      </c>
      <c r="P15" s="20">
        <f>'Opex'!$P$23</f>
        <v>0</v>
      </c>
      <c r="Q15" s="20">
        <f>'Opex'!$Q$23</f>
        <v>0</v>
      </c>
      <c r="R15" s="20">
        <f>'Opex'!$R$23</f>
        <v>0</v>
      </c>
      <c r="S15" s="20">
        <f>'Opex'!$S$23</f>
        <v>0</v>
      </c>
      <c r="T15" s="20">
        <f>'Opex'!$T$23</f>
        <v>0</v>
      </c>
      <c r="U15" s="20">
        <f>'Opex'!$U$23</f>
        <v>0</v>
      </c>
      <c r="V15" s="20">
        <f>'Opex'!$V$23</f>
        <v>0</v>
      </c>
      <c r="W15" s="20">
        <f>'Opex'!$W$23</f>
        <v>0</v>
      </c>
      <c r="X15" s="20">
        <f>'Opex'!$X$23</f>
        <v>0</v>
      </c>
      <c r="Y15" s="20">
        <f>'Opex'!$Y$23</f>
        <v>0</v>
      </c>
      <c r="Z15" s="20">
        <f>'Opex'!$Z$23</f>
        <v>0</v>
      </c>
      <c r="AA15" s="20">
        <f>'Opex'!$AA$23</f>
        <v>0</v>
      </c>
      <c r="AB15" s="20">
        <f>'Opex'!$AB$23</f>
        <v>0</v>
      </c>
      <c r="AC15" s="20">
        <f>'Opex'!$AC$23</f>
        <v>0</v>
      </c>
      <c r="AD15" s="20">
        <f>'Opex'!$AD$23</f>
        <v>0</v>
      </c>
      <c r="AE15" s="20">
        <f>'Opex'!$AE$23</f>
        <v>0</v>
      </c>
      <c r="AF15" s="20">
        <f>'Opex'!$AF$23</f>
        <v>0</v>
      </c>
      <c r="AG15" s="20">
        <f>'Opex'!$AG$23</f>
        <v>0</v>
      </c>
      <c r="AH15" s="20">
        <f>'Opex'!$AH$23</f>
        <v>0</v>
      </c>
      <c r="AI15" s="20">
        <f>'Opex'!$AI$23</f>
        <v>0</v>
      </c>
      <c r="AJ15" s="20">
        <f>'Opex'!$AJ$23</f>
        <v>0</v>
      </c>
      <c r="AK15" s="20">
        <f>'Opex'!$AK$23</f>
        <v>0</v>
      </c>
      <c r="AL15" s="20">
        <f>'Opex'!$AL$23</f>
        <v>0</v>
      </c>
      <c r="AN15" s="20">
        <f>SUM(C15:E15)</f>
        <v>0</v>
      </c>
      <c r="AO15" s="20">
        <f>SUM(F15:H15)</f>
        <v>0</v>
      </c>
      <c r="AP15" s="20">
        <f>SUM(I15:K15)</f>
        <v>0</v>
      </c>
      <c r="AQ15" s="20">
        <f>SUM(L15:N15)</f>
        <v>0</v>
      </c>
      <c r="AR15" s="20">
        <f>SUM(O15:Q15)</f>
        <v>0</v>
      </c>
      <c r="AS15" s="20">
        <f>SUM(R15:T15)</f>
        <v>0</v>
      </c>
      <c r="AT15" s="20">
        <f>SUM(U15:W15)</f>
        <v>0</v>
      </c>
      <c r="AU15" s="20">
        <f>SUM(X15:Z15)</f>
        <v>0</v>
      </c>
      <c r="AV15" s="20">
        <f>SUM(AA15:AC15)</f>
        <v>0</v>
      </c>
      <c r="AW15" s="20">
        <f>SUM(AD15:AF15)</f>
        <v>0</v>
      </c>
      <c r="AX15" s="20">
        <f>SUM(AG15:AI15)</f>
        <v>0</v>
      </c>
      <c r="AY15" s="20">
        <f>SUM(AJ15:AL15)</f>
        <v>0</v>
      </c>
      <c r="BA15" s="20">
        <f>SUM(C15:N15)</f>
        <v>0</v>
      </c>
      <c r="BB15" s="20">
        <f>SUM(O15:Z15)</f>
        <v>0</v>
      </c>
      <c r="BC15" s="20">
        <f>SUM(AA15:AL15)</f>
        <v>0</v>
      </c>
    </row>
    <row r="16" spans="1:55">
      <c r="A16" s="28" t="s">
        <v>337</v>
      </c>
      <c r="B16" s="16"/>
      <c r="C16" s="29">
        <f>C13+C14+C15</f>
        <v>0</v>
      </c>
      <c r="D16" s="29">
        <f>D13+D14+D15</f>
        <v>0</v>
      </c>
      <c r="E16" s="29">
        <f>E13+E14+E15</f>
        <v>0</v>
      </c>
      <c r="F16" s="29">
        <f>F13+F14+F15</f>
        <v>0</v>
      </c>
      <c r="G16" s="29">
        <f>G13+G14+G15</f>
        <v>0</v>
      </c>
      <c r="H16" s="29">
        <f>H13+H14+H15</f>
        <v>0</v>
      </c>
      <c r="I16" s="29">
        <f>I13+I14+I15</f>
        <v>0</v>
      </c>
      <c r="J16" s="29">
        <f>J13+J14+J15</f>
        <v>0</v>
      </c>
      <c r="K16" s="29">
        <f>K13+K14+K15</f>
        <v>0</v>
      </c>
      <c r="L16" s="29">
        <f>L13+L14+L15</f>
        <v>0</v>
      </c>
      <c r="M16" s="29">
        <f>M13+M14+M15</f>
        <v>0</v>
      </c>
      <c r="N16" s="29">
        <f>N13+N14+N15</f>
        <v>0</v>
      </c>
      <c r="O16" s="29">
        <f>O13+O14+O15</f>
        <v>0</v>
      </c>
      <c r="P16" s="29">
        <f>P13+P14+P15</f>
        <v>0</v>
      </c>
      <c r="Q16" s="29">
        <f>Q13+Q14+Q15</f>
        <v>0</v>
      </c>
      <c r="R16" s="29">
        <f>R13+R14+R15</f>
        <v>0</v>
      </c>
      <c r="S16" s="29">
        <f>S13+S14+S15</f>
        <v>0</v>
      </c>
      <c r="T16" s="29">
        <f>T13+T14+T15</f>
        <v>0</v>
      </c>
      <c r="U16" s="29">
        <f>U13+U14+U15</f>
        <v>0</v>
      </c>
      <c r="V16" s="29">
        <f>V13+V14+V15</f>
        <v>0</v>
      </c>
      <c r="W16" s="29">
        <f>W13+W14+W15</f>
        <v>0</v>
      </c>
      <c r="X16" s="29">
        <f>X13+X14+X15</f>
        <v>0</v>
      </c>
      <c r="Y16" s="29">
        <f>Y13+Y14+Y15</f>
        <v>0</v>
      </c>
      <c r="Z16" s="29">
        <f>Z13+Z14+Z15</f>
        <v>0</v>
      </c>
      <c r="AA16" s="29">
        <f>AA13+AA14+AA15</f>
        <v>0</v>
      </c>
      <c r="AB16" s="29">
        <f>AB13+AB14+AB15</f>
        <v>0</v>
      </c>
      <c r="AC16" s="29">
        <f>AC13+AC14+AC15</f>
        <v>0</v>
      </c>
      <c r="AD16" s="29">
        <f>AD13+AD14+AD15</f>
        <v>0</v>
      </c>
      <c r="AE16" s="29">
        <f>AE13+AE14+AE15</f>
        <v>0</v>
      </c>
      <c r="AF16" s="29">
        <f>AF13+AF14+AF15</f>
        <v>0</v>
      </c>
      <c r="AG16" s="29">
        <f>AG13+AG14+AG15</f>
        <v>0</v>
      </c>
      <c r="AH16" s="29">
        <f>AH13+AH14+AH15</f>
        <v>0</v>
      </c>
      <c r="AI16" s="29">
        <f>AI13+AI14+AI15</f>
        <v>0</v>
      </c>
      <c r="AJ16" s="29">
        <f>AJ13+AJ14+AJ15</f>
        <v>0</v>
      </c>
      <c r="AK16" s="29">
        <f>AK13+AK14+AK15</f>
        <v>0</v>
      </c>
      <c r="AL16" s="29">
        <f>AL13+AL14+AL15</f>
        <v>0</v>
      </c>
      <c r="AN16" s="29">
        <f>SUM(C16:E16)</f>
        <v>0</v>
      </c>
      <c r="AO16" s="29">
        <f>SUM(F16:H16)</f>
        <v>0</v>
      </c>
      <c r="AP16" s="29">
        <f>SUM(I16:K16)</f>
        <v>0</v>
      </c>
      <c r="AQ16" s="29">
        <f>SUM(L16:N16)</f>
        <v>0</v>
      </c>
      <c r="AR16" s="29">
        <f>SUM(O16:Q16)</f>
        <v>0</v>
      </c>
      <c r="AS16" s="29">
        <f>SUM(R16:T16)</f>
        <v>0</v>
      </c>
      <c r="AT16" s="29">
        <f>SUM(U16:W16)</f>
        <v>0</v>
      </c>
      <c r="AU16" s="29">
        <f>SUM(X16:Z16)</f>
        <v>0</v>
      </c>
      <c r="AV16" s="29">
        <f>SUM(AA16:AC16)</f>
        <v>0</v>
      </c>
      <c r="AW16" s="29">
        <f>SUM(AD16:AF16)</f>
        <v>0</v>
      </c>
      <c r="AX16" s="29">
        <f>SUM(AG16:AI16)</f>
        <v>0</v>
      </c>
      <c r="AY16" s="29">
        <f>SUM(AJ16:AL16)</f>
        <v>0</v>
      </c>
      <c r="BA16" s="29">
        <f>SUM(C16:N16)</f>
        <v>0</v>
      </c>
      <c r="BB16" s="29">
        <f>SUM(O16:Z16)</f>
        <v>0</v>
      </c>
      <c r="BC16" s="29">
        <f>SUM(AA16:AL16)</f>
        <v>0</v>
      </c>
    </row>
    <row r="17" spans="1:55" ht="5" customHeight="1"/>
    <row r="18" spans="1:55">
      <c r="A18" s="28" t="s">
        <v>338</v>
      </c>
      <c r="B18" s="16"/>
      <c r="C18" s="29">
        <f>C9-C16</f>
        <v>0</v>
      </c>
      <c r="D18" s="29">
        <f>D9-D16</f>
        <v>0</v>
      </c>
      <c r="E18" s="29">
        <f>E9-E16</f>
        <v>0</v>
      </c>
      <c r="F18" s="29">
        <f>F9-F16</f>
        <v>0</v>
      </c>
      <c r="G18" s="29">
        <f>G9-G16</f>
        <v>0</v>
      </c>
      <c r="H18" s="29">
        <f>H9-H16</f>
        <v>0</v>
      </c>
      <c r="I18" s="29">
        <f>I9-I16</f>
        <v>0</v>
      </c>
      <c r="J18" s="29">
        <f>J9-J16</f>
        <v>0</v>
      </c>
      <c r="K18" s="29">
        <f>K9-K16</f>
        <v>0</v>
      </c>
      <c r="L18" s="29">
        <f>L9-L16</f>
        <v>0</v>
      </c>
      <c r="M18" s="29">
        <f>M9-M16</f>
        <v>0</v>
      </c>
      <c r="N18" s="29">
        <f>N9-N16</f>
        <v>0</v>
      </c>
      <c r="O18" s="29">
        <f>O9-O16</f>
        <v>0</v>
      </c>
      <c r="P18" s="29">
        <f>P9-P16</f>
        <v>0</v>
      </c>
      <c r="Q18" s="29">
        <f>Q9-Q16</f>
        <v>0</v>
      </c>
      <c r="R18" s="29">
        <f>R9-R16</f>
        <v>0</v>
      </c>
      <c r="S18" s="29">
        <f>S9-S16</f>
        <v>0</v>
      </c>
      <c r="T18" s="29">
        <f>T9-T16</f>
        <v>0</v>
      </c>
      <c r="U18" s="29">
        <f>U9-U16</f>
        <v>0</v>
      </c>
      <c r="V18" s="29">
        <f>V9-V16</f>
        <v>0</v>
      </c>
      <c r="W18" s="29">
        <f>W9-W16</f>
        <v>0</v>
      </c>
      <c r="X18" s="29">
        <f>X9-X16</f>
        <v>0</v>
      </c>
      <c r="Y18" s="29">
        <f>Y9-Y16</f>
        <v>0</v>
      </c>
      <c r="Z18" s="29">
        <f>Z9-Z16</f>
        <v>0</v>
      </c>
      <c r="AA18" s="29">
        <f>AA9-AA16</f>
        <v>0</v>
      </c>
      <c r="AB18" s="29">
        <f>AB9-AB16</f>
        <v>0</v>
      </c>
      <c r="AC18" s="29">
        <f>AC9-AC16</f>
        <v>0</v>
      </c>
      <c r="AD18" s="29">
        <f>AD9-AD16</f>
        <v>0</v>
      </c>
      <c r="AE18" s="29">
        <f>AE9-AE16</f>
        <v>0</v>
      </c>
      <c r="AF18" s="29">
        <f>AF9-AF16</f>
        <v>0</v>
      </c>
      <c r="AG18" s="29">
        <f>AG9-AG16</f>
        <v>0</v>
      </c>
      <c r="AH18" s="29">
        <f>AH9-AH16</f>
        <v>0</v>
      </c>
      <c r="AI18" s="29">
        <f>AI9-AI16</f>
        <v>0</v>
      </c>
      <c r="AJ18" s="29">
        <f>AJ9-AJ16</f>
        <v>0</v>
      </c>
      <c r="AK18" s="29">
        <f>AK9-AK16</f>
        <v>0</v>
      </c>
      <c r="AL18" s="29">
        <f>AL9-AL16</f>
        <v>0</v>
      </c>
      <c r="AN18" s="29">
        <f>SUM(C18:E18)</f>
        <v>0</v>
      </c>
      <c r="AO18" s="29">
        <f>SUM(F18:H18)</f>
        <v>0</v>
      </c>
      <c r="AP18" s="29">
        <f>SUM(I18:K18)</f>
        <v>0</v>
      </c>
      <c r="AQ18" s="29">
        <f>SUM(L18:N18)</f>
        <v>0</v>
      </c>
      <c r="AR18" s="29">
        <f>SUM(O18:Q18)</f>
        <v>0</v>
      </c>
      <c r="AS18" s="29">
        <f>SUM(R18:T18)</f>
        <v>0</v>
      </c>
      <c r="AT18" s="29">
        <f>SUM(U18:W18)</f>
        <v>0</v>
      </c>
      <c r="AU18" s="29">
        <f>SUM(X18:Z18)</f>
        <v>0</v>
      </c>
      <c r="AV18" s="29">
        <f>SUM(AA18:AC18)</f>
        <v>0</v>
      </c>
      <c r="AW18" s="29">
        <f>SUM(AD18:AF18)</f>
        <v>0</v>
      </c>
      <c r="AX18" s="29">
        <f>SUM(AG18:AI18)</f>
        <v>0</v>
      </c>
      <c r="AY18" s="29">
        <f>SUM(AJ18:AL18)</f>
        <v>0</v>
      </c>
      <c r="BA18" s="29">
        <f>SUM(C18:N18)</f>
        <v>0</v>
      </c>
      <c r="BB18" s="29">
        <f>SUM(O18:Z18)</f>
        <v>0</v>
      </c>
      <c r="BC18" s="29">
        <f>SUM(AA18:AL18)</f>
        <v>0</v>
      </c>
    </row>
    <row r="19" spans="1:55">
      <c r="A19" s="18" t="s">
        <v>339</v>
      </c>
      <c r="B19" s="16"/>
      <c r="C19" s="20">
        <f>'Working Capital'!$C$19</f>
        <v>0</v>
      </c>
      <c r="D19" s="20">
        <f>'Working Capital'!$D$19</f>
        <v>0</v>
      </c>
      <c r="E19" s="20">
        <f>'Working Capital'!$E$19</f>
        <v>0</v>
      </c>
      <c r="F19" s="20">
        <f>'Working Capital'!$F$19</f>
        <v>0</v>
      </c>
      <c r="G19" s="20">
        <f>'Working Capital'!$G$19</f>
        <v>0</v>
      </c>
      <c r="H19" s="20">
        <f>'Working Capital'!$H$19</f>
        <v>0</v>
      </c>
      <c r="I19" s="20">
        <f>'Working Capital'!$I$19</f>
        <v>0</v>
      </c>
      <c r="J19" s="20">
        <f>'Working Capital'!$J$19</f>
        <v>0</v>
      </c>
      <c r="K19" s="20">
        <f>'Working Capital'!$K$19</f>
        <v>0</v>
      </c>
      <c r="L19" s="20">
        <f>'Working Capital'!$L$19</f>
        <v>0</v>
      </c>
      <c r="M19" s="20">
        <f>'Working Capital'!$M$19</f>
        <v>0</v>
      </c>
      <c r="N19" s="20">
        <f>'Working Capital'!$N$19</f>
        <v>0</v>
      </c>
      <c r="O19" s="20">
        <f>'Working Capital'!$O$19</f>
        <v>0</v>
      </c>
      <c r="P19" s="20">
        <f>'Working Capital'!$P$19</f>
        <v>0</v>
      </c>
      <c r="Q19" s="20">
        <f>'Working Capital'!$Q$19</f>
        <v>0</v>
      </c>
      <c r="R19" s="20">
        <f>'Working Capital'!$R$19</f>
        <v>0</v>
      </c>
      <c r="S19" s="20">
        <f>'Working Capital'!$S$19</f>
        <v>0</v>
      </c>
      <c r="T19" s="20">
        <f>'Working Capital'!$T$19</f>
        <v>0</v>
      </c>
      <c r="U19" s="20">
        <f>'Working Capital'!$U$19</f>
        <v>0</v>
      </c>
      <c r="V19" s="20">
        <f>'Working Capital'!$V$19</f>
        <v>0</v>
      </c>
      <c r="W19" s="20">
        <f>'Working Capital'!$W$19</f>
        <v>0</v>
      </c>
      <c r="X19" s="20">
        <f>'Working Capital'!$X$19</f>
        <v>0</v>
      </c>
      <c r="Y19" s="20">
        <f>'Working Capital'!$Y$19</f>
        <v>0</v>
      </c>
      <c r="Z19" s="20">
        <f>'Working Capital'!$Z$19</f>
        <v>0</v>
      </c>
      <c r="AA19" s="20">
        <f>'Working Capital'!$AA$19</f>
        <v>0</v>
      </c>
      <c r="AB19" s="20">
        <f>'Working Capital'!$AB$19</f>
        <v>0</v>
      </c>
      <c r="AC19" s="20">
        <f>'Working Capital'!$AC$19</f>
        <v>0</v>
      </c>
      <c r="AD19" s="20">
        <f>'Working Capital'!$AD$19</f>
        <v>0</v>
      </c>
      <c r="AE19" s="20">
        <f>'Working Capital'!$AE$19</f>
        <v>0</v>
      </c>
      <c r="AF19" s="20">
        <f>'Working Capital'!$AF$19</f>
        <v>0</v>
      </c>
      <c r="AG19" s="20">
        <f>'Working Capital'!$AG$19</f>
        <v>0</v>
      </c>
      <c r="AH19" s="20">
        <f>'Working Capital'!$AH$19</f>
        <v>0</v>
      </c>
      <c r="AI19" s="20">
        <f>'Working Capital'!$AI$19</f>
        <v>0</v>
      </c>
      <c r="AJ19" s="20">
        <f>'Working Capital'!$AJ$19</f>
        <v>0</v>
      </c>
      <c r="AK19" s="20">
        <f>'Working Capital'!$AK$19</f>
        <v>0</v>
      </c>
      <c r="AL19" s="20">
        <f>'Working Capital'!$AL$19</f>
        <v>0</v>
      </c>
      <c r="AN19" s="20">
        <f>SUM(C19:E19)</f>
        <v>0</v>
      </c>
      <c r="AO19" s="20">
        <f>SUM(F19:H19)</f>
        <v>0</v>
      </c>
      <c r="AP19" s="20">
        <f>SUM(I19:K19)</f>
        <v>0</v>
      </c>
      <c r="AQ19" s="20">
        <f>SUM(L19:N19)</f>
        <v>0</v>
      </c>
      <c r="AR19" s="20">
        <f>SUM(O19:Q19)</f>
        <v>0</v>
      </c>
      <c r="AS19" s="20">
        <f>SUM(R19:T19)</f>
        <v>0</v>
      </c>
      <c r="AT19" s="20">
        <f>SUM(U19:W19)</f>
        <v>0</v>
      </c>
      <c r="AU19" s="20">
        <f>SUM(X19:Z19)</f>
        <v>0</v>
      </c>
      <c r="AV19" s="20">
        <f>SUM(AA19:AC19)</f>
        <v>0</v>
      </c>
      <c r="AW19" s="20">
        <f>SUM(AD19:AF19)</f>
        <v>0</v>
      </c>
      <c r="AX19" s="20">
        <f>SUM(AG19:AI19)</f>
        <v>0</v>
      </c>
      <c r="AY19" s="20">
        <f>SUM(AJ19:AL19)</f>
        <v>0</v>
      </c>
      <c r="BA19" s="20">
        <f>SUM(C19:N19)</f>
        <v>0</v>
      </c>
      <c r="BB19" s="20">
        <f>SUM(O19:Z19)</f>
        <v>0</v>
      </c>
      <c r="BC19" s="20">
        <f>SUM(AA19:AL19)</f>
        <v>0</v>
      </c>
    </row>
    <row r="20" spans="1:55">
      <c r="A20" s="28" t="s">
        <v>340</v>
      </c>
      <c r="B20" s="16"/>
      <c r="C20" s="29">
        <f>C18-C19</f>
        <v>0</v>
      </c>
      <c r="D20" s="29">
        <f>D18-D19</f>
        <v>0</v>
      </c>
      <c r="E20" s="29">
        <f>E18-E19</f>
        <v>0</v>
      </c>
      <c r="F20" s="29">
        <f>F18-F19</f>
        <v>0</v>
      </c>
      <c r="G20" s="29">
        <f>G18-G19</f>
        <v>0</v>
      </c>
      <c r="H20" s="29">
        <f>H18-H19</f>
        <v>0</v>
      </c>
      <c r="I20" s="29">
        <f>I18-I19</f>
        <v>0</v>
      </c>
      <c r="J20" s="29">
        <f>J18-J19</f>
        <v>0</v>
      </c>
      <c r="K20" s="29">
        <f>K18-K19</f>
        <v>0</v>
      </c>
      <c r="L20" s="29">
        <f>L18-L19</f>
        <v>0</v>
      </c>
      <c r="M20" s="29">
        <f>M18-M19</f>
        <v>0</v>
      </c>
      <c r="N20" s="29">
        <f>N18-N19</f>
        <v>0</v>
      </c>
      <c r="O20" s="29">
        <f>O18-O19</f>
        <v>0</v>
      </c>
      <c r="P20" s="29">
        <f>P18-P19</f>
        <v>0</v>
      </c>
      <c r="Q20" s="29">
        <f>Q18-Q19</f>
        <v>0</v>
      </c>
      <c r="R20" s="29">
        <f>R18-R19</f>
        <v>0</v>
      </c>
      <c r="S20" s="29">
        <f>S18-S19</f>
        <v>0</v>
      </c>
      <c r="T20" s="29">
        <f>T18-T19</f>
        <v>0</v>
      </c>
      <c r="U20" s="29">
        <f>U18-U19</f>
        <v>0</v>
      </c>
      <c r="V20" s="29">
        <f>V18-V19</f>
        <v>0</v>
      </c>
      <c r="W20" s="29">
        <f>W18-W19</f>
        <v>0</v>
      </c>
      <c r="X20" s="29">
        <f>X18-X19</f>
        <v>0</v>
      </c>
      <c r="Y20" s="29">
        <f>Y18-Y19</f>
        <v>0</v>
      </c>
      <c r="Z20" s="29">
        <f>Z18-Z19</f>
        <v>0</v>
      </c>
      <c r="AA20" s="29">
        <f>AA18-AA19</f>
        <v>0</v>
      </c>
      <c r="AB20" s="29">
        <f>AB18-AB19</f>
        <v>0</v>
      </c>
      <c r="AC20" s="29">
        <f>AC18-AC19</f>
        <v>0</v>
      </c>
      <c r="AD20" s="29">
        <f>AD18-AD19</f>
        <v>0</v>
      </c>
      <c r="AE20" s="29">
        <f>AE18-AE19</f>
        <v>0</v>
      </c>
      <c r="AF20" s="29">
        <f>AF18-AF19</f>
        <v>0</v>
      </c>
      <c r="AG20" s="29">
        <f>AG18-AG19</f>
        <v>0</v>
      </c>
      <c r="AH20" s="29">
        <f>AH18-AH19</f>
        <v>0</v>
      </c>
      <c r="AI20" s="29">
        <f>AI18-AI19</f>
        <v>0</v>
      </c>
      <c r="AJ20" s="29">
        <f>AJ18-AJ19</f>
        <v>0</v>
      </c>
      <c r="AK20" s="29">
        <f>AK18-AK19</f>
        <v>0</v>
      </c>
      <c r="AL20" s="29">
        <f>AL18-AL19</f>
        <v>0</v>
      </c>
      <c r="AN20" s="29">
        <f>SUM(C20:E20)</f>
        <v>0</v>
      </c>
      <c r="AO20" s="29">
        <f>SUM(F20:H20)</f>
        <v>0</v>
      </c>
      <c r="AP20" s="29">
        <f>SUM(I20:K20)</f>
        <v>0</v>
      </c>
      <c r="AQ20" s="29">
        <f>SUM(L20:N20)</f>
        <v>0</v>
      </c>
      <c r="AR20" s="29">
        <f>SUM(O20:Q20)</f>
        <v>0</v>
      </c>
      <c r="AS20" s="29">
        <f>SUM(R20:T20)</f>
        <v>0</v>
      </c>
      <c r="AT20" s="29">
        <f>SUM(U20:W20)</f>
        <v>0</v>
      </c>
      <c r="AU20" s="29">
        <f>SUM(X20:Z20)</f>
        <v>0</v>
      </c>
      <c r="AV20" s="29">
        <f>SUM(AA20:AC20)</f>
        <v>0</v>
      </c>
      <c r="AW20" s="29">
        <f>SUM(AD20:AF20)</f>
        <v>0</v>
      </c>
      <c r="AX20" s="29">
        <f>SUM(AG20:AI20)</f>
        <v>0</v>
      </c>
      <c r="AY20" s="29">
        <f>SUM(AJ20:AL20)</f>
        <v>0</v>
      </c>
      <c r="BA20" s="29">
        <f>SUM(C20:N20)</f>
        <v>0</v>
      </c>
      <c r="BB20" s="29">
        <f>SUM(O20:Z20)</f>
        <v>0</v>
      </c>
      <c r="BC20" s="29">
        <f>SUM(AA20:AL20)</f>
        <v>0</v>
      </c>
    </row>
    <row r="21" spans="1:55">
      <c r="A21" s="18" t="s">
        <v>341</v>
      </c>
      <c r="B21" s="16"/>
      <c r="C21" s="20">
        <f>'Working Capital'!$C$26</f>
        <v>0</v>
      </c>
      <c r="D21" s="20">
        <f>'Working Capital'!$D$26</f>
        <v>0</v>
      </c>
      <c r="E21" s="20">
        <f>'Working Capital'!$E$26</f>
        <v>0</v>
      </c>
      <c r="F21" s="20">
        <f>'Working Capital'!$F$26</f>
        <v>0</v>
      </c>
      <c r="G21" s="20">
        <f>'Working Capital'!$G$26</f>
        <v>0</v>
      </c>
      <c r="H21" s="20">
        <f>'Working Capital'!$H$26</f>
        <v>0</v>
      </c>
      <c r="I21" s="20">
        <f>'Working Capital'!$I$26</f>
        <v>0</v>
      </c>
      <c r="J21" s="20">
        <f>'Working Capital'!$J$26</f>
        <v>0</v>
      </c>
      <c r="K21" s="20">
        <f>'Working Capital'!$K$26</f>
        <v>0</v>
      </c>
      <c r="L21" s="20">
        <f>'Working Capital'!$L$26</f>
        <v>0</v>
      </c>
      <c r="M21" s="20">
        <f>'Working Capital'!$M$26</f>
        <v>0</v>
      </c>
      <c r="N21" s="20">
        <f>'Working Capital'!$N$26</f>
        <v>0</v>
      </c>
      <c r="O21" s="20">
        <f>'Working Capital'!$O$26</f>
        <v>0</v>
      </c>
      <c r="P21" s="20">
        <f>'Working Capital'!$P$26</f>
        <v>0</v>
      </c>
      <c r="Q21" s="20">
        <f>'Working Capital'!$Q$26</f>
        <v>0</v>
      </c>
      <c r="R21" s="20">
        <f>'Working Capital'!$R$26</f>
        <v>0</v>
      </c>
      <c r="S21" s="20">
        <f>'Working Capital'!$S$26</f>
        <v>0</v>
      </c>
      <c r="T21" s="20">
        <f>'Working Capital'!$T$26</f>
        <v>0</v>
      </c>
      <c r="U21" s="20">
        <f>'Working Capital'!$U$26</f>
        <v>0</v>
      </c>
      <c r="V21" s="20">
        <f>'Working Capital'!$V$26</f>
        <v>0</v>
      </c>
      <c r="W21" s="20">
        <f>'Working Capital'!$W$26</f>
        <v>0</v>
      </c>
      <c r="X21" s="20">
        <f>'Working Capital'!$X$26</f>
        <v>0</v>
      </c>
      <c r="Y21" s="20">
        <f>'Working Capital'!$Y$26</f>
        <v>0</v>
      </c>
      <c r="Z21" s="20">
        <f>'Working Capital'!$Z$26</f>
        <v>0</v>
      </c>
      <c r="AA21" s="20">
        <f>'Working Capital'!$AA$26</f>
        <v>0</v>
      </c>
      <c r="AB21" s="20">
        <f>'Working Capital'!$AB$26</f>
        <v>0</v>
      </c>
      <c r="AC21" s="20">
        <f>'Working Capital'!$AC$26</f>
        <v>0</v>
      </c>
      <c r="AD21" s="20">
        <f>'Working Capital'!$AD$26</f>
        <v>0</v>
      </c>
      <c r="AE21" s="20">
        <f>'Working Capital'!$AE$26</f>
        <v>0</v>
      </c>
      <c r="AF21" s="20">
        <f>'Working Capital'!$AF$26</f>
        <v>0</v>
      </c>
      <c r="AG21" s="20">
        <f>'Working Capital'!$AG$26</f>
        <v>0</v>
      </c>
      <c r="AH21" s="20">
        <f>'Working Capital'!$AH$26</f>
        <v>0</v>
      </c>
      <c r="AI21" s="20">
        <f>'Working Capital'!$AI$26</f>
        <v>0</v>
      </c>
      <c r="AJ21" s="20">
        <f>'Working Capital'!$AJ$26</f>
        <v>0</v>
      </c>
      <c r="AK21" s="20">
        <f>'Working Capital'!$AK$26</f>
        <v>0</v>
      </c>
      <c r="AL21" s="20">
        <f>'Working Capital'!$AL$26</f>
        <v>0</v>
      </c>
      <c r="AN21" s="20">
        <f>SUM(C21:E21)</f>
        <v>0</v>
      </c>
      <c r="AO21" s="20">
        <f>SUM(F21:H21)</f>
        <v>0</v>
      </c>
      <c r="AP21" s="20">
        <f>SUM(I21:K21)</f>
        <v>0</v>
      </c>
      <c r="AQ21" s="20">
        <f>SUM(L21:N21)</f>
        <v>0</v>
      </c>
      <c r="AR21" s="20">
        <f>SUM(O21:Q21)</f>
        <v>0</v>
      </c>
      <c r="AS21" s="20">
        <f>SUM(R21:T21)</f>
        <v>0</v>
      </c>
      <c r="AT21" s="20">
        <f>SUM(U21:W21)</f>
        <v>0</v>
      </c>
      <c r="AU21" s="20">
        <f>SUM(X21:Z21)</f>
        <v>0</v>
      </c>
      <c r="AV21" s="20">
        <f>SUM(AA21:AC21)</f>
        <v>0</v>
      </c>
      <c r="AW21" s="20">
        <f>SUM(AD21:AF21)</f>
        <v>0</v>
      </c>
      <c r="AX21" s="20">
        <f>SUM(AG21:AI21)</f>
        <v>0</v>
      </c>
      <c r="AY21" s="20">
        <f>SUM(AJ21:AL21)</f>
        <v>0</v>
      </c>
      <c r="BA21" s="20">
        <f>SUM(C21:N21)</f>
        <v>0</v>
      </c>
      <c r="BB21" s="20">
        <f>SUM(O21:Z21)</f>
        <v>0</v>
      </c>
      <c r="BC21" s="20">
        <f>SUM(AA21:AL21)</f>
        <v>0</v>
      </c>
    </row>
    <row r="22" spans="1:55">
      <c r="A22" s="28" t="s">
        <v>342</v>
      </c>
      <c r="B22" s="16"/>
      <c r="C22" s="29">
        <f>C20-C21</f>
        <v>0</v>
      </c>
      <c r="D22" s="29">
        <f>D20-D21</f>
        <v>0</v>
      </c>
      <c r="E22" s="29">
        <f>E20-E21</f>
        <v>0</v>
      </c>
      <c r="F22" s="29">
        <f>F20-F21</f>
        <v>0</v>
      </c>
      <c r="G22" s="29">
        <f>G20-G21</f>
        <v>0</v>
      </c>
      <c r="H22" s="29">
        <f>H20-H21</f>
        <v>0</v>
      </c>
      <c r="I22" s="29">
        <f>I20-I21</f>
        <v>0</v>
      </c>
      <c r="J22" s="29">
        <f>J20-J21</f>
        <v>0</v>
      </c>
      <c r="K22" s="29">
        <f>K20-K21</f>
        <v>0</v>
      </c>
      <c r="L22" s="29">
        <f>L20-L21</f>
        <v>0</v>
      </c>
      <c r="M22" s="29">
        <f>M20-M21</f>
        <v>0</v>
      </c>
      <c r="N22" s="29">
        <f>N20-N21</f>
        <v>0</v>
      </c>
      <c r="O22" s="29">
        <f>O20-O21</f>
        <v>0</v>
      </c>
      <c r="P22" s="29">
        <f>P20-P21</f>
        <v>0</v>
      </c>
      <c r="Q22" s="29">
        <f>Q20-Q21</f>
        <v>0</v>
      </c>
      <c r="R22" s="29">
        <f>R20-R21</f>
        <v>0</v>
      </c>
      <c r="S22" s="29">
        <f>S20-S21</f>
        <v>0</v>
      </c>
      <c r="T22" s="29">
        <f>T20-T21</f>
        <v>0</v>
      </c>
      <c r="U22" s="29">
        <f>U20-U21</f>
        <v>0</v>
      </c>
      <c r="V22" s="29">
        <f>V20-V21</f>
        <v>0</v>
      </c>
      <c r="W22" s="29">
        <f>W20-W21</f>
        <v>0</v>
      </c>
      <c r="X22" s="29">
        <f>X20-X21</f>
        <v>0</v>
      </c>
      <c r="Y22" s="29">
        <f>Y20-Y21</f>
        <v>0</v>
      </c>
      <c r="Z22" s="29">
        <f>Z20-Z21</f>
        <v>0</v>
      </c>
      <c r="AA22" s="29">
        <f>AA20-AA21</f>
        <v>0</v>
      </c>
      <c r="AB22" s="29">
        <f>AB20-AB21</f>
        <v>0</v>
      </c>
      <c r="AC22" s="29">
        <f>AC20-AC21</f>
        <v>0</v>
      </c>
      <c r="AD22" s="29">
        <f>AD20-AD21</f>
        <v>0</v>
      </c>
      <c r="AE22" s="29">
        <f>AE20-AE21</f>
        <v>0</v>
      </c>
      <c r="AF22" s="29">
        <f>AF20-AF21</f>
        <v>0</v>
      </c>
      <c r="AG22" s="29">
        <f>AG20-AG21</f>
        <v>0</v>
      </c>
      <c r="AH22" s="29">
        <f>AH20-AH21</f>
        <v>0</v>
      </c>
      <c r="AI22" s="29">
        <f>AI20-AI21</f>
        <v>0</v>
      </c>
      <c r="AJ22" s="29">
        <f>AJ20-AJ21</f>
        <v>0</v>
      </c>
      <c r="AK22" s="29">
        <f>AK20-AK21</f>
        <v>0</v>
      </c>
      <c r="AL22" s="29">
        <f>AL20-AL21</f>
        <v>0</v>
      </c>
      <c r="AN22" s="29">
        <f>SUM(C22:E22)</f>
        <v>0</v>
      </c>
      <c r="AO22" s="29">
        <f>SUM(F22:H22)</f>
        <v>0</v>
      </c>
      <c r="AP22" s="29">
        <f>SUM(I22:K22)</f>
        <v>0</v>
      </c>
      <c r="AQ22" s="29">
        <f>SUM(L22:N22)</f>
        <v>0</v>
      </c>
      <c r="AR22" s="29">
        <f>SUM(O22:Q22)</f>
        <v>0</v>
      </c>
      <c r="AS22" s="29">
        <f>SUM(R22:T22)</f>
        <v>0</v>
      </c>
      <c r="AT22" s="29">
        <f>SUM(U22:W22)</f>
        <v>0</v>
      </c>
      <c r="AU22" s="29">
        <f>SUM(X22:Z22)</f>
        <v>0</v>
      </c>
      <c r="AV22" s="29">
        <f>SUM(AA22:AC22)</f>
        <v>0</v>
      </c>
      <c r="AW22" s="29">
        <f>SUM(AD22:AF22)</f>
        <v>0</v>
      </c>
      <c r="AX22" s="29">
        <f>SUM(AG22:AI22)</f>
        <v>0</v>
      </c>
      <c r="AY22" s="29">
        <f>SUM(AJ22:AL22)</f>
        <v>0</v>
      </c>
      <c r="BA22" s="29">
        <f>SUM(C22:N22)</f>
        <v>0</v>
      </c>
      <c r="BB22" s="29">
        <f>SUM(O22:Z22)</f>
        <v>0</v>
      </c>
      <c r="BC22" s="29">
        <f>SUM(AA22:AL22)</f>
        <v>0</v>
      </c>
    </row>
    <row r="23" spans="1:55">
      <c r="A23" s="18" t="s">
        <v>343</v>
      </c>
      <c r="B23" s="16" t="s">
        <v>344</v>
      </c>
      <c r="C23" s="20">
        <f>MAX(0,C22)*'Assumptions'!$F$10</f>
        <v>0</v>
      </c>
      <c r="D23" s="20">
        <f>MAX(0,D22)*'Assumptions'!$F$10</f>
        <v>0</v>
      </c>
      <c r="E23" s="20">
        <f>MAX(0,E22)*'Assumptions'!$F$10</f>
        <v>0</v>
      </c>
      <c r="F23" s="20">
        <f>MAX(0,F22)*'Assumptions'!$F$10</f>
        <v>0</v>
      </c>
      <c r="G23" s="20">
        <f>MAX(0,G22)*'Assumptions'!$F$10</f>
        <v>0</v>
      </c>
      <c r="H23" s="20">
        <f>MAX(0,H22)*'Assumptions'!$F$10</f>
        <v>0</v>
      </c>
      <c r="I23" s="20">
        <f>MAX(0,I22)*'Assumptions'!$F$10</f>
        <v>0</v>
      </c>
      <c r="J23" s="20">
        <f>MAX(0,J22)*'Assumptions'!$F$10</f>
        <v>0</v>
      </c>
      <c r="K23" s="20">
        <f>MAX(0,K22)*'Assumptions'!$F$10</f>
        <v>0</v>
      </c>
      <c r="L23" s="20">
        <f>MAX(0,L22)*'Assumptions'!$F$10</f>
        <v>0</v>
      </c>
      <c r="M23" s="20">
        <f>MAX(0,M22)*'Assumptions'!$F$10</f>
        <v>0</v>
      </c>
      <c r="N23" s="20">
        <f>MAX(0,N22)*'Assumptions'!$F$10</f>
        <v>0</v>
      </c>
      <c r="O23" s="20">
        <f>MAX(0,O22)*'Assumptions'!$F$10</f>
        <v>0</v>
      </c>
      <c r="P23" s="20">
        <f>MAX(0,P22)*'Assumptions'!$F$10</f>
        <v>0</v>
      </c>
      <c r="Q23" s="20">
        <f>MAX(0,Q22)*'Assumptions'!$F$10</f>
        <v>0</v>
      </c>
      <c r="R23" s="20">
        <f>MAX(0,R22)*'Assumptions'!$F$10</f>
        <v>0</v>
      </c>
      <c r="S23" s="20">
        <f>MAX(0,S22)*'Assumptions'!$F$10</f>
        <v>0</v>
      </c>
      <c r="T23" s="20">
        <f>MAX(0,T22)*'Assumptions'!$F$10</f>
        <v>0</v>
      </c>
      <c r="U23" s="20">
        <f>MAX(0,U22)*'Assumptions'!$F$10</f>
        <v>0</v>
      </c>
      <c r="V23" s="20">
        <f>MAX(0,V22)*'Assumptions'!$F$10</f>
        <v>0</v>
      </c>
      <c r="W23" s="20">
        <f>MAX(0,W22)*'Assumptions'!$F$10</f>
        <v>0</v>
      </c>
      <c r="X23" s="20">
        <f>MAX(0,X22)*'Assumptions'!$F$10</f>
        <v>0</v>
      </c>
      <c r="Y23" s="20">
        <f>MAX(0,Y22)*'Assumptions'!$F$10</f>
        <v>0</v>
      </c>
      <c r="Z23" s="20">
        <f>MAX(0,Z22)*'Assumptions'!$F$10</f>
        <v>0</v>
      </c>
      <c r="AA23" s="20">
        <f>MAX(0,AA22)*'Assumptions'!$F$10</f>
        <v>0</v>
      </c>
      <c r="AB23" s="20">
        <f>MAX(0,AB22)*'Assumptions'!$F$10</f>
        <v>0</v>
      </c>
      <c r="AC23" s="20">
        <f>MAX(0,AC22)*'Assumptions'!$F$10</f>
        <v>0</v>
      </c>
      <c r="AD23" s="20">
        <f>MAX(0,AD22)*'Assumptions'!$F$10</f>
        <v>0</v>
      </c>
      <c r="AE23" s="20">
        <f>MAX(0,AE22)*'Assumptions'!$F$10</f>
        <v>0</v>
      </c>
      <c r="AF23" s="20">
        <f>MAX(0,AF22)*'Assumptions'!$F$10</f>
        <v>0</v>
      </c>
      <c r="AG23" s="20">
        <f>MAX(0,AG22)*'Assumptions'!$F$10</f>
        <v>0</v>
      </c>
      <c r="AH23" s="20">
        <f>MAX(0,AH22)*'Assumptions'!$F$10</f>
        <v>0</v>
      </c>
      <c r="AI23" s="20">
        <f>MAX(0,AI22)*'Assumptions'!$F$10</f>
        <v>0</v>
      </c>
      <c r="AJ23" s="20">
        <f>MAX(0,AJ22)*'Assumptions'!$F$10</f>
        <v>0</v>
      </c>
      <c r="AK23" s="20">
        <f>MAX(0,AK22)*'Assumptions'!$F$10</f>
        <v>0</v>
      </c>
      <c r="AL23" s="20">
        <f>MAX(0,AL22)*'Assumptions'!$F$10</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31" t="s">
        <v>345</v>
      </c>
      <c r="B24" s="16"/>
      <c r="C24" s="32">
        <f>C22-C23</f>
        <v>0</v>
      </c>
      <c r="D24" s="32">
        <f>D22-D23</f>
        <v>0</v>
      </c>
      <c r="E24" s="32">
        <f>E22-E23</f>
        <v>0</v>
      </c>
      <c r="F24" s="32">
        <f>F22-F23</f>
        <v>0</v>
      </c>
      <c r="G24" s="32">
        <f>G22-G23</f>
        <v>0</v>
      </c>
      <c r="H24" s="32">
        <f>H22-H23</f>
        <v>0</v>
      </c>
      <c r="I24" s="32">
        <f>I22-I23</f>
        <v>0</v>
      </c>
      <c r="J24" s="32">
        <f>J22-J23</f>
        <v>0</v>
      </c>
      <c r="K24" s="32">
        <f>K22-K23</f>
        <v>0</v>
      </c>
      <c r="L24" s="32">
        <f>L22-L23</f>
        <v>0</v>
      </c>
      <c r="M24" s="32">
        <f>M22-M23</f>
        <v>0</v>
      </c>
      <c r="N24" s="32">
        <f>N22-N23</f>
        <v>0</v>
      </c>
      <c r="O24" s="32">
        <f>O22-O23</f>
        <v>0</v>
      </c>
      <c r="P24" s="32">
        <f>P22-P23</f>
        <v>0</v>
      </c>
      <c r="Q24" s="32">
        <f>Q22-Q23</f>
        <v>0</v>
      </c>
      <c r="R24" s="32">
        <f>R22-R23</f>
        <v>0</v>
      </c>
      <c r="S24" s="32">
        <f>S22-S23</f>
        <v>0</v>
      </c>
      <c r="T24" s="32">
        <f>T22-T23</f>
        <v>0</v>
      </c>
      <c r="U24" s="32">
        <f>U22-U23</f>
        <v>0</v>
      </c>
      <c r="V24" s="32">
        <f>V22-V23</f>
        <v>0</v>
      </c>
      <c r="W24" s="32">
        <f>W22-W23</f>
        <v>0</v>
      </c>
      <c r="X24" s="32">
        <f>X22-X23</f>
        <v>0</v>
      </c>
      <c r="Y24" s="32">
        <f>Y22-Y23</f>
        <v>0</v>
      </c>
      <c r="Z24" s="32">
        <f>Z22-Z23</f>
        <v>0</v>
      </c>
      <c r="AA24" s="32">
        <f>AA22-AA23</f>
        <v>0</v>
      </c>
      <c r="AB24" s="32">
        <f>AB22-AB23</f>
        <v>0</v>
      </c>
      <c r="AC24" s="32">
        <f>AC22-AC23</f>
        <v>0</v>
      </c>
      <c r="AD24" s="32">
        <f>AD22-AD23</f>
        <v>0</v>
      </c>
      <c r="AE24" s="32">
        <f>AE22-AE23</f>
        <v>0</v>
      </c>
      <c r="AF24" s="32">
        <f>AF22-AF23</f>
        <v>0</v>
      </c>
      <c r="AG24" s="32">
        <f>AG22-AG23</f>
        <v>0</v>
      </c>
      <c r="AH24" s="32">
        <f>AH22-AH23</f>
        <v>0</v>
      </c>
      <c r="AI24" s="32">
        <f>AI22-AI23</f>
        <v>0</v>
      </c>
      <c r="AJ24" s="32">
        <f>AJ22-AJ23</f>
        <v>0</v>
      </c>
      <c r="AK24" s="32">
        <f>AK22-AK23</f>
        <v>0</v>
      </c>
      <c r="AL24" s="32">
        <f>AL22-AL23</f>
        <v>0</v>
      </c>
      <c r="AN24" s="32">
        <f>SUM(C24:E24)</f>
        <v>0</v>
      </c>
      <c r="AO24" s="32">
        <f>SUM(F24:H24)</f>
        <v>0</v>
      </c>
      <c r="AP24" s="32">
        <f>SUM(I24:K24)</f>
        <v>0</v>
      </c>
      <c r="AQ24" s="32">
        <f>SUM(L24:N24)</f>
        <v>0</v>
      </c>
      <c r="AR24" s="32">
        <f>SUM(O24:Q24)</f>
        <v>0</v>
      </c>
      <c r="AS24" s="32">
        <f>SUM(R24:T24)</f>
        <v>0</v>
      </c>
      <c r="AT24" s="32">
        <f>SUM(U24:W24)</f>
        <v>0</v>
      </c>
      <c r="AU24" s="32">
        <f>SUM(X24:Z24)</f>
        <v>0</v>
      </c>
      <c r="AV24" s="32">
        <f>SUM(AA24:AC24)</f>
        <v>0</v>
      </c>
      <c r="AW24" s="32">
        <f>SUM(AD24:AF24)</f>
        <v>0</v>
      </c>
      <c r="AX24" s="32">
        <f>SUM(AG24:AI24)</f>
        <v>0</v>
      </c>
      <c r="AY24" s="32">
        <f>SUM(AJ24:AL24)</f>
        <v>0</v>
      </c>
      <c r="BA24" s="32">
        <f>SUM(C24:N24)</f>
        <v>0</v>
      </c>
      <c r="BB24" s="32">
        <f>SUM(O24:Z24)</f>
        <v>0</v>
      </c>
      <c r="BC24" s="32">
        <f>SUM(AA24:AL24)</f>
        <v>0</v>
      </c>
    </row>
  </sheetData>
  <mergeCells count="6">
    <mergeCell ref="A1:BC1"/>
    <mergeCell ref="A2:BC2"/>
    <mergeCell ref="C5:AL5"/>
    <mergeCell ref="AN5:AY5"/>
    <mergeCell ref="BA5:BC5"/>
    <mergeCell ref="A12:BC12"/>
  </mergeCells>
  <pageMargins left="0.7" right="0.7" top="0.75" bottom="0.75" header="0.3" footer="0.3"/>
  <pageSetup paperSize="9" scale="55" orientation="landscape"/>
</worksheet>
</file>

<file path=xl/worksheets/sheet9.xml><?xml version="1.0" encoding="utf-8"?>
<worksheet xmlns="http://schemas.openxmlformats.org/spreadsheetml/2006/main" xmlns:r="http://schemas.openxmlformats.org/officeDocument/2006/relationships">
  <dimension ref="A1:BC26"/>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368</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369</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370</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371</v>
      </c>
      <c r="B8" s="16" t="s">
        <v>372</v>
      </c>
      <c r="C8" s="20">
        <f>'Cash Flow'!$C$28</f>
        <v>0</v>
      </c>
      <c r="D8" s="20">
        <f>'Cash Flow'!$D$28</f>
        <v>0</v>
      </c>
      <c r="E8" s="20">
        <f>'Cash Flow'!$E$28</f>
        <v>0</v>
      </c>
      <c r="F8" s="20">
        <f>'Cash Flow'!$F$28</f>
        <v>0</v>
      </c>
      <c r="G8" s="20">
        <f>'Cash Flow'!$G$28</f>
        <v>0</v>
      </c>
      <c r="H8" s="20">
        <f>'Cash Flow'!$H$28</f>
        <v>0</v>
      </c>
      <c r="I8" s="20">
        <f>'Cash Flow'!$I$28</f>
        <v>0</v>
      </c>
      <c r="J8" s="20">
        <f>'Cash Flow'!$J$28</f>
        <v>0</v>
      </c>
      <c r="K8" s="20">
        <f>'Cash Flow'!$K$28</f>
        <v>0</v>
      </c>
      <c r="L8" s="20">
        <f>'Cash Flow'!$L$28</f>
        <v>0</v>
      </c>
      <c r="M8" s="20">
        <f>'Cash Flow'!$M$28</f>
        <v>0</v>
      </c>
      <c r="N8" s="20">
        <f>'Cash Flow'!$N$28</f>
        <v>0</v>
      </c>
      <c r="O8" s="20">
        <f>'Cash Flow'!$O$28</f>
        <v>0</v>
      </c>
      <c r="P8" s="20">
        <f>'Cash Flow'!$P$28</f>
        <v>0</v>
      </c>
      <c r="Q8" s="20">
        <f>'Cash Flow'!$Q$28</f>
        <v>0</v>
      </c>
      <c r="R8" s="20">
        <f>'Cash Flow'!$R$28</f>
        <v>0</v>
      </c>
      <c r="S8" s="20">
        <f>'Cash Flow'!$S$28</f>
        <v>0</v>
      </c>
      <c r="T8" s="20">
        <f>'Cash Flow'!$T$28</f>
        <v>0</v>
      </c>
      <c r="U8" s="20">
        <f>'Cash Flow'!$U$28</f>
        <v>0</v>
      </c>
      <c r="V8" s="20">
        <f>'Cash Flow'!$V$28</f>
        <v>0</v>
      </c>
      <c r="W8" s="20">
        <f>'Cash Flow'!$W$28</f>
        <v>0</v>
      </c>
      <c r="X8" s="20">
        <f>'Cash Flow'!$X$28</f>
        <v>0</v>
      </c>
      <c r="Y8" s="20">
        <f>'Cash Flow'!$Y$28</f>
        <v>0</v>
      </c>
      <c r="Z8" s="20">
        <f>'Cash Flow'!$Z$28</f>
        <v>0</v>
      </c>
      <c r="AA8" s="20">
        <f>'Cash Flow'!$AA$28</f>
        <v>0</v>
      </c>
      <c r="AB8" s="20">
        <f>'Cash Flow'!$AB$28</f>
        <v>0</v>
      </c>
      <c r="AC8" s="20">
        <f>'Cash Flow'!$AC$28</f>
        <v>0</v>
      </c>
      <c r="AD8" s="20">
        <f>'Cash Flow'!$AD$28</f>
        <v>0</v>
      </c>
      <c r="AE8" s="20">
        <f>'Cash Flow'!$AE$28</f>
        <v>0</v>
      </c>
      <c r="AF8" s="20">
        <f>'Cash Flow'!$AF$28</f>
        <v>0</v>
      </c>
      <c r="AG8" s="20">
        <f>'Cash Flow'!$AG$28</f>
        <v>0</v>
      </c>
      <c r="AH8" s="20">
        <f>'Cash Flow'!$AH$28</f>
        <v>0</v>
      </c>
      <c r="AI8" s="20">
        <f>'Cash Flow'!$AI$28</f>
        <v>0</v>
      </c>
      <c r="AJ8" s="20">
        <f>'Cash Flow'!$AJ$28</f>
        <v>0</v>
      </c>
      <c r="AK8" s="20">
        <f>'Cash Flow'!$AK$28</f>
        <v>0</v>
      </c>
      <c r="AL8" s="20">
        <f>'Cash Flow'!$AL$28</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373</v>
      </c>
      <c r="B9" s="16"/>
      <c r="C9" s="20">
        <f>'Working Capital'!$C$8</f>
        <v>0</v>
      </c>
      <c r="D9" s="20">
        <f>'Working Capital'!$D$8</f>
        <v>0</v>
      </c>
      <c r="E9" s="20">
        <f>'Working Capital'!$E$8</f>
        <v>0</v>
      </c>
      <c r="F9" s="20">
        <f>'Working Capital'!$F$8</f>
        <v>0</v>
      </c>
      <c r="G9" s="20">
        <f>'Working Capital'!$G$8</f>
        <v>0</v>
      </c>
      <c r="H9" s="20">
        <f>'Working Capital'!$H$8</f>
        <v>0</v>
      </c>
      <c r="I9" s="20">
        <f>'Working Capital'!$I$8</f>
        <v>0</v>
      </c>
      <c r="J9" s="20">
        <f>'Working Capital'!$J$8</f>
        <v>0</v>
      </c>
      <c r="K9" s="20">
        <f>'Working Capital'!$K$8</f>
        <v>0</v>
      </c>
      <c r="L9" s="20">
        <f>'Working Capital'!$L$8</f>
        <v>0</v>
      </c>
      <c r="M9" s="20">
        <f>'Working Capital'!$M$8</f>
        <v>0</v>
      </c>
      <c r="N9" s="20">
        <f>'Working Capital'!$N$8</f>
        <v>0</v>
      </c>
      <c r="O9" s="20">
        <f>'Working Capital'!$O$8</f>
        <v>0</v>
      </c>
      <c r="P9" s="20">
        <f>'Working Capital'!$P$8</f>
        <v>0</v>
      </c>
      <c r="Q9" s="20">
        <f>'Working Capital'!$Q$8</f>
        <v>0</v>
      </c>
      <c r="R9" s="20">
        <f>'Working Capital'!$R$8</f>
        <v>0</v>
      </c>
      <c r="S9" s="20">
        <f>'Working Capital'!$S$8</f>
        <v>0</v>
      </c>
      <c r="T9" s="20">
        <f>'Working Capital'!$T$8</f>
        <v>0</v>
      </c>
      <c r="U9" s="20">
        <f>'Working Capital'!$U$8</f>
        <v>0</v>
      </c>
      <c r="V9" s="20">
        <f>'Working Capital'!$V$8</f>
        <v>0</v>
      </c>
      <c r="W9" s="20">
        <f>'Working Capital'!$W$8</f>
        <v>0</v>
      </c>
      <c r="X9" s="20">
        <f>'Working Capital'!$X$8</f>
        <v>0</v>
      </c>
      <c r="Y9" s="20">
        <f>'Working Capital'!$Y$8</f>
        <v>0</v>
      </c>
      <c r="Z9" s="20">
        <f>'Working Capital'!$Z$8</f>
        <v>0</v>
      </c>
      <c r="AA9" s="20">
        <f>'Working Capital'!$AA$8</f>
        <v>0</v>
      </c>
      <c r="AB9" s="20">
        <f>'Working Capital'!$AB$8</f>
        <v>0</v>
      </c>
      <c r="AC9" s="20">
        <f>'Working Capital'!$AC$8</f>
        <v>0</v>
      </c>
      <c r="AD9" s="20">
        <f>'Working Capital'!$AD$8</f>
        <v>0</v>
      </c>
      <c r="AE9" s="20">
        <f>'Working Capital'!$AE$8</f>
        <v>0</v>
      </c>
      <c r="AF9" s="20">
        <f>'Working Capital'!$AF$8</f>
        <v>0</v>
      </c>
      <c r="AG9" s="20">
        <f>'Working Capital'!$AG$8</f>
        <v>0</v>
      </c>
      <c r="AH9" s="20">
        <f>'Working Capital'!$AH$8</f>
        <v>0</v>
      </c>
      <c r="AI9" s="20">
        <f>'Working Capital'!$AI$8</f>
        <v>0</v>
      </c>
      <c r="AJ9" s="20">
        <f>'Working Capital'!$AJ$8</f>
        <v>0</v>
      </c>
      <c r="AK9" s="20">
        <f>'Working Capital'!$AK$8</f>
        <v>0</v>
      </c>
      <c r="AL9" s="20">
        <f>'Working Capital'!$AL$8</f>
        <v>0</v>
      </c>
      <c r="AN9" s="20">
        <f>E9</f>
        <v>0</v>
      </c>
      <c r="AO9" s="20">
        <f>H9</f>
        <v>0</v>
      </c>
      <c r="AP9" s="20">
        <f>K9</f>
        <v>0</v>
      </c>
      <c r="AQ9" s="20">
        <f>N9</f>
        <v>0</v>
      </c>
      <c r="AR9" s="20">
        <f>Q9</f>
        <v>0</v>
      </c>
      <c r="AS9" s="20">
        <f>T9</f>
        <v>0</v>
      </c>
      <c r="AT9" s="20">
        <f>W9</f>
        <v>0</v>
      </c>
      <c r="AU9" s="20">
        <f>Z9</f>
        <v>0</v>
      </c>
      <c r="AV9" s="20">
        <f>AC9</f>
        <v>0</v>
      </c>
      <c r="AW9" s="20">
        <f>AF9</f>
        <v>0</v>
      </c>
      <c r="AX9" s="20">
        <f>AI9</f>
        <v>0</v>
      </c>
      <c r="AY9" s="20">
        <f>AL9</f>
        <v>0</v>
      </c>
      <c r="BA9" s="20">
        <f>N9</f>
        <v>0</v>
      </c>
      <c r="BB9" s="20">
        <f>Z9</f>
        <v>0</v>
      </c>
      <c r="BC9" s="20">
        <f>AL9</f>
        <v>0</v>
      </c>
    </row>
    <row r="10" spans="1:55">
      <c r="A10" s="18" t="s">
        <v>374</v>
      </c>
      <c r="B10" s="16" t="s">
        <v>375</v>
      </c>
      <c r="C10" s="20">
        <f>'Working Capital'!C11</f>
        <v>0</v>
      </c>
      <c r="D10" s="20">
        <f>'Working Capital'!D11</f>
        <v>0</v>
      </c>
      <c r="E10" s="20">
        <f>'Working Capital'!E11</f>
        <v>0</v>
      </c>
      <c r="F10" s="20">
        <f>'Working Capital'!F11</f>
        <v>0</v>
      </c>
      <c r="G10" s="20">
        <f>'Working Capital'!G11</f>
        <v>0</v>
      </c>
      <c r="H10" s="20">
        <f>'Working Capital'!H11</f>
        <v>0</v>
      </c>
      <c r="I10" s="20">
        <f>'Working Capital'!I11</f>
        <v>0</v>
      </c>
      <c r="J10" s="20">
        <f>'Working Capital'!J11</f>
        <v>0</v>
      </c>
      <c r="K10" s="20">
        <f>'Working Capital'!K11</f>
        <v>0</v>
      </c>
      <c r="L10" s="20">
        <f>'Working Capital'!L11</f>
        <v>0</v>
      </c>
      <c r="M10" s="20">
        <f>'Working Capital'!M11</f>
        <v>0</v>
      </c>
      <c r="N10" s="20">
        <f>'Working Capital'!N11</f>
        <v>0</v>
      </c>
      <c r="O10" s="20">
        <f>'Working Capital'!O11</f>
        <v>0</v>
      </c>
      <c r="P10" s="20">
        <f>'Working Capital'!P11</f>
        <v>0</v>
      </c>
      <c r="Q10" s="20">
        <f>'Working Capital'!Q11</f>
        <v>0</v>
      </c>
      <c r="R10" s="20">
        <f>'Working Capital'!R11</f>
        <v>0</v>
      </c>
      <c r="S10" s="20">
        <f>'Working Capital'!S11</f>
        <v>0</v>
      </c>
      <c r="T10" s="20">
        <f>'Working Capital'!T11</f>
        <v>0</v>
      </c>
      <c r="U10" s="20">
        <f>'Working Capital'!U11</f>
        <v>0</v>
      </c>
      <c r="V10" s="20">
        <f>'Working Capital'!V11</f>
        <v>0</v>
      </c>
      <c r="W10" s="20">
        <f>'Working Capital'!W11</f>
        <v>0</v>
      </c>
      <c r="X10" s="20">
        <f>'Working Capital'!X11</f>
        <v>0</v>
      </c>
      <c r="Y10" s="20">
        <f>'Working Capital'!Y11</f>
        <v>0</v>
      </c>
      <c r="Z10" s="20">
        <f>'Working Capital'!Z11</f>
        <v>0</v>
      </c>
      <c r="AA10" s="20">
        <f>'Working Capital'!AA11</f>
        <v>0</v>
      </c>
      <c r="AB10" s="20">
        <f>'Working Capital'!AB11</f>
        <v>0</v>
      </c>
      <c r="AC10" s="20">
        <f>'Working Capital'!AC11</f>
        <v>0</v>
      </c>
      <c r="AD10" s="20">
        <f>'Working Capital'!AD11</f>
        <v>0</v>
      </c>
      <c r="AE10" s="20">
        <f>'Working Capital'!AE11</f>
        <v>0</v>
      </c>
      <c r="AF10" s="20">
        <f>'Working Capital'!AF11</f>
        <v>0</v>
      </c>
      <c r="AG10" s="20">
        <f>'Working Capital'!AG11</f>
        <v>0</v>
      </c>
      <c r="AH10" s="20">
        <f>'Working Capital'!AH11</f>
        <v>0</v>
      </c>
      <c r="AI10" s="20">
        <f>'Working Capital'!AI11</f>
        <v>0</v>
      </c>
      <c r="AJ10" s="20">
        <f>'Working Capital'!AJ11</f>
        <v>0</v>
      </c>
      <c r="AK10" s="20">
        <f>'Working Capital'!AK11</f>
        <v>0</v>
      </c>
      <c r="AL10" s="20">
        <f>'Working Capital'!AL11</f>
        <v>0</v>
      </c>
      <c r="AN10" s="20">
        <f>E10</f>
        <v>0</v>
      </c>
      <c r="AO10" s="20">
        <f>H10</f>
        <v>0</v>
      </c>
      <c r="AP10" s="20">
        <f>K10</f>
        <v>0</v>
      </c>
      <c r="AQ10" s="20">
        <f>N10</f>
        <v>0</v>
      </c>
      <c r="AR10" s="20">
        <f>Q10</f>
        <v>0</v>
      </c>
      <c r="AS10" s="20">
        <f>T10</f>
        <v>0</v>
      </c>
      <c r="AT10" s="20">
        <f>W10</f>
        <v>0</v>
      </c>
      <c r="AU10" s="20">
        <f>Z10</f>
        <v>0</v>
      </c>
      <c r="AV10" s="20">
        <f>AC10</f>
        <v>0</v>
      </c>
      <c r="AW10" s="20">
        <f>AF10</f>
        <v>0</v>
      </c>
      <c r="AX10" s="20">
        <f>AI10</f>
        <v>0</v>
      </c>
      <c r="AY10" s="20">
        <f>AL10</f>
        <v>0</v>
      </c>
      <c r="BA10" s="20">
        <f>N10</f>
        <v>0</v>
      </c>
      <c r="BB10" s="20">
        <f>Z10</f>
        <v>0</v>
      </c>
      <c r="BC10" s="20">
        <f>AL10</f>
        <v>0</v>
      </c>
    </row>
    <row r="11" spans="1:55">
      <c r="A11" s="18" t="s">
        <v>376</v>
      </c>
      <c r="B11" s="16"/>
      <c r="C11" s="20">
        <f>'Working Capital'!$C$20</f>
        <v>0</v>
      </c>
      <c r="D11" s="20">
        <f>'Working Capital'!$D$20</f>
        <v>0</v>
      </c>
      <c r="E11" s="20">
        <f>'Working Capital'!$E$20</f>
        <v>0</v>
      </c>
      <c r="F11" s="20">
        <f>'Working Capital'!$F$20</f>
        <v>0</v>
      </c>
      <c r="G11" s="20">
        <f>'Working Capital'!$G$20</f>
        <v>0</v>
      </c>
      <c r="H11" s="20">
        <f>'Working Capital'!$H$20</f>
        <v>0</v>
      </c>
      <c r="I11" s="20">
        <f>'Working Capital'!$I$20</f>
        <v>0</v>
      </c>
      <c r="J11" s="20">
        <f>'Working Capital'!$J$20</f>
        <v>0</v>
      </c>
      <c r="K11" s="20">
        <f>'Working Capital'!$K$20</f>
        <v>0</v>
      </c>
      <c r="L11" s="20">
        <f>'Working Capital'!$L$20</f>
        <v>0</v>
      </c>
      <c r="M11" s="20">
        <f>'Working Capital'!$M$20</f>
        <v>0</v>
      </c>
      <c r="N11" s="20">
        <f>'Working Capital'!$N$20</f>
        <v>0</v>
      </c>
      <c r="O11" s="20">
        <f>'Working Capital'!$O$20</f>
        <v>0</v>
      </c>
      <c r="P11" s="20">
        <f>'Working Capital'!$P$20</f>
        <v>0</v>
      </c>
      <c r="Q11" s="20">
        <f>'Working Capital'!$Q$20</f>
        <v>0</v>
      </c>
      <c r="R11" s="20">
        <f>'Working Capital'!$R$20</f>
        <v>0</v>
      </c>
      <c r="S11" s="20">
        <f>'Working Capital'!$S$20</f>
        <v>0</v>
      </c>
      <c r="T11" s="20">
        <f>'Working Capital'!$T$20</f>
        <v>0</v>
      </c>
      <c r="U11" s="20">
        <f>'Working Capital'!$U$20</f>
        <v>0</v>
      </c>
      <c r="V11" s="20">
        <f>'Working Capital'!$V$20</f>
        <v>0</v>
      </c>
      <c r="W11" s="20">
        <f>'Working Capital'!$W$20</f>
        <v>0</v>
      </c>
      <c r="X11" s="20">
        <f>'Working Capital'!$X$20</f>
        <v>0</v>
      </c>
      <c r="Y11" s="20">
        <f>'Working Capital'!$Y$20</f>
        <v>0</v>
      </c>
      <c r="Z11" s="20">
        <f>'Working Capital'!$Z$20</f>
        <v>0</v>
      </c>
      <c r="AA11" s="20">
        <f>'Working Capital'!$AA$20</f>
        <v>0</v>
      </c>
      <c r="AB11" s="20">
        <f>'Working Capital'!$AB$20</f>
        <v>0</v>
      </c>
      <c r="AC11" s="20">
        <f>'Working Capital'!$AC$20</f>
        <v>0</v>
      </c>
      <c r="AD11" s="20">
        <f>'Working Capital'!$AD$20</f>
        <v>0</v>
      </c>
      <c r="AE11" s="20">
        <f>'Working Capital'!$AE$20</f>
        <v>0</v>
      </c>
      <c r="AF11" s="20">
        <f>'Working Capital'!$AF$20</f>
        <v>0</v>
      </c>
      <c r="AG11" s="20">
        <f>'Working Capital'!$AG$20</f>
        <v>0</v>
      </c>
      <c r="AH11" s="20">
        <f>'Working Capital'!$AH$20</f>
        <v>0</v>
      </c>
      <c r="AI11" s="20">
        <f>'Working Capital'!$AI$20</f>
        <v>0</v>
      </c>
      <c r="AJ11" s="20">
        <f>'Working Capital'!$AJ$20</f>
        <v>0</v>
      </c>
      <c r="AK11" s="20">
        <f>'Working Capital'!$AK$20</f>
        <v>0</v>
      </c>
      <c r="AL11" s="20">
        <f>'Working Capital'!$AL$20</f>
        <v>0</v>
      </c>
      <c r="AN11" s="20">
        <f>E11</f>
        <v>0</v>
      </c>
      <c r="AO11" s="20">
        <f>H11</f>
        <v>0</v>
      </c>
      <c r="AP11" s="20">
        <f>K11</f>
        <v>0</v>
      </c>
      <c r="AQ11" s="20">
        <f>N11</f>
        <v>0</v>
      </c>
      <c r="AR11" s="20">
        <f>Q11</f>
        <v>0</v>
      </c>
      <c r="AS11" s="20">
        <f>T11</f>
        <v>0</v>
      </c>
      <c r="AT11" s="20">
        <f>W11</f>
        <v>0</v>
      </c>
      <c r="AU11" s="20">
        <f>Z11</f>
        <v>0</v>
      </c>
      <c r="AV11" s="20">
        <f>AC11</f>
        <v>0</v>
      </c>
      <c r="AW11" s="20">
        <f>AF11</f>
        <v>0</v>
      </c>
      <c r="AX11" s="20">
        <f>AI11</f>
        <v>0</v>
      </c>
      <c r="AY11" s="20">
        <f>AL11</f>
        <v>0</v>
      </c>
      <c r="BA11" s="20">
        <f>N11</f>
        <v>0</v>
      </c>
      <c r="BB11" s="20">
        <f>Z11</f>
        <v>0</v>
      </c>
      <c r="BC11" s="20">
        <f>AL11</f>
        <v>0</v>
      </c>
    </row>
    <row r="12" spans="1:55">
      <c r="A12" s="31" t="s">
        <v>377</v>
      </c>
      <c r="B12" s="16"/>
      <c r="C12" s="32">
        <f>C8+C9+C10+C11</f>
        <v>0</v>
      </c>
      <c r="D12" s="32">
        <f>D8+D9+D10+D11</f>
        <v>0</v>
      </c>
      <c r="E12" s="32">
        <f>E8+E9+E10+E11</f>
        <v>0</v>
      </c>
      <c r="F12" s="32">
        <f>F8+F9+F10+F11</f>
        <v>0</v>
      </c>
      <c r="G12" s="32">
        <f>G8+G9+G10+G11</f>
        <v>0</v>
      </c>
      <c r="H12" s="32">
        <f>H8+H9+H10+H11</f>
        <v>0</v>
      </c>
      <c r="I12" s="32">
        <f>I8+I9+I10+I11</f>
        <v>0</v>
      </c>
      <c r="J12" s="32">
        <f>J8+J9+J10+J11</f>
        <v>0</v>
      </c>
      <c r="K12" s="32">
        <f>K8+K9+K10+K11</f>
        <v>0</v>
      </c>
      <c r="L12" s="32">
        <f>L8+L9+L10+L11</f>
        <v>0</v>
      </c>
      <c r="M12" s="32">
        <f>M8+M9+M10+M11</f>
        <v>0</v>
      </c>
      <c r="N12" s="32">
        <f>N8+N9+N10+N11</f>
        <v>0</v>
      </c>
      <c r="O12" s="32">
        <f>O8+O9+O10+O11</f>
        <v>0</v>
      </c>
      <c r="P12" s="32">
        <f>P8+P9+P10+P11</f>
        <v>0</v>
      </c>
      <c r="Q12" s="32">
        <f>Q8+Q9+Q10+Q11</f>
        <v>0</v>
      </c>
      <c r="R12" s="32">
        <f>R8+R9+R10+R11</f>
        <v>0</v>
      </c>
      <c r="S12" s="32">
        <f>S8+S9+S10+S11</f>
        <v>0</v>
      </c>
      <c r="T12" s="32">
        <f>T8+T9+T10+T11</f>
        <v>0</v>
      </c>
      <c r="U12" s="32">
        <f>U8+U9+U10+U11</f>
        <v>0</v>
      </c>
      <c r="V12" s="32">
        <f>V8+V9+V10+V11</f>
        <v>0</v>
      </c>
      <c r="W12" s="32">
        <f>W8+W9+W10+W11</f>
        <v>0</v>
      </c>
      <c r="X12" s="32">
        <f>X8+X9+X10+X11</f>
        <v>0</v>
      </c>
      <c r="Y12" s="32">
        <f>Y8+Y9+Y10+Y11</f>
        <v>0</v>
      </c>
      <c r="Z12" s="32">
        <f>Z8+Z9+Z10+Z11</f>
        <v>0</v>
      </c>
      <c r="AA12" s="32">
        <f>AA8+AA9+AA10+AA11</f>
        <v>0</v>
      </c>
      <c r="AB12" s="32">
        <f>AB8+AB9+AB10+AB11</f>
        <v>0</v>
      </c>
      <c r="AC12" s="32">
        <f>AC8+AC9+AC10+AC11</f>
        <v>0</v>
      </c>
      <c r="AD12" s="32">
        <f>AD8+AD9+AD10+AD11</f>
        <v>0</v>
      </c>
      <c r="AE12" s="32">
        <f>AE8+AE9+AE10+AE11</f>
        <v>0</v>
      </c>
      <c r="AF12" s="32">
        <f>AF8+AF9+AF10+AF11</f>
        <v>0</v>
      </c>
      <c r="AG12" s="32">
        <f>AG8+AG9+AG10+AG11</f>
        <v>0</v>
      </c>
      <c r="AH12" s="32">
        <f>AH8+AH9+AH10+AH11</f>
        <v>0</v>
      </c>
      <c r="AI12" s="32">
        <f>AI8+AI9+AI10+AI11</f>
        <v>0</v>
      </c>
      <c r="AJ12" s="32">
        <f>AJ8+AJ9+AJ10+AJ11</f>
        <v>0</v>
      </c>
      <c r="AK12" s="32">
        <f>AK8+AK9+AK10+AK11</f>
        <v>0</v>
      </c>
      <c r="AL12" s="32">
        <f>AL8+AL9+AL10+AL11</f>
        <v>0</v>
      </c>
      <c r="AN12" s="32">
        <f>E12</f>
        <v>0</v>
      </c>
      <c r="AO12" s="32">
        <f>H12</f>
        <v>0</v>
      </c>
      <c r="AP12" s="32">
        <f>K12</f>
        <v>0</v>
      </c>
      <c r="AQ12" s="32">
        <f>N12</f>
        <v>0</v>
      </c>
      <c r="AR12" s="32">
        <f>Q12</f>
        <v>0</v>
      </c>
      <c r="AS12" s="32">
        <f>T12</f>
        <v>0</v>
      </c>
      <c r="AT12" s="32">
        <f>W12</f>
        <v>0</v>
      </c>
      <c r="AU12" s="32">
        <f>Z12</f>
        <v>0</v>
      </c>
      <c r="AV12" s="32">
        <f>AC12</f>
        <v>0</v>
      </c>
      <c r="AW12" s="32">
        <f>AF12</f>
        <v>0</v>
      </c>
      <c r="AX12" s="32">
        <f>AI12</f>
        <v>0</v>
      </c>
      <c r="AY12" s="32">
        <f>AL12</f>
        <v>0</v>
      </c>
      <c r="BA12" s="32">
        <f>N12</f>
        <v>0</v>
      </c>
      <c r="BB12" s="32">
        <f>Z12</f>
        <v>0</v>
      </c>
      <c r="BC12" s="32">
        <f>AL12</f>
        <v>0</v>
      </c>
    </row>
    <row r="13" spans="1:55" ht="5" customHeight="1"/>
    <row r="14" spans="1:55" ht="16" customHeight="1">
      <c r="A14" s="14" t="s">
        <v>378</v>
      </c>
      <c r="B14" s="14"/>
      <c r="C14" s="14"/>
      <c r="D14" s="14"/>
      <c r="E14" s="14"/>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row>
    <row r="15" spans="1:55">
      <c r="A15" s="18" t="s">
        <v>379</v>
      </c>
      <c r="B15" s="16"/>
      <c r="C15" s="20">
        <f>'Working Capital'!$C$9</f>
        <v>0</v>
      </c>
      <c r="D15" s="20">
        <f>'Working Capital'!$D$9</f>
        <v>0</v>
      </c>
      <c r="E15" s="20">
        <f>'Working Capital'!$E$9</f>
        <v>0</v>
      </c>
      <c r="F15" s="20">
        <f>'Working Capital'!$F$9</f>
        <v>0</v>
      </c>
      <c r="G15" s="20">
        <f>'Working Capital'!$G$9</f>
        <v>0</v>
      </c>
      <c r="H15" s="20">
        <f>'Working Capital'!$H$9</f>
        <v>0</v>
      </c>
      <c r="I15" s="20">
        <f>'Working Capital'!$I$9</f>
        <v>0</v>
      </c>
      <c r="J15" s="20">
        <f>'Working Capital'!$J$9</f>
        <v>0</v>
      </c>
      <c r="K15" s="20">
        <f>'Working Capital'!$K$9</f>
        <v>0</v>
      </c>
      <c r="L15" s="20">
        <f>'Working Capital'!$L$9</f>
        <v>0</v>
      </c>
      <c r="M15" s="20">
        <f>'Working Capital'!$M$9</f>
        <v>0</v>
      </c>
      <c r="N15" s="20">
        <f>'Working Capital'!$N$9</f>
        <v>0</v>
      </c>
      <c r="O15" s="20">
        <f>'Working Capital'!$O$9</f>
        <v>0</v>
      </c>
      <c r="P15" s="20">
        <f>'Working Capital'!$P$9</f>
        <v>0</v>
      </c>
      <c r="Q15" s="20">
        <f>'Working Capital'!$Q$9</f>
        <v>0</v>
      </c>
      <c r="R15" s="20">
        <f>'Working Capital'!$R$9</f>
        <v>0</v>
      </c>
      <c r="S15" s="20">
        <f>'Working Capital'!$S$9</f>
        <v>0</v>
      </c>
      <c r="T15" s="20">
        <f>'Working Capital'!$T$9</f>
        <v>0</v>
      </c>
      <c r="U15" s="20">
        <f>'Working Capital'!$U$9</f>
        <v>0</v>
      </c>
      <c r="V15" s="20">
        <f>'Working Capital'!$V$9</f>
        <v>0</v>
      </c>
      <c r="W15" s="20">
        <f>'Working Capital'!$W$9</f>
        <v>0</v>
      </c>
      <c r="X15" s="20">
        <f>'Working Capital'!$X$9</f>
        <v>0</v>
      </c>
      <c r="Y15" s="20">
        <f>'Working Capital'!$Y$9</f>
        <v>0</v>
      </c>
      <c r="Z15" s="20">
        <f>'Working Capital'!$Z$9</f>
        <v>0</v>
      </c>
      <c r="AA15" s="20">
        <f>'Working Capital'!$AA$9</f>
        <v>0</v>
      </c>
      <c r="AB15" s="20">
        <f>'Working Capital'!$AB$9</f>
        <v>0</v>
      </c>
      <c r="AC15" s="20">
        <f>'Working Capital'!$AC$9</f>
        <v>0</v>
      </c>
      <c r="AD15" s="20">
        <f>'Working Capital'!$AD$9</f>
        <v>0</v>
      </c>
      <c r="AE15" s="20">
        <f>'Working Capital'!$AE$9</f>
        <v>0</v>
      </c>
      <c r="AF15" s="20">
        <f>'Working Capital'!$AF$9</f>
        <v>0</v>
      </c>
      <c r="AG15" s="20">
        <f>'Working Capital'!$AG$9</f>
        <v>0</v>
      </c>
      <c r="AH15" s="20">
        <f>'Working Capital'!$AH$9</f>
        <v>0</v>
      </c>
      <c r="AI15" s="20">
        <f>'Working Capital'!$AI$9</f>
        <v>0</v>
      </c>
      <c r="AJ15" s="20">
        <f>'Working Capital'!$AJ$9</f>
        <v>0</v>
      </c>
      <c r="AK15" s="20">
        <f>'Working Capital'!$AK$9</f>
        <v>0</v>
      </c>
      <c r="AL15" s="20">
        <f>'Working Capital'!$AL$9</f>
        <v>0</v>
      </c>
      <c r="AN15" s="20">
        <f>E15</f>
        <v>0</v>
      </c>
      <c r="AO15" s="20">
        <f>H15</f>
        <v>0</v>
      </c>
      <c r="AP15" s="20">
        <f>K15</f>
        <v>0</v>
      </c>
      <c r="AQ15" s="20">
        <f>N15</f>
        <v>0</v>
      </c>
      <c r="AR15" s="20">
        <f>Q15</f>
        <v>0</v>
      </c>
      <c r="AS15" s="20">
        <f>T15</f>
        <v>0</v>
      </c>
      <c r="AT15" s="20">
        <f>W15</f>
        <v>0</v>
      </c>
      <c r="AU15" s="20">
        <f>Z15</f>
        <v>0</v>
      </c>
      <c r="AV15" s="20">
        <f>AC15</f>
        <v>0</v>
      </c>
      <c r="AW15" s="20">
        <f>AF15</f>
        <v>0</v>
      </c>
      <c r="AX15" s="20">
        <f>AI15</f>
        <v>0</v>
      </c>
      <c r="AY15" s="20">
        <f>AL15</f>
        <v>0</v>
      </c>
      <c r="BA15" s="20">
        <f>N15</f>
        <v>0</v>
      </c>
      <c r="BB15" s="20">
        <f>Z15</f>
        <v>0</v>
      </c>
      <c r="BC15" s="20">
        <f>AL15</f>
        <v>0</v>
      </c>
    </row>
    <row r="16" spans="1:55">
      <c r="A16" s="18" t="s">
        <v>380</v>
      </c>
      <c r="B16" s="16"/>
      <c r="C16" s="20">
        <f>'Working Capital'!$C$10</f>
        <v>0</v>
      </c>
      <c r="D16" s="20">
        <f>'Working Capital'!$D$10</f>
        <v>0</v>
      </c>
      <c r="E16" s="20">
        <f>'Working Capital'!$E$10</f>
        <v>0</v>
      </c>
      <c r="F16" s="20">
        <f>'Working Capital'!$F$10</f>
        <v>0</v>
      </c>
      <c r="G16" s="20">
        <f>'Working Capital'!$G$10</f>
        <v>0</v>
      </c>
      <c r="H16" s="20">
        <f>'Working Capital'!$H$10</f>
        <v>0</v>
      </c>
      <c r="I16" s="20">
        <f>'Working Capital'!$I$10</f>
        <v>0</v>
      </c>
      <c r="J16" s="20">
        <f>'Working Capital'!$J$10</f>
        <v>0</v>
      </c>
      <c r="K16" s="20">
        <f>'Working Capital'!$K$10</f>
        <v>0</v>
      </c>
      <c r="L16" s="20">
        <f>'Working Capital'!$L$10</f>
        <v>0</v>
      </c>
      <c r="M16" s="20">
        <f>'Working Capital'!$M$10</f>
        <v>0</v>
      </c>
      <c r="N16" s="20">
        <f>'Working Capital'!$N$10</f>
        <v>0</v>
      </c>
      <c r="O16" s="20">
        <f>'Working Capital'!$O$10</f>
        <v>0</v>
      </c>
      <c r="P16" s="20">
        <f>'Working Capital'!$P$10</f>
        <v>0</v>
      </c>
      <c r="Q16" s="20">
        <f>'Working Capital'!$Q$10</f>
        <v>0</v>
      </c>
      <c r="R16" s="20">
        <f>'Working Capital'!$R$10</f>
        <v>0</v>
      </c>
      <c r="S16" s="20">
        <f>'Working Capital'!$S$10</f>
        <v>0</v>
      </c>
      <c r="T16" s="20">
        <f>'Working Capital'!$T$10</f>
        <v>0</v>
      </c>
      <c r="U16" s="20">
        <f>'Working Capital'!$U$10</f>
        <v>0</v>
      </c>
      <c r="V16" s="20">
        <f>'Working Capital'!$V$10</f>
        <v>0</v>
      </c>
      <c r="W16" s="20">
        <f>'Working Capital'!$W$10</f>
        <v>0</v>
      </c>
      <c r="X16" s="20">
        <f>'Working Capital'!$X$10</f>
        <v>0</v>
      </c>
      <c r="Y16" s="20">
        <f>'Working Capital'!$Y$10</f>
        <v>0</v>
      </c>
      <c r="Z16" s="20">
        <f>'Working Capital'!$Z$10</f>
        <v>0</v>
      </c>
      <c r="AA16" s="20">
        <f>'Working Capital'!$AA$10</f>
        <v>0</v>
      </c>
      <c r="AB16" s="20">
        <f>'Working Capital'!$AB$10</f>
        <v>0</v>
      </c>
      <c r="AC16" s="20">
        <f>'Working Capital'!$AC$10</f>
        <v>0</v>
      </c>
      <c r="AD16" s="20">
        <f>'Working Capital'!$AD$10</f>
        <v>0</v>
      </c>
      <c r="AE16" s="20">
        <f>'Working Capital'!$AE$10</f>
        <v>0</v>
      </c>
      <c r="AF16" s="20">
        <f>'Working Capital'!$AF$10</f>
        <v>0</v>
      </c>
      <c r="AG16" s="20">
        <f>'Working Capital'!$AG$10</f>
        <v>0</v>
      </c>
      <c r="AH16" s="20">
        <f>'Working Capital'!$AH$10</f>
        <v>0</v>
      </c>
      <c r="AI16" s="20">
        <f>'Working Capital'!$AI$10</f>
        <v>0</v>
      </c>
      <c r="AJ16" s="20">
        <f>'Working Capital'!$AJ$10</f>
        <v>0</v>
      </c>
      <c r="AK16" s="20">
        <f>'Working Capital'!$AK$10</f>
        <v>0</v>
      </c>
      <c r="AL16" s="20">
        <f>'Working Capital'!$AL$10</f>
        <v>0</v>
      </c>
      <c r="AN16" s="20">
        <f>E16</f>
        <v>0</v>
      </c>
      <c r="AO16" s="20">
        <f>H16</f>
        <v>0</v>
      </c>
      <c r="AP16" s="20">
        <f>K16</f>
        <v>0</v>
      </c>
      <c r="AQ16" s="20">
        <f>N16</f>
        <v>0</v>
      </c>
      <c r="AR16" s="20">
        <f>Q16</f>
        <v>0</v>
      </c>
      <c r="AS16" s="20">
        <f>T16</f>
        <v>0</v>
      </c>
      <c r="AT16" s="20">
        <f>W16</f>
        <v>0</v>
      </c>
      <c r="AU16" s="20">
        <f>Z16</f>
        <v>0</v>
      </c>
      <c r="AV16" s="20">
        <f>AC16</f>
        <v>0</v>
      </c>
      <c r="AW16" s="20">
        <f>AF16</f>
        <v>0</v>
      </c>
      <c r="AX16" s="20">
        <f>AI16</f>
        <v>0</v>
      </c>
      <c r="AY16" s="20">
        <f>AL16</f>
        <v>0</v>
      </c>
      <c r="BA16" s="20">
        <f>N16</f>
        <v>0</v>
      </c>
      <c r="BB16" s="20">
        <f>Z16</f>
        <v>0</v>
      </c>
      <c r="BC16" s="20">
        <f>AL16</f>
        <v>0</v>
      </c>
    </row>
    <row r="17" spans="1:55">
      <c r="A17" s="18" t="s">
        <v>381</v>
      </c>
      <c r="B17" s="16"/>
      <c r="C17" s="20">
        <f>'Working Capital'!$C$25</f>
        <v>0</v>
      </c>
      <c r="D17" s="20">
        <f>'Working Capital'!$D$25</f>
        <v>0</v>
      </c>
      <c r="E17" s="20">
        <f>'Working Capital'!$E$25</f>
        <v>0</v>
      </c>
      <c r="F17" s="20">
        <f>'Working Capital'!$F$25</f>
        <v>0</v>
      </c>
      <c r="G17" s="20">
        <f>'Working Capital'!$G$25</f>
        <v>0</v>
      </c>
      <c r="H17" s="20">
        <f>'Working Capital'!$H$25</f>
        <v>0</v>
      </c>
      <c r="I17" s="20">
        <f>'Working Capital'!$I$25</f>
        <v>0</v>
      </c>
      <c r="J17" s="20">
        <f>'Working Capital'!$J$25</f>
        <v>0</v>
      </c>
      <c r="K17" s="20">
        <f>'Working Capital'!$K$25</f>
        <v>0</v>
      </c>
      <c r="L17" s="20">
        <f>'Working Capital'!$L$25</f>
        <v>0</v>
      </c>
      <c r="M17" s="20">
        <f>'Working Capital'!$M$25</f>
        <v>0</v>
      </c>
      <c r="N17" s="20">
        <f>'Working Capital'!$N$25</f>
        <v>0</v>
      </c>
      <c r="O17" s="20">
        <f>'Working Capital'!$O$25</f>
        <v>0</v>
      </c>
      <c r="P17" s="20">
        <f>'Working Capital'!$P$25</f>
        <v>0</v>
      </c>
      <c r="Q17" s="20">
        <f>'Working Capital'!$Q$25</f>
        <v>0</v>
      </c>
      <c r="R17" s="20">
        <f>'Working Capital'!$R$25</f>
        <v>0</v>
      </c>
      <c r="S17" s="20">
        <f>'Working Capital'!$S$25</f>
        <v>0</v>
      </c>
      <c r="T17" s="20">
        <f>'Working Capital'!$T$25</f>
        <v>0</v>
      </c>
      <c r="U17" s="20">
        <f>'Working Capital'!$U$25</f>
        <v>0</v>
      </c>
      <c r="V17" s="20">
        <f>'Working Capital'!$V$25</f>
        <v>0</v>
      </c>
      <c r="W17" s="20">
        <f>'Working Capital'!$W$25</f>
        <v>0</v>
      </c>
      <c r="X17" s="20">
        <f>'Working Capital'!$X$25</f>
        <v>0</v>
      </c>
      <c r="Y17" s="20">
        <f>'Working Capital'!$Y$25</f>
        <v>0</v>
      </c>
      <c r="Z17" s="20">
        <f>'Working Capital'!$Z$25</f>
        <v>0</v>
      </c>
      <c r="AA17" s="20">
        <f>'Working Capital'!$AA$25</f>
        <v>0</v>
      </c>
      <c r="AB17" s="20">
        <f>'Working Capital'!$AB$25</f>
        <v>0</v>
      </c>
      <c r="AC17" s="20">
        <f>'Working Capital'!$AC$25</f>
        <v>0</v>
      </c>
      <c r="AD17" s="20">
        <f>'Working Capital'!$AD$25</f>
        <v>0</v>
      </c>
      <c r="AE17" s="20">
        <f>'Working Capital'!$AE$25</f>
        <v>0</v>
      </c>
      <c r="AF17" s="20">
        <f>'Working Capital'!$AF$25</f>
        <v>0</v>
      </c>
      <c r="AG17" s="20">
        <f>'Working Capital'!$AG$25</f>
        <v>0</v>
      </c>
      <c r="AH17" s="20">
        <f>'Working Capital'!$AH$25</f>
        <v>0</v>
      </c>
      <c r="AI17" s="20">
        <f>'Working Capital'!$AI$25</f>
        <v>0</v>
      </c>
      <c r="AJ17" s="20">
        <f>'Working Capital'!$AJ$25</f>
        <v>0</v>
      </c>
      <c r="AK17" s="20">
        <f>'Working Capital'!$AK$25</f>
        <v>0</v>
      </c>
      <c r="AL17" s="20">
        <f>'Working Capital'!$AL$25</f>
        <v>0</v>
      </c>
      <c r="AN17" s="20">
        <f>E17</f>
        <v>0</v>
      </c>
      <c r="AO17" s="20">
        <f>H17</f>
        <v>0</v>
      </c>
      <c r="AP17" s="20">
        <f>K17</f>
        <v>0</v>
      </c>
      <c r="AQ17" s="20">
        <f>N17</f>
        <v>0</v>
      </c>
      <c r="AR17" s="20">
        <f>Q17</f>
        <v>0</v>
      </c>
      <c r="AS17" s="20">
        <f>T17</f>
        <v>0</v>
      </c>
      <c r="AT17" s="20">
        <f>W17</f>
        <v>0</v>
      </c>
      <c r="AU17" s="20">
        <f>Z17</f>
        <v>0</v>
      </c>
      <c r="AV17" s="20">
        <f>AC17</f>
        <v>0</v>
      </c>
      <c r="AW17" s="20">
        <f>AF17</f>
        <v>0</v>
      </c>
      <c r="AX17" s="20">
        <f>AI17</f>
        <v>0</v>
      </c>
      <c r="AY17" s="20">
        <f>AL17</f>
        <v>0</v>
      </c>
      <c r="BA17" s="20">
        <f>N17</f>
        <v>0</v>
      </c>
      <c r="BB17" s="20">
        <f>Z17</f>
        <v>0</v>
      </c>
      <c r="BC17" s="20">
        <f>AL17</f>
        <v>0</v>
      </c>
    </row>
    <row r="18" spans="1:55">
      <c r="A18" s="28" t="s">
        <v>382</v>
      </c>
      <c r="B18" s="16"/>
      <c r="C18" s="29">
        <f>C15+C16+C17</f>
        <v>0</v>
      </c>
      <c r="D18" s="29">
        <f>D15+D16+D17</f>
        <v>0</v>
      </c>
      <c r="E18" s="29">
        <f>E15+E16+E17</f>
        <v>0</v>
      </c>
      <c r="F18" s="29">
        <f>F15+F16+F17</f>
        <v>0</v>
      </c>
      <c r="G18" s="29">
        <f>G15+G16+G17</f>
        <v>0</v>
      </c>
      <c r="H18" s="29">
        <f>H15+H16+H17</f>
        <v>0</v>
      </c>
      <c r="I18" s="29">
        <f>I15+I16+I17</f>
        <v>0</v>
      </c>
      <c r="J18" s="29">
        <f>J15+J16+J17</f>
        <v>0</v>
      </c>
      <c r="K18" s="29">
        <f>K15+K16+K17</f>
        <v>0</v>
      </c>
      <c r="L18" s="29">
        <f>L15+L16+L17</f>
        <v>0</v>
      </c>
      <c r="M18" s="29">
        <f>M15+M16+M17</f>
        <v>0</v>
      </c>
      <c r="N18" s="29">
        <f>N15+N16+N17</f>
        <v>0</v>
      </c>
      <c r="O18" s="29">
        <f>O15+O16+O17</f>
        <v>0</v>
      </c>
      <c r="P18" s="29">
        <f>P15+P16+P17</f>
        <v>0</v>
      </c>
      <c r="Q18" s="29">
        <f>Q15+Q16+Q17</f>
        <v>0</v>
      </c>
      <c r="R18" s="29">
        <f>R15+R16+R17</f>
        <v>0</v>
      </c>
      <c r="S18" s="29">
        <f>S15+S16+S17</f>
        <v>0</v>
      </c>
      <c r="T18" s="29">
        <f>T15+T16+T17</f>
        <v>0</v>
      </c>
      <c r="U18" s="29">
        <f>U15+U16+U17</f>
        <v>0</v>
      </c>
      <c r="V18" s="29">
        <f>V15+V16+V17</f>
        <v>0</v>
      </c>
      <c r="W18" s="29">
        <f>W15+W16+W17</f>
        <v>0</v>
      </c>
      <c r="X18" s="29">
        <f>X15+X16+X17</f>
        <v>0</v>
      </c>
      <c r="Y18" s="29">
        <f>Y15+Y16+Y17</f>
        <v>0</v>
      </c>
      <c r="Z18" s="29">
        <f>Z15+Z16+Z17</f>
        <v>0</v>
      </c>
      <c r="AA18" s="29">
        <f>AA15+AA16+AA17</f>
        <v>0</v>
      </c>
      <c r="AB18" s="29">
        <f>AB15+AB16+AB17</f>
        <v>0</v>
      </c>
      <c r="AC18" s="29">
        <f>AC15+AC16+AC17</f>
        <v>0</v>
      </c>
      <c r="AD18" s="29">
        <f>AD15+AD16+AD17</f>
        <v>0</v>
      </c>
      <c r="AE18" s="29">
        <f>AE15+AE16+AE17</f>
        <v>0</v>
      </c>
      <c r="AF18" s="29">
        <f>AF15+AF16+AF17</f>
        <v>0</v>
      </c>
      <c r="AG18" s="29">
        <f>AG15+AG16+AG17</f>
        <v>0</v>
      </c>
      <c r="AH18" s="29">
        <f>AH15+AH16+AH17</f>
        <v>0</v>
      </c>
      <c r="AI18" s="29">
        <f>AI15+AI16+AI17</f>
        <v>0</v>
      </c>
      <c r="AJ18" s="29">
        <f>AJ15+AJ16+AJ17</f>
        <v>0</v>
      </c>
      <c r="AK18" s="29">
        <f>AK15+AK16+AK17</f>
        <v>0</v>
      </c>
      <c r="AL18" s="29">
        <f>AL15+AL16+AL17</f>
        <v>0</v>
      </c>
      <c r="AN18" s="29">
        <f>E18</f>
        <v>0</v>
      </c>
      <c r="AO18" s="29">
        <f>H18</f>
        <v>0</v>
      </c>
      <c r="AP18" s="29">
        <f>K18</f>
        <v>0</v>
      </c>
      <c r="AQ18" s="29">
        <f>N18</f>
        <v>0</v>
      </c>
      <c r="AR18" s="29">
        <f>Q18</f>
        <v>0</v>
      </c>
      <c r="AS18" s="29">
        <f>T18</f>
        <v>0</v>
      </c>
      <c r="AT18" s="29">
        <f>W18</f>
        <v>0</v>
      </c>
      <c r="AU18" s="29">
        <f>Z18</f>
        <v>0</v>
      </c>
      <c r="AV18" s="29">
        <f>AC18</f>
        <v>0</v>
      </c>
      <c r="AW18" s="29">
        <f>AF18</f>
        <v>0</v>
      </c>
      <c r="AX18" s="29">
        <f>AI18</f>
        <v>0</v>
      </c>
      <c r="AY18" s="29">
        <f>AL18</f>
        <v>0</v>
      </c>
      <c r="BA18" s="29">
        <f>N18</f>
        <v>0</v>
      </c>
      <c r="BB18" s="29">
        <f>Z18</f>
        <v>0</v>
      </c>
      <c r="BC18" s="29">
        <f>AL18</f>
        <v>0</v>
      </c>
    </row>
    <row r="19" spans="1:55" ht="5" customHeight="1"/>
    <row r="20" spans="1:55" ht="16" customHeight="1">
      <c r="A20" s="14" t="s">
        <v>383</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row>
    <row r="21" spans="1:55">
      <c r="A21" s="18" t="s">
        <v>384</v>
      </c>
      <c r="B21" s="16" t="s">
        <v>385</v>
      </c>
      <c r="C21" s="20">
        <f>'Assumptions'!$F$9+'Working Capital'!C30</f>
        <v>0</v>
      </c>
      <c r="D21" s="20">
        <f>'Assumptions'!$F$9+'Working Capital'!D30</f>
        <v>0</v>
      </c>
      <c r="E21" s="20">
        <f>'Assumptions'!$F$9+'Working Capital'!E30</f>
        <v>0</v>
      </c>
      <c r="F21" s="20">
        <f>'Assumptions'!$F$9+'Working Capital'!F30</f>
        <v>0</v>
      </c>
      <c r="G21" s="20">
        <f>'Assumptions'!$F$9+'Working Capital'!G30</f>
        <v>0</v>
      </c>
      <c r="H21" s="20">
        <f>'Assumptions'!$F$9+'Working Capital'!H30</f>
        <v>0</v>
      </c>
      <c r="I21" s="20">
        <f>'Assumptions'!$F$9+'Working Capital'!I30</f>
        <v>0</v>
      </c>
      <c r="J21" s="20">
        <f>'Assumptions'!$F$9+'Working Capital'!J30</f>
        <v>0</v>
      </c>
      <c r="K21" s="20">
        <f>'Assumptions'!$F$9+'Working Capital'!K30</f>
        <v>0</v>
      </c>
      <c r="L21" s="20">
        <f>'Assumptions'!$F$9+'Working Capital'!L30</f>
        <v>0</v>
      </c>
      <c r="M21" s="20">
        <f>'Assumptions'!$F$9+'Working Capital'!M30</f>
        <v>0</v>
      </c>
      <c r="N21" s="20">
        <f>'Assumptions'!$F$9+'Working Capital'!N30</f>
        <v>0</v>
      </c>
      <c r="O21" s="20">
        <f>'Assumptions'!$F$9+'Working Capital'!O30</f>
        <v>0</v>
      </c>
      <c r="P21" s="20">
        <f>'Assumptions'!$F$9+'Working Capital'!P30</f>
        <v>0</v>
      </c>
      <c r="Q21" s="20">
        <f>'Assumptions'!$F$9+'Working Capital'!Q30</f>
        <v>0</v>
      </c>
      <c r="R21" s="20">
        <f>'Assumptions'!$F$9+'Working Capital'!R30</f>
        <v>0</v>
      </c>
      <c r="S21" s="20">
        <f>'Assumptions'!$F$9+'Working Capital'!S30</f>
        <v>0</v>
      </c>
      <c r="T21" s="20">
        <f>'Assumptions'!$F$9+'Working Capital'!T30</f>
        <v>0</v>
      </c>
      <c r="U21" s="20">
        <f>'Assumptions'!$F$9+'Working Capital'!U30</f>
        <v>0</v>
      </c>
      <c r="V21" s="20">
        <f>'Assumptions'!$F$9+'Working Capital'!V30</f>
        <v>0</v>
      </c>
      <c r="W21" s="20">
        <f>'Assumptions'!$F$9+'Working Capital'!W30</f>
        <v>0</v>
      </c>
      <c r="X21" s="20">
        <f>'Assumptions'!$F$9+'Working Capital'!X30</f>
        <v>0</v>
      </c>
      <c r="Y21" s="20">
        <f>'Assumptions'!$F$9+'Working Capital'!Y30</f>
        <v>0</v>
      </c>
      <c r="Z21" s="20">
        <f>'Assumptions'!$F$9+'Working Capital'!Z30</f>
        <v>0</v>
      </c>
      <c r="AA21" s="20">
        <f>'Assumptions'!$F$9+'Working Capital'!AA30</f>
        <v>0</v>
      </c>
      <c r="AB21" s="20">
        <f>'Assumptions'!$F$9+'Working Capital'!AB30</f>
        <v>0</v>
      </c>
      <c r="AC21" s="20">
        <f>'Assumptions'!$F$9+'Working Capital'!AC30</f>
        <v>0</v>
      </c>
      <c r="AD21" s="20">
        <f>'Assumptions'!$F$9+'Working Capital'!AD30</f>
        <v>0</v>
      </c>
      <c r="AE21" s="20">
        <f>'Assumptions'!$F$9+'Working Capital'!AE30</f>
        <v>0</v>
      </c>
      <c r="AF21" s="20">
        <f>'Assumptions'!$F$9+'Working Capital'!AF30</f>
        <v>0</v>
      </c>
      <c r="AG21" s="20">
        <f>'Assumptions'!$F$9+'Working Capital'!AG30</f>
        <v>0</v>
      </c>
      <c r="AH21" s="20">
        <f>'Assumptions'!$F$9+'Working Capital'!AH30</f>
        <v>0</v>
      </c>
      <c r="AI21" s="20">
        <f>'Assumptions'!$F$9+'Working Capital'!AI30</f>
        <v>0</v>
      </c>
      <c r="AJ21" s="20">
        <f>'Assumptions'!$F$9+'Working Capital'!AJ30</f>
        <v>0</v>
      </c>
      <c r="AK21" s="20">
        <f>'Assumptions'!$F$9+'Working Capital'!AK30</f>
        <v>0</v>
      </c>
      <c r="AL21" s="20">
        <f>'Assumptions'!$F$9+'Working Capital'!AL30</f>
        <v>0</v>
      </c>
      <c r="AN21" s="20">
        <f>E21</f>
        <v>0</v>
      </c>
      <c r="AO21" s="20">
        <f>H21</f>
        <v>0</v>
      </c>
      <c r="AP21" s="20">
        <f>K21</f>
        <v>0</v>
      </c>
      <c r="AQ21" s="20">
        <f>N21</f>
        <v>0</v>
      </c>
      <c r="AR21" s="20">
        <f>Q21</f>
        <v>0</v>
      </c>
      <c r="AS21" s="20">
        <f>T21</f>
        <v>0</v>
      </c>
      <c r="AT21" s="20">
        <f>W21</f>
        <v>0</v>
      </c>
      <c r="AU21" s="20">
        <f>Z21</f>
        <v>0</v>
      </c>
      <c r="AV21" s="20">
        <f>AC21</f>
        <v>0</v>
      </c>
      <c r="AW21" s="20">
        <f>AF21</f>
        <v>0</v>
      </c>
      <c r="AX21" s="20">
        <f>AI21</f>
        <v>0</v>
      </c>
      <c r="AY21" s="20">
        <f>AL21</f>
        <v>0</v>
      </c>
      <c r="BA21" s="20">
        <f>N21</f>
        <v>0</v>
      </c>
      <c r="BB21" s="20">
        <f>Z21</f>
        <v>0</v>
      </c>
      <c r="BC21" s="20">
        <f>AL21</f>
        <v>0</v>
      </c>
    </row>
    <row r="22" spans="1:55">
      <c r="A22" s="18" t="s">
        <v>386</v>
      </c>
      <c r="B22" s="16" t="s">
        <v>387</v>
      </c>
      <c r="C22" s="20">
        <f>('Assumptions'!$F$8-'Assumptions'!$F$9)+'P&amp;L'!C24</f>
        <v>0</v>
      </c>
      <c r="D22" s="20">
        <f>C22+'P&amp;L'!D24</f>
        <v>0</v>
      </c>
      <c r="E22" s="20">
        <f>D22+'P&amp;L'!E24</f>
        <v>0</v>
      </c>
      <c r="F22" s="20">
        <f>E22+'P&amp;L'!F24</f>
        <v>0</v>
      </c>
      <c r="G22" s="20">
        <f>F22+'P&amp;L'!G24</f>
        <v>0</v>
      </c>
      <c r="H22" s="20">
        <f>G22+'P&amp;L'!H24</f>
        <v>0</v>
      </c>
      <c r="I22" s="20">
        <f>H22+'P&amp;L'!I24</f>
        <v>0</v>
      </c>
      <c r="J22" s="20">
        <f>I22+'P&amp;L'!J24</f>
        <v>0</v>
      </c>
      <c r="K22" s="20">
        <f>J22+'P&amp;L'!K24</f>
        <v>0</v>
      </c>
      <c r="L22" s="20">
        <f>K22+'P&amp;L'!L24</f>
        <v>0</v>
      </c>
      <c r="M22" s="20">
        <f>L22+'P&amp;L'!M24</f>
        <v>0</v>
      </c>
      <c r="N22" s="20">
        <f>M22+'P&amp;L'!N24</f>
        <v>0</v>
      </c>
      <c r="O22" s="20">
        <f>N22+'P&amp;L'!O24</f>
        <v>0</v>
      </c>
      <c r="P22" s="20">
        <f>O22+'P&amp;L'!P24</f>
        <v>0</v>
      </c>
      <c r="Q22" s="20">
        <f>P22+'P&amp;L'!Q24</f>
        <v>0</v>
      </c>
      <c r="R22" s="20">
        <f>Q22+'P&amp;L'!R24</f>
        <v>0</v>
      </c>
      <c r="S22" s="20">
        <f>R22+'P&amp;L'!S24</f>
        <v>0</v>
      </c>
      <c r="T22" s="20">
        <f>S22+'P&amp;L'!T24</f>
        <v>0</v>
      </c>
      <c r="U22" s="20">
        <f>T22+'P&amp;L'!U24</f>
        <v>0</v>
      </c>
      <c r="V22" s="20">
        <f>U22+'P&amp;L'!V24</f>
        <v>0</v>
      </c>
      <c r="W22" s="20">
        <f>V22+'P&amp;L'!W24</f>
        <v>0</v>
      </c>
      <c r="X22" s="20">
        <f>W22+'P&amp;L'!X24</f>
        <v>0</v>
      </c>
      <c r="Y22" s="20">
        <f>X22+'P&amp;L'!Y24</f>
        <v>0</v>
      </c>
      <c r="Z22" s="20">
        <f>Y22+'P&amp;L'!Z24</f>
        <v>0</v>
      </c>
      <c r="AA22" s="20">
        <f>Z22+'P&amp;L'!AA24</f>
        <v>0</v>
      </c>
      <c r="AB22" s="20">
        <f>AA22+'P&amp;L'!AB24</f>
        <v>0</v>
      </c>
      <c r="AC22" s="20">
        <f>AB22+'P&amp;L'!AC24</f>
        <v>0</v>
      </c>
      <c r="AD22" s="20">
        <f>AC22+'P&amp;L'!AD24</f>
        <v>0</v>
      </c>
      <c r="AE22" s="20">
        <f>AD22+'P&amp;L'!AE24</f>
        <v>0</v>
      </c>
      <c r="AF22" s="20">
        <f>AE22+'P&amp;L'!AF24</f>
        <v>0</v>
      </c>
      <c r="AG22" s="20">
        <f>AF22+'P&amp;L'!AG24</f>
        <v>0</v>
      </c>
      <c r="AH22" s="20">
        <f>AG22+'P&amp;L'!AH24</f>
        <v>0</v>
      </c>
      <c r="AI22" s="20">
        <f>AH22+'P&amp;L'!AI24</f>
        <v>0</v>
      </c>
      <c r="AJ22" s="20">
        <f>AI22+'P&amp;L'!AJ24</f>
        <v>0</v>
      </c>
      <c r="AK22" s="20">
        <f>AJ22+'P&amp;L'!AK24</f>
        <v>0</v>
      </c>
      <c r="AL22" s="20">
        <f>AK22+'P&amp;L'!AL24</f>
        <v>0</v>
      </c>
      <c r="AN22" s="20">
        <f>E22</f>
        <v>0</v>
      </c>
      <c r="AO22" s="20">
        <f>H22</f>
        <v>0</v>
      </c>
      <c r="AP22" s="20">
        <f>K22</f>
        <v>0</v>
      </c>
      <c r="AQ22" s="20">
        <f>N22</f>
        <v>0</v>
      </c>
      <c r="AR22" s="20">
        <f>Q22</f>
        <v>0</v>
      </c>
      <c r="AS22" s="20">
        <f>T22</f>
        <v>0</v>
      </c>
      <c r="AT22" s="20">
        <f>W22</f>
        <v>0</v>
      </c>
      <c r="AU22" s="20">
        <f>Z22</f>
        <v>0</v>
      </c>
      <c r="AV22" s="20">
        <f>AC22</f>
        <v>0</v>
      </c>
      <c r="AW22" s="20">
        <f>AF22</f>
        <v>0</v>
      </c>
      <c r="AX22" s="20">
        <f>AI22</f>
        <v>0</v>
      </c>
      <c r="AY22" s="20">
        <f>AL22</f>
        <v>0</v>
      </c>
      <c r="BA22" s="20">
        <f>N22</f>
        <v>0</v>
      </c>
      <c r="BB22" s="20">
        <f>Z22</f>
        <v>0</v>
      </c>
      <c r="BC22" s="20">
        <f>AL22</f>
        <v>0</v>
      </c>
    </row>
    <row r="23" spans="1:55">
      <c r="A23" s="28" t="s">
        <v>388</v>
      </c>
      <c r="B23" s="16"/>
      <c r="C23" s="29">
        <f>C21+C22</f>
        <v>0</v>
      </c>
      <c r="D23" s="29">
        <f>D21+D22</f>
        <v>0</v>
      </c>
      <c r="E23" s="29">
        <f>E21+E22</f>
        <v>0</v>
      </c>
      <c r="F23" s="29">
        <f>F21+F22</f>
        <v>0</v>
      </c>
      <c r="G23" s="29">
        <f>G21+G22</f>
        <v>0</v>
      </c>
      <c r="H23" s="29">
        <f>H21+H22</f>
        <v>0</v>
      </c>
      <c r="I23" s="29">
        <f>I21+I22</f>
        <v>0</v>
      </c>
      <c r="J23" s="29">
        <f>J21+J22</f>
        <v>0</v>
      </c>
      <c r="K23" s="29">
        <f>K21+K22</f>
        <v>0</v>
      </c>
      <c r="L23" s="29">
        <f>L21+L22</f>
        <v>0</v>
      </c>
      <c r="M23" s="29">
        <f>M21+M22</f>
        <v>0</v>
      </c>
      <c r="N23" s="29">
        <f>N21+N22</f>
        <v>0</v>
      </c>
      <c r="O23" s="29">
        <f>O21+O22</f>
        <v>0</v>
      </c>
      <c r="P23" s="29">
        <f>P21+P22</f>
        <v>0</v>
      </c>
      <c r="Q23" s="29">
        <f>Q21+Q22</f>
        <v>0</v>
      </c>
      <c r="R23" s="29">
        <f>R21+R22</f>
        <v>0</v>
      </c>
      <c r="S23" s="29">
        <f>S21+S22</f>
        <v>0</v>
      </c>
      <c r="T23" s="29">
        <f>T21+T22</f>
        <v>0</v>
      </c>
      <c r="U23" s="29">
        <f>U21+U22</f>
        <v>0</v>
      </c>
      <c r="V23" s="29">
        <f>V21+V22</f>
        <v>0</v>
      </c>
      <c r="W23" s="29">
        <f>W21+W22</f>
        <v>0</v>
      </c>
      <c r="X23" s="29">
        <f>X21+X22</f>
        <v>0</v>
      </c>
      <c r="Y23" s="29">
        <f>Y21+Y22</f>
        <v>0</v>
      </c>
      <c r="Z23" s="29">
        <f>Z21+Z22</f>
        <v>0</v>
      </c>
      <c r="AA23" s="29">
        <f>AA21+AA22</f>
        <v>0</v>
      </c>
      <c r="AB23" s="29">
        <f>AB21+AB22</f>
        <v>0</v>
      </c>
      <c r="AC23" s="29">
        <f>AC21+AC22</f>
        <v>0</v>
      </c>
      <c r="AD23" s="29">
        <f>AD21+AD22</f>
        <v>0</v>
      </c>
      <c r="AE23" s="29">
        <f>AE21+AE22</f>
        <v>0</v>
      </c>
      <c r="AF23" s="29">
        <f>AF21+AF22</f>
        <v>0</v>
      </c>
      <c r="AG23" s="29">
        <f>AG21+AG22</f>
        <v>0</v>
      </c>
      <c r="AH23" s="29">
        <f>AH21+AH22</f>
        <v>0</v>
      </c>
      <c r="AI23" s="29">
        <f>AI21+AI22</f>
        <v>0</v>
      </c>
      <c r="AJ23" s="29">
        <f>AJ21+AJ22</f>
        <v>0</v>
      </c>
      <c r="AK23" s="29">
        <f>AK21+AK22</f>
        <v>0</v>
      </c>
      <c r="AL23" s="29">
        <f>AL21+AL22</f>
        <v>0</v>
      </c>
      <c r="AN23" s="29">
        <f>E23</f>
        <v>0</v>
      </c>
      <c r="AO23" s="29">
        <f>H23</f>
        <v>0</v>
      </c>
      <c r="AP23" s="29">
        <f>K23</f>
        <v>0</v>
      </c>
      <c r="AQ23" s="29">
        <f>N23</f>
        <v>0</v>
      </c>
      <c r="AR23" s="29">
        <f>Q23</f>
        <v>0</v>
      </c>
      <c r="AS23" s="29">
        <f>T23</f>
        <v>0</v>
      </c>
      <c r="AT23" s="29">
        <f>W23</f>
        <v>0</v>
      </c>
      <c r="AU23" s="29">
        <f>Z23</f>
        <v>0</v>
      </c>
      <c r="AV23" s="29">
        <f>AC23</f>
        <v>0</v>
      </c>
      <c r="AW23" s="29">
        <f>AF23</f>
        <v>0</v>
      </c>
      <c r="AX23" s="29">
        <f>AI23</f>
        <v>0</v>
      </c>
      <c r="AY23" s="29">
        <f>AL23</f>
        <v>0</v>
      </c>
      <c r="BA23" s="29">
        <f>N23</f>
        <v>0</v>
      </c>
      <c r="BB23" s="29">
        <f>Z23</f>
        <v>0</v>
      </c>
      <c r="BC23" s="29">
        <f>AL23</f>
        <v>0</v>
      </c>
    </row>
    <row r="24" spans="1:55">
      <c r="A24" s="31" t="s">
        <v>389</v>
      </c>
      <c r="B24" s="16"/>
      <c r="C24" s="32">
        <f>C18+C23</f>
        <v>0</v>
      </c>
      <c r="D24" s="32">
        <f>D18+D23</f>
        <v>0</v>
      </c>
      <c r="E24" s="32">
        <f>E18+E23</f>
        <v>0</v>
      </c>
      <c r="F24" s="32">
        <f>F18+F23</f>
        <v>0</v>
      </c>
      <c r="G24" s="32">
        <f>G18+G23</f>
        <v>0</v>
      </c>
      <c r="H24" s="32">
        <f>H18+H23</f>
        <v>0</v>
      </c>
      <c r="I24" s="32">
        <f>I18+I23</f>
        <v>0</v>
      </c>
      <c r="J24" s="32">
        <f>J18+J23</f>
        <v>0</v>
      </c>
      <c r="K24" s="32">
        <f>K18+K23</f>
        <v>0</v>
      </c>
      <c r="L24" s="32">
        <f>L18+L23</f>
        <v>0</v>
      </c>
      <c r="M24" s="32">
        <f>M18+M23</f>
        <v>0</v>
      </c>
      <c r="N24" s="32">
        <f>N18+N23</f>
        <v>0</v>
      </c>
      <c r="O24" s="32">
        <f>O18+O23</f>
        <v>0</v>
      </c>
      <c r="P24" s="32">
        <f>P18+P23</f>
        <v>0</v>
      </c>
      <c r="Q24" s="32">
        <f>Q18+Q23</f>
        <v>0</v>
      </c>
      <c r="R24" s="32">
        <f>R18+R23</f>
        <v>0</v>
      </c>
      <c r="S24" s="32">
        <f>S18+S23</f>
        <v>0</v>
      </c>
      <c r="T24" s="32">
        <f>T18+T23</f>
        <v>0</v>
      </c>
      <c r="U24" s="32">
        <f>U18+U23</f>
        <v>0</v>
      </c>
      <c r="V24" s="32">
        <f>V18+V23</f>
        <v>0</v>
      </c>
      <c r="W24" s="32">
        <f>W18+W23</f>
        <v>0</v>
      </c>
      <c r="X24" s="32">
        <f>X18+X23</f>
        <v>0</v>
      </c>
      <c r="Y24" s="32">
        <f>Y18+Y23</f>
        <v>0</v>
      </c>
      <c r="Z24" s="32">
        <f>Z18+Z23</f>
        <v>0</v>
      </c>
      <c r="AA24" s="32">
        <f>AA18+AA23</f>
        <v>0</v>
      </c>
      <c r="AB24" s="32">
        <f>AB18+AB23</f>
        <v>0</v>
      </c>
      <c r="AC24" s="32">
        <f>AC18+AC23</f>
        <v>0</v>
      </c>
      <c r="AD24" s="32">
        <f>AD18+AD23</f>
        <v>0</v>
      </c>
      <c r="AE24" s="32">
        <f>AE18+AE23</f>
        <v>0</v>
      </c>
      <c r="AF24" s="32">
        <f>AF18+AF23</f>
        <v>0</v>
      </c>
      <c r="AG24" s="32">
        <f>AG18+AG23</f>
        <v>0</v>
      </c>
      <c r="AH24" s="32">
        <f>AH18+AH23</f>
        <v>0</v>
      </c>
      <c r="AI24" s="32">
        <f>AI18+AI23</f>
        <v>0</v>
      </c>
      <c r="AJ24" s="32">
        <f>AJ18+AJ23</f>
        <v>0</v>
      </c>
      <c r="AK24" s="32">
        <f>AK18+AK23</f>
        <v>0</v>
      </c>
      <c r="AL24" s="32">
        <f>AL18+AL23</f>
        <v>0</v>
      </c>
      <c r="AN24" s="32">
        <f>E24</f>
        <v>0</v>
      </c>
      <c r="AO24" s="32">
        <f>H24</f>
        <v>0</v>
      </c>
      <c r="AP24" s="32">
        <f>K24</f>
        <v>0</v>
      </c>
      <c r="AQ24" s="32">
        <f>N24</f>
        <v>0</v>
      </c>
      <c r="AR24" s="32">
        <f>Q24</f>
        <v>0</v>
      </c>
      <c r="AS24" s="32">
        <f>T24</f>
        <v>0</v>
      </c>
      <c r="AT24" s="32">
        <f>W24</f>
        <v>0</v>
      </c>
      <c r="AU24" s="32">
        <f>Z24</f>
        <v>0</v>
      </c>
      <c r="AV24" s="32">
        <f>AC24</f>
        <v>0</v>
      </c>
      <c r="AW24" s="32">
        <f>AF24</f>
        <v>0</v>
      </c>
      <c r="AX24" s="32">
        <f>AI24</f>
        <v>0</v>
      </c>
      <c r="AY24" s="32">
        <f>AL24</f>
        <v>0</v>
      </c>
      <c r="BA24" s="32">
        <f>N24</f>
        <v>0</v>
      </c>
      <c r="BB24" s="32">
        <f>Z24</f>
        <v>0</v>
      </c>
      <c r="BC24" s="32">
        <f>AL24</f>
        <v>0</v>
      </c>
    </row>
    <row r="25" spans="1:55" ht="5" customHeight="1"/>
    <row r="26" spans="1:55">
      <c r="A26" s="18" t="s">
        <v>390</v>
      </c>
      <c r="B26" s="16" t="s">
        <v>391</v>
      </c>
      <c r="C26" s="30">
        <f>C12-C24</f>
        <v>0</v>
      </c>
      <c r="D26" s="30">
        <f>D12-D24</f>
        <v>0</v>
      </c>
      <c r="E26" s="30">
        <f>E12-E24</f>
        <v>0</v>
      </c>
      <c r="F26" s="30">
        <f>F12-F24</f>
        <v>0</v>
      </c>
      <c r="G26" s="30">
        <f>G12-G24</f>
        <v>0</v>
      </c>
      <c r="H26" s="30">
        <f>H12-H24</f>
        <v>0</v>
      </c>
      <c r="I26" s="30">
        <f>I12-I24</f>
        <v>0</v>
      </c>
      <c r="J26" s="30">
        <f>J12-J24</f>
        <v>0</v>
      </c>
      <c r="K26" s="30">
        <f>K12-K24</f>
        <v>0</v>
      </c>
      <c r="L26" s="30">
        <f>L12-L24</f>
        <v>0</v>
      </c>
      <c r="M26" s="30">
        <f>M12-M24</f>
        <v>0</v>
      </c>
      <c r="N26" s="30">
        <f>N12-N24</f>
        <v>0</v>
      </c>
      <c r="O26" s="30">
        <f>O12-O24</f>
        <v>0</v>
      </c>
      <c r="P26" s="30">
        <f>P12-P24</f>
        <v>0</v>
      </c>
      <c r="Q26" s="30">
        <f>Q12-Q24</f>
        <v>0</v>
      </c>
      <c r="R26" s="30">
        <f>R12-R24</f>
        <v>0</v>
      </c>
      <c r="S26" s="30">
        <f>S12-S24</f>
        <v>0</v>
      </c>
      <c r="T26" s="30">
        <f>T12-T24</f>
        <v>0</v>
      </c>
      <c r="U26" s="30">
        <f>U12-U24</f>
        <v>0</v>
      </c>
      <c r="V26" s="30">
        <f>V12-V24</f>
        <v>0</v>
      </c>
      <c r="W26" s="30">
        <f>W12-W24</f>
        <v>0</v>
      </c>
      <c r="X26" s="30">
        <f>X12-X24</f>
        <v>0</v>
      </c>
      <c r="Y26" s="30">
        <f>Y12-Y24</f>
        <v>0</v>
      </c>
      <c r="Z26" s="30">
        <f>Z12-Z24</f>
        <v>0</v>
      </c>
      <c r="AA26" s="30">
        <f>AA12-AA24</f>
        <v>0</v>
      </c>
      <c r="AB26" s="30">
        <f>AB12-AB24</f>
        <v>0</v>
      </c>
      <c r="AC26" s="30">
        <f>AC12-AC24</f>
        <v>0</v>
      </c>
      <c r="AD26" s="30">
        <f>AD12-AD24</f>
        <v>0</v>
      </c>
      <c r="AE26" s="30">
        <f>AE12-AE24</f>
        <v>0</v>
      </c>
      <c r="AF26" s="30">
        <f>AF12-AF24</f>
        <v>0</v>
      </c>
      <c r="AG26" s="30">
        <f>AG12-AG24</f>
        <v>0</v>
      </c>
      <c r="AH26" s="30">
        <f>AH12-AH24</f>
        <v>0</v>
      </c>
      <c r="AI26" s="30">
        <f>AI12-AI24</f>
        <v>0</v>
      </c>
      <c r="AJ26" s="30">
        <f>AJ12-AJ24</f>
        <v>0</v>
      </c>
      <c r="AK26" s="30">
        <f>AK12-AK24</f>
        <v>0</v>
      </c>
      <c r="AL26" s="30">
        <f>AL12-AL24</f>
        <v>0</v>
      </c>
      <c r="AN26" s="30">
        <f>E26</f>
        <v>0</v>
      </c>
      <c r="AO26" s="30">
        <f>H26</f>
        <v>0</v>
      </c>
      <c r="AP26" s="30">
        <f>K26</f>
        <v>0</v>
      </c>
      <c r="AQ26" s="30">
        <f>N26</f>
        <v>0</v>
      </c>
      <c r="AR26" s="30">
        <f>Q26</f>
        <v>0</v>
      </c>
      <c r="AS26" s="30">
        <f>T26</f>
        <v>0</v>
      </c>
      <c r="AT26" s="30">
        <f>W26</f>
        <v>0</v>
      </c>
      <c r="AU26" s="30">
        <f>Z26</f>
        <v>0</v>
      </c>
      <c r="AV26" s="30">
        <f>AC26</f>
        <v>0</v>
      </c>
      <c r="AW26" s="30">
        <f>AF26</f>
        <v>0</v>
      </c>
      <c r="AX26" s="30">
        <f>AI26</f>
        <v>0</v>
      </c>
      <c r="AY26" s="30">
        <f>AL26</f>
        <v>0</v>
      </c>
      <c r="BA26" s="30">
        <f>N26</f>
        <v>0</v>
      </c>
      <c r="BB26" s="30">
        <f>Z26</f>
        <v>0</v>
      </c>
      <c r="BC26" s="30">
        <f>AL26</f>
        <v>0</v>
      </c>
    </row>
  </sheetData>
  <mergeCells count="8">
    <mergeCell ref="A1:BC1"/>
    <mergeCell ref="A2:BC2"/>
    <mergeCell ref="C5:AL5"/>
    <mergeCell ref="AN5:AY5"/>
    <mergeCell ref="BA5:BC5"/>
    <mergeCell ref="A7:BC7"/>
    <mergeCell ref="A14:BC14"/>
    <mergeCell ref="A20:BC20"/>
  </mergeCells>
  <pageMargins left="0.7" right="0.7" top="0.75" bottom="0.75" header="0.3" footer="0.3"/>
  <pageSetup paperSize="9" scale="55" orientation="landscape"/>
</worksheet>
</file>

<file path=xl/worksheets/sheet10.xml><?xml version="1.0" encoding="utf-8"?>
<worksheet xmlns="http://schemas.openxmlformats.org/spreadsheetml/2006/main" xmlns:r="http://schemas.openxmlformats.org/officeDocument/2006/relationships">
  <dimension ref="A1:BC28"/>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346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347</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348</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345</v>
      </c>
      <c r="B8" s="16"/>
      <c r="C8" s="20">
        <f>'P&amp;L'!$C$24</f>
        <v>0</v>
      </c>
      <c r="D8" s="20">
        <f>'P&amp;L'!$D$24</f>
        <v>0</v>
      </c>
      <c r="E8" s="20">
        <f>'P&amp;L'!$E$24</f>
        <v>0</v>
      </c>
      <c r="F8" s="20">
        <f>'P&amp;L'!$F$24</f>
        <v>0</v>
      </c>
      <c r="G8" s="20">
        <f>'P&amp;L'!$G$24</f>
        <v>0</v>
      </c>
      <c r="H8" s="20">
        <f>'P&amp;L'!$H$24</f>
        <v>0</v>
      </c>
      <c r="I8" s="20">
        <f>'P&amp;L'!$I$24</f>
        <v>0</v>
      </c>
      <c r="J8" s="20">
        <f>'P&amp;L'!$J$24</f>
        <v>0</v>
      </c>
      <c r="K8" s="20">
        <f>'P&amp;L'!$K$24</f>
        <v>0</v>
      </c>
      <c r="L8" s="20">
        <f>'P&amp;L'!$L$24</f>
        <v>0</v>
      </c>
      <c r="M8" s="20">
        <f>'P&amp;L'!$M$24</f>
        <v>0</v>
      </c>
      <c r="N8" s="20">
        <f>'P&amp;L'!$N$24</f>
        <v>0</v>
      </c>
      <c r="O8" s="20">
        <f>'P&amp;L'!$O$24</f>
        <v>0</v>
      </c>
      <c r="P8" s="20">
        <f>'P&amp;L'!$P$24</f>
        <v>0</v>
      </c>
      <c r="Q8" s="20">
        <f>'P&amp;L'!$Q$24</f>
        <v>0</v>
      </c>
      <c r="R8" s="20">
        <f>'P&amp;L'!$R$24</f>
        <v>0</v>
      </c>
      <c r="S8" s="20">
        <f>'P&amp;L'!$S$24</f>
        <v>0</v>
      </c>
      <c r="T8" s="20">
        <f>'P&amp;L'!$T$24</f>
        <v>0</v>
      </c>
      <c r="U8" s="20">
        <f>'P&amp;L'!$U$24</f>
        <v>0</v>
      </c>
      <c r="V8" s="20">
        <f>'P&amp;L'!$V$24</f>
        <v>0</v>
      </c>
      <c r="W8" s="20">
        <f>'P&amp;L'!$W$24</f>
        <v>0</v>
      </c>
      <c r="X8" s="20">
        <f>'P&amp;L'!$X$24</f>
        <v>0</v>
      </c>
      <c r="Y8" s="20">
        <f>'P&amp;L'!$Y$24</f>
        <v>0</v>
      </c>
      <c r="Z8" s="20">
        <f>'P&amp;L'!$Z$24</f>
        <v>0</v>
      </c>
      <c r="AA8" s="20">
        <f>'P&amp;L'!$AA$24</f>
        <v>0</v>
      </c>
      <c r="AB8" s="20">
        <f>'P&amp;L'!$AB$24</f>
        <v>0</v>
      </c>
      <c r="AC8" s="20">
        <f>'P&amp;L'!$AC$24</f>
        <v>0</v>
      </c>
      <c r="AD8" s="20">
        <f>'P&amp;L'!$AD$24</f>
        <v>0</v>
      </c>
      <c r="AE8" s="20">
        <f>'P&amp;L'!$AE$24</f>
        <v>0</v>
      </c>
      <c r="AF8" s="20">
        <f>'P&amp;L'!$AF$24</f>
        <v>0</v>
      </c>
      <c r="AG8" s="20">
        <f>'P&amp;L'!$AG$24</f>
        <v>0</v>
      </c>
      <c r="AH8" s="20">
        <f>'P&amp;L'!$AH$24</f>
        <v>0</v>
      </c>
      <c r="AI8" s="20">
        <f>'P&amp;L'!$AI$24</f>
        <v>0</v>
      </c>
      <c r="AJ8" s="20">
        <f>'P&amp;L'!$AJ$24</f>
        <v>0</v>
      </c>
      <c r="AK8" s="20">
        <f>'P&amp;L'!$AK$24</f>
        <v>0</v>
      </c>
      <c r="AL8" s="20">
        <f>'P&amp;L'!$AL$24</f>
        <v>0</v>
      </c>
      <c r="AN8" s="20">
        <f>SUM(C8:E8)</f>
        <v>0</v>
      </c>
      <c r="AO8" s="20">
        <f>SUM(F8:H8)</f>
        <v>0</v>
      </c>
      <c r="AP8" s="20">
        <f>SUM(I8:K8)</f>
        <v>0</v>
      </c>
      <c r="AQ8" s="20">
        <f>SUM(L8:N8)</f>
        <v>0</v>
      </c>
      <c r="AR8" s="20">
        <f>SUM(O8:Q8)</f>
        <v>0</v>
      </c>
      <c r="AS8" s="20">
        <f>SUM(R8:T8)</f>
        <v>0</v>
      </c>
      <c r="AT8" s="20">
        <f>SUM(U8:W8)</f>
        <v>0</v>
      </c>
      <c r="AU8" s="20">
        <f>SUM(X8:Z8)</f>
        <v>0</v>
      </c>
      <c r="AV8" s="20">
        <f>SUM(AA8:AC8)</f>
        <v>0</v>
      </c>
      <c r="AW8" s="20">
        <f>SUM(AD8:AF8)</f>
        <v>0</v>
      </c>
      <c r="AX8" s="20">
        <f>SUM(AG8:AI8)</f>
        <v>0</v>
      </c>
      <c r="AY8" s="20">
        <f>SUM(AJ8:AL8)</f>
        <v>0</v>
      </c>
      <c r="BA8" s="20">
        <f>SUM(C8:N8)</f>
        <v>0</v>
      </c>
      <c r="BB8" s="20">
        <f>SUM(O8:Z8)</f>
        <v>0</v>
      </c>
      <c r="BC8" s="20">
        <f>SUM(AA8:AL8)</f>
        <v>0</v>
      </c>
    </row>
    <row r="9" spans="1:55">
      <c r="A9" s="18" t="s">
        <v>349</v>
      </c>
      <c r="B9" s="16"/>
      <c r="C9" s="20">
        <f>'P&amp;L'!$C$19</f>
        <v>0</v>
      </c>
      <c r="D9" s="20">
        <f>'P&amp;L'!$D$19</f>
        <v>0</v>
      </c>
      <c r="E9" s="20">
        <f>'P&amp;L'!$E$19</f>
        <v>0</v>
      </c>
      <c r="F9" s="20">
        <f>'P&amp;L'!$F$19</f>
        <v>0</v>
      </c>
      <c r="G9" s="20">
        <f>'P&amp;L'!$G$19</f>
        <v>0</v>
      </c>
      <c r="H9" s="20">
        <f>'P&amp;L'!$H$19</f>
        <v>0</v>
      </c>
      <c r="I9" s="20">
        <f>'P&amp;L'!$I$19</f>
        <v>0</v>
      </c>
      <c r="J9" s="20">
        <f>'P&amp;L'!$J$19</f>
        <v>0</v>
      </c>
      <c r="K9" s="20">
        <f>'P&amp;L'!$K$19</f>
        <v>0</v>
      </c>
      <c r="L9" s="20">
        <f>'P&amp;L'!$L$19</f>
        <v>0</v>
      </c>
      <c r="M9" s="20">
        <f>'P&amp;L'!$M$19</f>
        <v>0</v>
      </c>
      <c r="N9" s="20">
        <f>'P&amp;L'!$N$19</f>
        <v>0</v>
      </c>
      <c r="O9" s="20">
        <f>'P&amp;L'!$O$19</f>
        <v>0</v>
      </c>
      <c r="P9" s="20">
        <f>'P&amp;L'!$P$19</f>
        <v>0</v>
      </c>
      <c r="Q9" s="20">
        <f>'P&amp;L'!$Q$19</f>
        <v>0</v>
      </c>
      <c r="R9" s="20">
        <f>'P&amp;L'!$R$19</f>
        <v>0</v>
      </c>
      <c r="S9" s="20">
        <f>'P&amp;L'!$S$19</f>
        <v>0</v>
      </c>
      <c r="T9" s="20">
        <f>'P&amp;L'!$T$19</f>
        <v>0</v>
      </c>
      <c r="U9" s="20">
        <f>'P&amp;L'!$U$19</f>
        <v>0</v>
      </c>
      <c r="V9" s="20">
        <f>'P&amp;L'!$V$19</f>
        <v>0</v>
      </c>
      <c r="W9" s="20">
        <f>'P&amp;L'!$W$19</f>
        <v>0</v>
      </c>
      <c r="X9" s="20">
        <f>'P&amp;L'!$X$19</f>
        <v>0</v>
      </c>
      <c r="Y9" s="20">
        <f>'P&amp;L'!$Y$19</f>
        <v>0</v>
      </c>
      <c r="Z9" s="20">
        <f>'P&amp;L'!$Z$19</f>
        <v>0</v>
      </c>
      <c r="AA9" s="20">
        <f>'P&amp;L'!$AA$19</f>
        <v>0</v>
      </c>
      <c r="AB9" s="20">
        <f>'P&amp;L'!$AB$19</f>
        <v>0</v>
      </c>
      <c r="AC9" s="20">
        <f>'P&amp;L'!$AC$19</f>
        <v>0</v>
      </c>
      <c r="AD9" s="20">
        <f>'P&amp;L'!$AD$19</f>
        <v>0</v>
      </c>
      <c r="AE9" s="20">
        <f>'P&amp;L'!$AE$19</f>
        <v>0</v>
      </c>
      <c r="AF9" s="20">
        <f>'P&amp;L'!$AF$19</f>
        <v>0</v>
      </c>
      <c r="AG9" s="20">
        <f>'P&amp;L'!$AG$19</f>
        <v>0</v>
      </c>
      <c r="AH9" s="20">
        <f>'P&amp;L'!$AH$19</f>
        <v>0</v>
      </c>
      <c r="AI9" s="20">
        <f>'P&amp;L'!$AI$19</f>
        <v>0</v>
      </c>
      <c r="AJ9" s="20">
        <f>'P&amp;L'!$AJ$19</f>
        <v>0</v>
      </c>
      <c r="AK9" s="20">
        <f>'P&amp;L'!$AK$19</f>
        <v>0</v>
      </c>
      <c r="AL9" s="20">
        <f>'P&amp;L'!$AL$19</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350</v>
      </c>
      <c r="B10" s="16"/>
      <c r="C10" s="20">
        <f>-'Working Capital'!C12</f>
        <v>0</v>
      </c>
      <c r="D10" s="20">
        <f>-'Working Capital'!D12</f>
        <v>0</v>
      </c>
      <c r="E10" s="20">
        <f>-'Working Capital'!E12</f>
        <v>0</v>
      </c>
      <c r="F10" s="20">
        <f>-'Working Capital'!F12</f>
        <v>0</v>
      </c>
      <c r="G10" s="20">
        <f>-'Working Capital'!G12</f>
        <v>0</v>
      </c>
      <c r="H10" s="20">
        <f>-'Working Capital'!H12</f>
        <v>0</v>
      </c>
      <c r="I10" s="20">
        <f>-'Working Capital'!I12</f>
        <v>0</v>
      </c>
      <c r="J10" s="20">
        <f>-'Working Capital'!J12</f>
        <v>0</v>
      </c>
      <c r="K10" s="20">
        <f>-'Working Capital'!K12</f>
        <v>0</v>
      </c>
      <c r="L10" s="20">
        <f>-'Working Capital'!L12</f>
        <v>0</v>
      </c>
      <c r="M10" s="20">
        <f>-'Working Capital'!M12</f>
        <v>0</v>
      </c>
      <c r="N10" s="20">
        <f>-'Working Capital'!N12</f>
        <v>0</v>
      </c>
      <c r="O10" s="20">
        <f>-'Working Capital'!O12</f>
        <v>0</v>
      </c>
      <c r="P10" s="20">
        <f>-'Working Capital'!P12</f>
        <v>0</v>
      </c>
      <c r="Q10" s="20">
        <f>-'Working Capital'!Q12</f>
        <v>0</v>
      </c>
      <c r="R10" s="20">
        <f>-'Working Capital'!R12</f>
        <v>0</v>
      </c>
      <c r="S10" s="20">
        <f>-'Working Capital'!S12</f>
        <v>0</v>
      </c>
      <c r="T10" s="20">
        <f>-'Working Capital'!T12</f>
        <v>0</v>
      </c>
      <c r="U10" s="20">
        <f>-'Working Capital'!U12</f>
        <v>0</v>
      </c>
      <c r="V10" s="20">
        <f>-'Working Capital'!V12</f>
        <v>0</v>
      </c>
      <c r="W10" s="20">
        <f>-'Working Capital'!W12</f>
        <v>0</v>
      </c>
      <c r="X10" s="20">
        <f>-'Working Capital'!X12</f>
        <v>0</v>
      </c>
      <c r="Y10" s="20">
        <f>-'Working Capital'!Y12</f>
        <v>0</v>
      </c>
      <c r="Z10" s="20">
        <f>-'Working Capital'!Z12</f>
        <v>0</v>
      </c>
      <c r="AA10" s="20">
        <f>-'Working Capital'!AA12</f>
        <v>0</v>
      </c>
      <c r="AB10" s="20">
        <f>-'Working Capital'!AB12</f>
        <v>0</v>
      </c>
      <c r="AC10" s="20">
        <f>-'Working Capital'!AC12</f>
        <v>0</v>
      </c>
      <c r="AD10" s="20">
        <f>-'Working Capital'!AD12</f>
        <v>0</v>
      </c>
      <c r="AE10" s="20">
        <f>-'Working Capital'!AE12</f>
        <v>0</v>
      </c>
      <c r="AF10" s="20">
        <f>-'Working Capital'!AF12</f>
        <v>0</v>
      </c>
      <c r="AG10" s="20">
        <f>-'Working Capital'!AG12</f>
        <v>0</v>
      </c>
      <c r="AH10" s="20">
        <f>-'Working Capital'!AH12</f>
        <v>0</v>
      </c>
      <c r="AI10" s="20">
        <f>-'Working Capital'!AI12</f>
        <v>0</v>
      </c>
      <c r="AJ10" s="20">
        <f>-'Working Capital'!AJ12</f>
        <v>0</v>
      </c>
      <c r="AK10" s="20">
        <f>-'Working Capital'!AK12</f>
        <v>0</v>
      </c>
      <c r="AL10" s="20">
        <f>-'Working Capital'!AL12</f>
        <v>0</v>
      </c>
      <c r="AN10" s="20">
        <f>SUM(C10:E10)</f>
        <v>0</v>
      </c>
      <c r="AO10" s="20">
        <f>SUM(F10:H10)</f>
        <v>0</v>
      </c>
      <c r="AP10" s="20">
        <f>SUM(I10:K10)</f>
        <v>0</v>
      </c>
      <c r="AQ10" s="20">
        <f>SUM(L10:N10)</f>
        <v>0</v>
      </c>
      <c r="AR10" s="20">
        <f>SUM(O10:Q10)</f>
        <v>0</v>
      </c>
      <c r="AS10" s="20">
        <f>SUM(R10:T10)</f>
        <v>0</v>
      </c>
      <c r="AT10" s="20">
        <f>SUM(U10:W10)</f>
        <v>0</v>
      </c>
      <c r="AU10" s="20">
        <f>SUM(X10:Z10)</f>
        <v>0</v>
      </c>
      <c r="AV10" s="20">
        <f>SUM(AA10:AC10)</f>
        <v>0</v>
      </c>
      <c r="AW10" s="20">
        <f>SUM(AD10:AF10)</f>
        <v>0</v>
      </c>
      <c r="AX10" s="20">
        <f>SUM(AG10:AI10)</f>
        <v>0</v>
      </c>
      <c r="AY10" s="20">
        <f>SUM(AJ10:AL10)</f>
        <v>0</v>
      </c>
      <c r="BA10" s="20">
        <f>SUM(C10:N10)</f>
        <v>0</v>
      </c>
      <c r="BB10" s="20">
        <f>SUM(O10:Z10)</f>
        <v>0</v>
      </c>
      <c r="BC10" s="20">
        <f>SUM(AA10:AL10)</f>
        <v>0</v>
      </c>
    </row>
    <row r="11" spans="1:55">
      <c r="A11" s="18" t="s">
        <v>351</v>
      </c>
      <c r="B11" s="16"/>
      <c r="C11" s="20">
        <f>-'Working Capital'!C15</f>
        <v>0</v>
      </c>
      <c r="D11" s="20">
        <f>-'Working Capital'!D15</f>
        <v>0</v>
      </c>
      <c r="E11" s="20">
        <f>-'Working Capital'!E15</f>
        <v>0</v>
      </c>
      <c r="F11" s="20">
        <f>-'Working Capital'!F15</f>
        <v>0</v>
      </c>
      <c r="G11" s="20">
        <f>-'Working Capital'!G15</f>
        <v>0</v>
      </c>
      <c r="H11" s="20">
        <f>-'Working Capital'!H15</f>
        <v>0</v>
      </c>
      <c r="I11" s="20">
        <f>-'Working Capital'!I15</f>
        <v>0</v>
      </c>
      <c r="J11" s="20">
        <f>-'Working Capital'!J15</f>
        <v>0</v>
      </c>
      <c r="K11" s="20">
        <f>-'Working Capital'!K15</f>
        <v>0</v>
      </c>
      <c r="L11" s="20">
        <f>-'Working Capital'!L15</f>
        <v>0</v>
      </c>
      <c r="M11" s="20">
        <f>-'Working Capital'!M15</f>
        <v>0</v>
      </c>
      <c r="N11" s="20">
        <f>-'Working Capital'!N15</f>
        <v>0</v>
      </c>
      <c r="O11" s="20">
        <f>-'Working Capital'!O15</f>
        <v>0</v>
      </c>
      <c r="P11" s="20">
        <f>-'Working Capital'!P15</f>
        <v>0</v>
      </c>
      <c r="Q11" s="20">
        <f>-'Working Capital'!Q15</f>
        <v>0</v>
      </c>
      <c r="R11" s="20">
        <f>-'Working Capital'!R15</f>
        <v>0</v>
      </c>
      <c r="S11" s="20">
        <f>-'Working Capital'!S15</f>
        <v>0</v>
      </c>
      <c r="T11" s="20">
        <f>-'Working Capital'!T15</f>
        <v>0</v>
      </c>
      <c r="U11" s="20">
        <f>-'Working Capital'!U15</f>
        <v>0</v>
      </c>
      <c r="V11" s="20">
        <f>-'Working Capital'!V15</f>
        <v>0</v>
      </c>
      <c r="W11" s="20">
        <f>-'Working Capital'!W15</f>
        <v>0</v>
      </c>
      <c r="X11" s="20">
        <f>-'Working Capital'!X15</f>
        <v>0</v>
      </c>
      <c r="Y11" s="20">
        <f>-'Working Capital'!Y15</f>
        <v>0</v>
      </c>
      <c r="Z11" s="20">
        <f>-'Working Capital'!Z15</f>
        <v>0</v>
      </c>
      <c r="AA11" s="20">
        <f>-'Working Capital'!AA15</f>
        <v>0</v>
      </c>
      <c r="AB11" s="20">
        <f>-'Working Capital'!AB15</f>
        <v>0</v>
      </c>
      <c r="AC11" s="20">
        <f>-'Working Capital'!AC15</f>
        <v>0</v>
      </c>
      <c r="AD11" s="20">
        <f>-'Working Capital'!AD15</f>
        <v>0</v>
      </c>
      <c r="AE11" s="20">
        <f>-'Working Capital'!AE15</f>
        <v>0</v>
      </c>
      <c r="AF11" s="20">
        <f>-'Working Capital'!AF15</f>
        <v>0</v>
      </c>
      <c r="AG11" s="20">
        <f>-'Working Capital'!AG15</f>
        <v>0</v>
      </c>
      <c r="AH11" s="20">
        <f>-'Working Capital'!AH15</f>
        <v>0</v>
      </c>
      <c r="AI11" s="20">
        <f>-'Working Capital'!AI15</f>
        <v>0</v>
      </c>
      <c r="AJ11" s="20">
        <f>-'Working Capital'!AJ15</f>
        <v>0</v>
      </c>
      <c r="AK11" s="20">
        <f>-'Working Capital'!AK15</f>
        <v>0</v>
      </c>
      <c r="AL11" s="20">
        <f>-'Working Capital'!AL15</f>
        <v>0</v>
      </c>
      <c r="AN11" s="20">
        <f>SUM(C11:E11)</f>
        <v>0</v>
      </c>
      <c r="AO11" s="20">
        <f>SUM(F11:H11)</f>
        <v>0</v>
      </c>
      <c r="AP11" s="20">
        <f>SUM(I11:K11)</f>
        <v>0</v>
      </c>
      <c r="AQ11" s="20">
        <f>SUM(L11:N11)</f>
        <v>0</v>
      </c>
      <c r="AR11" s="20">
        <f>SUM(O11:Q11)</f>
        <v>0</v>
      </c>
      <c r="AS11" s="20">
        <f>SUM(R11:T11)</f>
        <v>0</v>
      </c>
      <c r="AT11" s="20">
        <f>SUM(U11:W11)</f>
        <v>0</v>
      </c>
      <c r="AU11" s="20">
        <f>SUM(X11:Z11)</f>
        <v>0</v>
      </c>
      <c r="AV11" s="20">
        <f>SUM(AA11:AC11)</f>
        <v>0</v>
      </c>
      <c r="AW11" s="20">
        <f>SUM(AD11:AF11)</f>
        <v>0</v>
      </c>
      <c r="AX11" s="20">
        <f>SUM(AG11:AI11)</f>
        <v>0</v>
      </c>
      <c r="AY11" s="20">
        <f>SUM(AJ11:AL11)</f>
        <v>0</v>
      </c>
      <c r="BA11" s="20">
        <f>SUM(C11:N11)</f>
        <v>0</v>
      </c>
      <c r="BB11" s="20">
        <f>SUM(O11:Z11)</f>
        <v>0</v>
      </c>
      <c r="BC11" s="20">
        <f>SUM(AA11:AL11)</f>
        <v>0</v>
      </c>
    </row>
    <row r="12" spans="1:55">
      <c r="A12" s="18" t="s">
        <v>352</v>
      </c>
      <c r="B12" s="16"/>
      <c r="C12" s="20">
        <f>'Working Capital'!C13</f>
        <v>0</v>
      </c>
      <c r="D12" s="20">
        <f>'Working Capital'!D13</f>
        <v>0</v>
      </c>
      <c r="E12" s="20">
        <f>'Working Capital'!E13</f>
        <v>0</v>
      </c>
      <c r="F12" s="20">
        <f>'Working Capital'!F13</f>
        <v>0</v>
      </c>
      <c r="G12" s="20">
        <f>'Working Capital'!G13</f>
        <v>0</v>
      </c>
      <c r="H12" s="20">
        <f>'Working Capital'!H13</f>
        <v>0</v>
      </c>
      <c r="I12" s="20">
        <f>'Working Capital'!I13</f>
        <v>0</v>
      </c>
      <c r="J12" s="20">
        <f>'Working Capital'!J13</f>
        <v>0</v>
      </c>
      <c r="K12" s="20">
        <f>'Working Capital'!K13</f>
        <v>0</v>
      </c>
      <c r="L12" s="20">
        <f>'Working Capital'!L13</f>
        <v>0</v>
      </c>
      <c r="M12" s="20">
        <f>'Working Capital'!M13</f>
        <v>0</v>
      </c>
      <c r="N12" s="20">
        <f>'Working Capital'!N13</f>
        <v>0</v>
      </c>
      <c r="O12" s="20">
        <f>'Working Capital'!O13</f>
        <v>0</v>
      </c>
      <c r="P12" s="20">
        <f>'Working Capital'!P13</f>
        <v>0</v>
      </c>
      <c r="Q12" s="20">
        <f>'Working Capital'!Q13</f>
        <v>0</v>
      </c>
      <c r="R12" s="20">
        <f>'Working Capital'!R13</f>
        <v>0</v>
      </c>
      <c r="S12" s="20">
        <f>'Working Capital'!S13</f>
        <v>0</v>
      </c>
      <c r="T12" s="20">
        <f>'Working Capital'!T13</f>
        <v>0</v>
      </c>
      <c r="U12" s="20">
        <f>'Working Capital'!U13</f>
        <v>0</v>
      </c>
      <c r="V12" s="20">
        <f>'Working Capital'!V13</f>
        <v>0</v>
      </c>
      <c r="W12" s="20">
        <f>'Working Capital'!W13</f>
        <v>0</v>
      </c>
      <c r="X12" s="20">
        <f>'Working Capital'!X13</f>
        <v>0</v>
      </c>
      <c r="Y12" s="20">
        <f>'Working Capital'!Y13</f>
        <v>0</v>
      </c>
      <c r="Z12" s="20">
        <f>'Working Capital'!Z13</f>
        <v>0</v>
      </c>
      <c r="AA12" s="20">
        <f>'Working Capital'!AA13</f>
        <v>0</v>
      </c>
      <c r="AB12" s="20">
        <f>'Working Capital'!AB13</f>
        <v>0</v>
      </c>
      <c r="AC12" s="20">
        <f>'Working Capital'!AC13</f>
        <v>0</v>
      </c>
      <c r="AD12" s="20">
        <f>'Working Capital'!AD13</f>
        <v>0</v>
      </c>
      <c r="AE12" s="20">
        <f>'Working Capital'!AE13</f>
        <v>0</v>
      </c>
      <c r="AF12" s="20">
        <f>'Working Capital'!AF13</f>
        <v>0</v>
      </c>
      <c r="AG12" s="20">
        <f>'Working Capital'!AG13</f>
        <v>0</v>
      </c>
      <c r="AH12" s="20">
        <f>'Working Capital'!AH13</f>
        <v>0</v>
      </c>
      <c r="AI12" s="20">
        <f>'Working Capital'!AI13</f>
        <v>0</v>
      </c>
      <c r="AJ12" s="20">
        <f>'Working Capital'!AJ13</f>
        <v>0</v>
      </c>
      <c r="AK12" s="20">
        <f>'Working Capital'!AK13</f>
        <v>0</v>
      </c>
      <c r="AL12" s="20">
        <f>'Working Capital'!AL13</f>
        <v>0</v>
      </c>
      <c r="AN12" s="20">
        <f>SUM(C12:E12)</f>
        <v>0</v>
      </c>
      <c r="AO12" s="20">
        <f>SUM(F12:H12)</f>
        <v>0</v>
      </c>
      <c r="AP12" s="20">
        <f>SUM(I12:K12)</f>
        <v>0</v>
      </c>
      <c r="AQ12" s="20">
        <f>SUM(L12:N12)</f>
        <v>0</v>
      </c>
      <c r="AR12" s="20">
        <f>SUM(O12:Q12)</f>
        <v>0</v>
      </c>
      <c r="AS12" s="20">
        <f>SUM(R12:T12)</f>
        <v>0</v>
      </c>
      <c r="AT12" s="20">
        <f>SUM(U12:W12)</f>
        <v>0</v>
      </c>
      <c r="AU12" s="20">
        <f>SUM(X12:Z12)</f>
        <v>0</v>
      </c>
      <c r="AV12" s="20">
        <f>SUM(AA12:AC12)</f>
        <v>0</v>
      </c>
      <c r="AW12" s="20">
        <f>SUM(AD12:AF12)</f>
        <v>0</v>
      </c>
      <c r="AX12" s="20">
        <f>SUM(AG12:AI12)</f>
        <v>0</v>
      </c>
      <c r="AY12" s="20">
        <f>SUM(AJ12:AL12)</f>
        <v>0</v>
      </c>
      <c r="BA12" s="20">
        <f>SUM(C12:N12)</f>
        <v>0</v>
      </c>
      <c r="BB12" s="20">
        <f>SUM(O12:Z12)</f>
        <v>0</v>
      </c>
      <c r="BC12" s="20">
        <f>SUM(AA12:AL12)</f>
        <v>0</v>
      </c>
    </row>
    <row r="13" spans="1:55">
      <c r="A13" s="18" t="s">
        <v>353</v>
      </c>
      <c r="B13" s="16"/>
      <c r="C13" s="20">
        <f>'Working Capital'!C14</f>
        <v>0</v>
      </c>
      <c r="D13" s="20">
        <f>'Working Capital'!D14</f>
        <v>0</v>
      </c>
      <c r="E13" s="20">
        <f>'Working Capital'!E14</f>
        <v>0</v>
      </c>
      <c r="F13" s="20">
        <f>'Working Capital'!F14</f>
        <v>0</v>
      </c>
      <c r="G13" s="20">
        <f>'Working Capital'!G14</f>
        <v>0</v>
      </c>
      <c r="H13" s="20">
        <f>'Working Capital'!H14</f>
        <v>0</v>
      </c>
      <c r="I13" s="20">
        <f>'Working Capital'!I14</f>
        <v>0</v>
      </c>
      <c r="J13" s="20">
        <f>'Working Capital'!J14</f>
        <v>0</v>
      </c>
      <c r="K13" s="20">
        <f>'Working Capital'!K14</f>
        <v>0</v>
      </c>
      <c r="L13" s="20">
        <f>'Working Capital'!L14</f>
        <v>0</v>
      </c>
      <c r="M13" s="20">
        <f>'Working Capital'!M14</f>
        <v>0</v>
      </c>
      <c r="N13" s="20">
        <f>'Working Capital'!N14</f>
        <v>0</v>
      </c>
      <c r="O13" s="20">
        <f>'Working Capital'!O14</f>
        <v>0</v>
      </c>
      <c r="P13" s="20">
        <f>'Working Capital'!P14</f>
        <v>0</v>
      </c>
      <c r="Q13" s="20">
        <f>'Working Capital'!Q14</f>
        <v>0</v>
      </c>
      <c r="R13" s="20">
        <f>'Working Capital'!R14</f>
        <v>0</v>
      </c>
      <c r="S13" s="20">
        <f>'Working Capital'!S14</f>
        <v>0</v>
      </c>
      <c r="T13" s="20">
        <f>'Working Capital'!T14</f>
        <v>0</v>
      </c>
      <c r="U13" s="20">
        <f>'Working Capital'!U14</f>
        <v>0</v>
      </c>
      <c r="V13" s="20">
        <f>'Working Capital'!V14</f>
        <v>0</v>
      </c>
      <c r="W13" s="20">
        <f>'Working Capital'!W14</f>
        <v>0</v>
      </c>
      <c r="X13" s="20">
        <f>'Working Capital'!X14</f>
        <v>0</v>
      </c>
      <c r="Y13" s="20">
        <f>'Working Capital'!Y14</f>
        <v>0</v>
      </c>
      <c r="Z13" s="20">
        <f>'Working Capital'!Z14</f>
        <v>0</v>
      </c>
      <c r="AA13" s="20">
        <f>'Working Capital'!AA14</f>
        <v>0</v>
      </c>
      <c r="AB13" s="20">
        <f>'Working Capital'!AB14</f>
        <v>0</v>
      </c>
      <c r="AC13" s="20">
        <f>'Working Capital'!AC14</f>
        <v>0</v>
      </c>
      <c r="AD13" s="20">
        <f>'Working Capital'!AD14</f>
        <v>0</v>
      </c>
      <c r="AE13" s="20">
        <f>'Working Capital'!AE14</f>
        <v>0</v>
      </c>
      <c r="AF13" s="20">
        <f>'Working Capital'!AF14</f>
        <v>0</v>
      </c>
      <c r="AG13" s="20">
        <f>'Working Capital'!AG14</f>
        <v>0</v>
      </c>
      <c r="AH13" s="20">
        <f>'Working Capital'!AH14</f>
        <v>0</v>
      </c>
      <c r="AI13" s="20">
        <f>'Working Capital'!AI14</f>
        <v>0</v>
      </c>
      <c r="AJ13" s="20">
        <f>'Working Capital'!AJ14</f>
        <v>0</v>
      </c>
      <c r="AK13" s="20">
        <f>'Working Capital'!AK14</f>
        <v>0</v>
      </c>
      <c r="AL13" s="20">
        <f>'Working Capital'!AL14</f>
        <v>0</v>
      </c>
      <c r="AN13" s="20">
        <f>SUM(C13:E13)</f>
        <v>0</v>
      </c>
      <c r="AO13" s="20">
        <f>SUM(F13:H13)</f>
        <v>0</v>
      </c>
      <c r="AP13" s="20">
        <f>SUM(I13:K13)</f>
        <v>0</v>
      </c>
      <c r="AQ13" s="20">
        <f>SUM(L13:N13)</f>
        <v>0</v>
      </c>
      <c r="AR13" s="20">
        <f>SUM(O13:Q13)</f>
        <v>0</v>
      </c>
      <c r="AS13" s="20">
        <f>SUM(R13:T13)</f>
        <v>0</v>
      </c>
      <c r="AT13" s="20">
        <f>SUM(U13:W13)</f>
        <v>0</v>
      </c>
      <c r="AU13" s="20">
        <f>SUM(X13:Z13)</f>
        <v>0</v>
      </c>
      <c r="AV13" s="20">
        <f>SUM(AA13:AC13)</f>
        <v>0</v>
      </c>
      <c r="AW13" s="20">
        <f>SUM(AD13:AF13)</f>
        <v>0</v>
      </c>
      <c r="AX13" s="20">
        <f>SUM(AG13:AI13)</f>
        <v>0</v>
      </c>
      <c r="AY13" s="20">
        <f>SUM(AJ13:AL13)</f>
        <v>0</v>
      </c>
      <c r="BA13" s="20">
        <f>SUM(C13:N13)</f>
        <v>0</v>
      </c>
      <c r="BB13" s="20">
        <f>SUM(O13:Z13)</f>
        <v>0</v>
      </c>
      <c r="BC13" s="20">
        <f>SUM(AA13:AL13)</f>
        <v>0</v>
      </c>
    </row>
    <row r="14" spans="1:55">
      <c r="A14" s="28" t="s">
        <v>354</v>
      </c>
      <c r="B14" s="16"/>
      <c r="C14" s="29">
        <f>C8+C9+C10+C11+C12+C13</f>
        <v>0</v>
      </c>
      <c r="D14" s="29">
        <f>D8+D9+D10+D11+D12+D13</f>
        <v>0</v>
      </c>
      <c r="E14" s="29">
        <f>E8+E9+E10+E11+E12+E13</f>
        <v>0</v>
      </c>
      <c r="F14" s="29">
        <f>F8+F9+F10+F11+F12+F13</f>
        <v>0</v>
      </c>
      <c r="G14" s="29">
        <f>G8+G9+G10+G11+G12+G13</f>
        <v>0</v>
      </c>
      <c r="H14" s="29">
        <f>H8+H9+H10+H11+H12+H13</f>
        <v>0</v>
      </c>
      <c r="I14" s="29">
        <f>I8+I9+I10+I11+I12+I13</f>
        <v>0</v>
      </c>
      <c r="J14" s="29">
        <f>J8+J9+J10+J11+J12+J13</f>
        <v>0</v>
      </c>
      <c r="K14" s="29">
        <f>K8+K9+K10+K11+K12+K13</f>
        <v>0</v>
      </c>
      <c r="L14" s="29">
        <f>L8+L9+L10+L11+L12+L13</f>
        <v>0</v>
      </c>
      <c r="M14" s="29">
        <f>M8+M9+M10+M11+M12+M13</f>
        <v>0</v>
      </c>
      <c r="N14" s="29">
        <f>N8+N9+N10+N11+N12+N13</f>
        <v>0</v>
      </c>
      <c r="O14" s="29">
        <f>O8+O9+O10+O11+O12+O13</f>
        <v>0</v>
      </c>
      <c r="P14" s="29">
        <f>P8+P9+P10+P11+P12+P13</f>
        <v>0</v>
      </c>
      <c r="Q14" s="29">
        <f>Q8+Q9+Q10+Q11+Q12+Q13</f>
        <v>0</v>
      </c>
      <c r="R14" s="29">
        <f>R8+R9+R10+R11+R12+R13</f>
        <v>0</v>
      </c>
      <c r="S14" s="29">
        <f>S8+S9+S10+S11+S12+S13</f>
        <v>0</v>
      </c>
      <c r="T14" s="29">
        <f>T8+T9+T10+T11+T12+T13</f>
        <v>0</v>
      </c>
      <c r="U14" s="29">
        <f>U8+U9+U10+U11+U12+U13</f>
        <v>0</v>
      </c>
      <c r="V14" s="29">
        <f>V8+V9+V10+V11+V12+V13</f>
        <v>0</v>
      </c>
      <c r="W14" s="29">
        <f>W8+W9+W10+W11+W12+W13</f>
        <v>0</v>
      </c>
      <c r="X14" s="29">
        <f>X8+X9+X10+X11+X12+X13</f>
        <v>0</v>
      </c>
      <c r="Y14" s="29">
        <f>Y8+Y9+Y10+Y11+Y12+Y13</f>
        <v>0</v>
      </c>
      <c r="Z14" s="29">
        <f>Z8+Z9+Z10+Z11+Z12+Z13</f>
        <v>0</v>
      </c>
      <c r="AA14" s="29">
        <f>AA8+AA9+AA10+AA11+AA12+AA13</f>
        <v>0</v>
      </c>
      <c r="AB14" s="29">
        <f>AB8+AB9+AB10+AB11+AB12+AB13</f>
        <v>0</v>
      </c>
      <c r="AC14" s="29">
        <f>AC8+AC9+AC10+AC11+AC12+AC13</f>
        <v>0</v>
      </c>
      <c r="AD14" s="29">
        <f>AD8+AD9+AD10+AD11+AD12+AD13</f>
        <v>0</v>
      </c>
      <c r="AE14" s="29">
        <f>AE8+AE9+AE10+AE11+AE12+AE13</f>
        <v>0</v>
      </c>
      <c r="AF14" s="29">
        <f>AF8+AF9+AF10+AF11+AF12+AF13</f>
        <v>0</v>
      </c>
      <c r="AG14" s="29">
        <f>AG8+AG9+AG10+AG11+AG12+AG13</f>
        <v>0</v>
      </c>
      <c r="AH14" s="29">
        <f>AH8+AH9+AH10+AH11+AH12+AH13</f>
        <v>0</v>
      </c>
      <c r="AI14" s="29">
        <f>AI8+AI9+AI10+AI11+AI12+AI13</f>
        <v>0</v>
      </c>
      <c r="AJ14" s="29">
        <f>AJ8+AJ9+AJ10+AJ11+AJ12+AJ13</f>
        <v>0</v>
      </c>
      <c r="AK14" s="29">
        <f>AK8+AK9+AK10+AK11+AK12+AK13</f>
        <v>0</v>
      </c>
      <c r="AL14" s="29">
        <f>AL8+AL9+AL10+AL11+AL12+AL13</f>
        <v>0</v>
      </c>
      <c r="AN14" s="29">
        <f>SUM(C14:E14)</f>
        <v>0</v>
      </c>
      <c r="AO14" s="29">
        <f>SUM(F14:H14)</f>
        <v>0</v>
      </c>
      <c r="AP14" s="29">
        <f>SUM(I14:K14)</f>
        <v>0</v>
      </c>
      <c r="AQ14" s="29">
        <f>SUM(L14:N14)</f>
        <v>0</v>
      </c>
      <c r="AR14" s="29">
        <f>SUM(O14:Q14)</f>
        <v>0</v>
      </c>
      <c r="AS14" s="29">
        <f>SUM(R14:T14)</f>
        <v>0</v>
      </c>
      <c r="AT14" s="29">
        <f>SUM(U14:W14)</f>
        <v>0</v>
      </c>
      <c r="AU14" s="29">
        <f>SUM(X14:Z14)</f>
        <v>0</v>
      </c>
      <c r="AV14" s="29">
        <f>SUM(AA14:AC14)</f>
        <v>0</v>
      </c>
      <c r="AW14" s="29">
        <f>SUM(AD14:AF14)</f>
        <v>0</v>
      </c>
      <c r="AX14" s="29">
        <f>SUM(AG14:AI14)</f>
        <v>0</v>
      </c>
      <c r="AY14" s="29">
        <f>SUM(AJ14:AL14)</f>
        <v>0</v>
      </c>
      <c r="BA14" s="29">
        <f>SUM(C14:N14)</f>
        <v>0</v>
      </c>
      <c r="BB14" s="29">
        <f>SUM(O14:Z14)</f>
        <v>0</v>
      </c>
      <c r="BC14" s="29">
        <f>SUM(AA14:AL14)</f>
        <v>0</v>
      </c>
    </row>
    <row r="15" spans="1:55" ht="5" customHeight="1"/>
    <row r="16" spans="1:55" ht="16" customHeight="1">
      <c r="A16" s="14" t="s">
        <v>355</v>
      </c>
      <c r="B16" s="14"/>
      <c r="C16" s="14"/>
      <c r="D16" s="14"/>
      <c r="E16" s="14"/>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row>
    <row r="17" spans="1:55">
      <c r="A17" s="18" t="s">
        <v>356</v>
      </c>
      <c r="B17" s="16"/>
      <c r="C17" s="20">
        <f>-'Working Capital'!C18</f>
        <v>0</v>
      </c>
      <c r="D17" s="20">
        <f>-'Working Capital'!D18</f>
        <v>0</v>
      </c>
      <c r="E17" s="20">
        <f>-'Working Capital'!E18</f>
        <v>0</v>
      </c>
      <c r="F17" s="20">
        <f>-'Working Capital'!F18</f>
        <v>0</v>
      </c>
      <c r="G17" s="20">
        <f>-'Working Capital'!G18</f>
        <v>0</v>
      </c>
      <c r="H17" s="20">
        <f>-'Working Capital'!H18</f>
        <v>0</v>
      </c>
      <c r="I17" s="20">
        <f>-'Working Capital'!I18</f>
        <v>0</v>
      </c>
      <c r="J17" s="20">
        <f>-'Working Capital'!J18</f>
        <v>0</v>
      </c>
      <c r="K17" s="20">
        <f>-'Working Capital'!K18</f>
        <v>0</v>
      </c>
      <c r="L17" s="20">
        <f>-'Working Capital'!L18</f>
        <v>0</v>
      </c>
      <c r="M17" s="20">
        <f>-'Working Capital'!M18</f>
        <v>0</v>
      </c>
      <c r="N17" s="20">
        <f>-'Working Capital'!N18</f>
        <v>0</v>
      </c>
      <c r="O17" s="20">
        <f>-'Working Capital'!O18</f>
        <v>0</v>
      </c>
      <c r="P17" s="20">
        <f>-'Working Capital'!P18</f>
        <v>0</v>
      </c>
      <c r="Q17" s="20">
        <f>-'Working Capital'!Q18</f>
        <v>0</v>
      </c>
      <c r="R17" s="20">
        <f>-'Working Capital'!R18</f>
        <v>0</v>
      </c>
      <c r="S17" s="20">
        <f>-'Working Capital'!S18</f>
        <v>0</v>
      </c>
      <c r="T17" s="20">
        <f>-'Working Capital'!T18</f>
        <v>0</v>
      </c>
      <c r="U17" s="20">
        <f>-'Working Capital'!U18</f>
        <v>0</v>
      </c>
      <c r="V17" s="20">
        <f>-'Working Capital'!V18</f>
        <v>0</v>
      </c>
      <c r="W17" s="20">
        <f>-'Working Capital'!W18</f>
        <v>0</v>
      </c>
      <c r="X17" s="20">
        <f>-'Working Capital'!X18</f>
        <v>0</v>
      </c>
      <c r="Y17" s="20">
        <f>-'Working Capital'!Y18</f>
        <v>0</v>
      </c>
      <c r="Z17" s="20">
        <f>-'Working Capital'!Z18</f>
        <v>0</v>
      </c>
      <c r="AA17" s="20">
        <f>-'Working Capital'!AA18</f>
        <v>0</v>
      </c>
      <c r="AB17" s="20">
        <f>-'Working Capital'!AB18</f>
        <v>0</v>
      </c>
      <c r="AC17" s="20">
        <f>-'Working Capital'!AC18</f>
        <v>0</v>
      </c>
      <c r="AD17" s="20">
        <f>-'Working Capital'!AD18</f>
        <v>0</v>
      </c>
      <c r="AE17" s="20">
        <f>-'Working Capital'!AE18</f>
        <v>0</v>
      </c>
      <c r="AF17" s="20">
        <f>-'Working Capital'!AF18</f>
        <v>0</v>
      </c>
      <c r="AG17" s="20">
        <f>-'Working Capital'!AG18</f>
        <v>0</v>
      </c>
      <c r="AH17" s="20">
        <f>-'Working Capital'!AH18</f>
        <v>0</v>
      </c>
      <c r="AI17" s="20">
        <f>-'Working Capital'!AI18</f>
        <v>0</v>
      </c>
      <c r="AJ17" s="20">
        <f>-'Working Capital'!AJ18</f>
        <v>0</v>
      </c>
      <c r="AK17" s="20">
        <f>-'Working Capital'!AK18</f>
        <v>0</v>
      </c>
      <c r="AL17" s="20">
        <f>-'Working Capital'!AL18</f>
        <v>0</v>
      </c>
      <c r="AN17" s="20">
        <f>SUM(C17:E17)</f>
        <v>0</v>
      </c>
      <c r="AO17" s="20">
        <f>SUM(F17:H17)</f>
        <v>0</v>
      </c>
      <c r="AP17" s="20">
        <f>SUM(I17:K17)</f>
        <v>0</v>
      </c>
      <c r="AQ17" s="20">
        <f>SUM(L17:N17)</f>
        <v>0</v>
      </c>
      <c r="AR17" s="20">
        <f>SUM(O17:Q17)</f>
        <v>0</v>
      </c>
      <c r="AS17" s="20">
        <f>SUM(R17:T17)</f>
        <v>0</v>
      </c>
      <c r="AT17" s="20">
        <f>SUM(U17:W17)</f>
        <v>0</v>
      </c>
      <c r="AU17" s="20">
        <f>SUM(X17:Z17)</f>
        <v>0</v>
      </c>
      <c r="AV17" s="20">
        <f>SUM(AA17:AC17)</f>
        <v>0</v>
      </c>
      <c r="AW17" s="20">
        <f>SUM(AD17:AF17)</f>
        <v>0</v>
      </c>
      <c r="AX17" s="20">
        <f>SUM(AG17:AI17)</f>
        <v>0</v>
      </c>
      <c r="AY17" s="20">
        <f>SUM(AJ17:AL17)</f>
        <v>0</v>
      </c>
      <c r="BA17" s="20">
        <f>SUM(C17:N17)</f>
        <v>0</v>
      </c>
      <c r="BB17" s="20">
        <f>SUM(O17:Z17)</f>
        <v>0</v>
      </c>
      <c r="BC17" s="20">
        <f>SUM(AA17:AL17)</f>
        <v>0</v>
      </c>
    </row>
    <row r="18" spans="1:55">
      <c r="A18" s="28" t="s">
        <v>357</v>
      </c>
      <c r="B18" s="16"/>
      <c r="C18" s="29">
        <f>C17</f>
        <v>0</v>
      </c>
      <c r="D18" s="29">
        <f>D17</f>
        <v>0</v>
      </c>
      <c r="E18" s="29">
        <f>E17</f>
        <v>0</v>
      </c>
      <c r="F18" s="29">
        <f>F17</f>
        <v>0</v>
      </c>
      <c r="G18" s="29">
        <f>G17</f>
        <v>0</v>
      </c>
      <c r="H18" s="29">
        <f>H17</f>
        <v>0</v>
      </c>
      <c r="I18" s="29">
        <f>I17</f>
        <v>0</v>
      </c>
      <c r="J18" s="29">
        <f>J17</f>
        <v>0</v>
      </c>
      <c r="K18" s="29">
        <f>K17</f>
        <v>0</v>
      </c>
      <c r="L18" s="29">
        <f>L17</f>
        <v>0</v>
      </c>
      <c r="M18" s="29">
        <f>M17</f>
        <v>0</v>
      </c>
      <c r="N18" s="29">
        <f>N17</f>
        <v>0</v>
      </c>
      <c r="O18" s="29">
        <f>O17</f>
        <v>0</v>
      </c>
      <c r="P18" s="29">
        <f>P17</f>
        <v>0</v>
      </c>
      <c r="Q18" s="29">
        <f>Q17</f>
        <v>0</v>
      </c>
      <c r="R18" s="29">
        <f>R17</f>
        <v>0</v>
      </c>
      <c r="S18" s="29">
        <f>S17</f>
        <v>0</v>
      </c>
      <c r="T18" s="29">
        <f>T17</f>
        <v>0</v>
      </c>
      <c r="U18" s="29">
        <f>U17</f>
        <v>0</v>
      </c>
      <c r="V18" s="29">
        <f>V17</f>
        <v>0</v>
      </c>
      <c r="W18" s="29">
        <f>W17</f>
        <v>0</v>
      </c>
      <c r="X18" s="29">
        <f>X17</f>
        <v>0</v>
      </c>
      <c r="Y18" s="29">
        <f>Y17</f>
        <v>0</v>
      </c>
      <c r="Z18" s="29">
        <f>Z17</f>
        <v>0</v>
      </c>
      <c r="AA18" s="29">
        <f>AA17</f>
        <v>0</v>
      </c>
      <c r="AB18" s="29">
        <f>AB17</f>
        <v>0</v>
      </c>
      <c r="AC18" s="29">
        <f>AC17</f>
        <v>0</v>
      </c>
      <c r="AD18" s="29">
        <f>AD17</f>
        <v>0</v>
      </c>
      <c r="AE18" s="29">
        <f>AE17</f>
        <v>0</v>
      </c>
      <c r="AF18" s="29">
        <f>AF17</f>
        <v>0</v>
      </c>
      <c r="AG18" s="29">
        <f>AG17</f>
        <v>0</v>
      </c>
      <c r="AH18" s="29">
        <f>AH17</f>
        <v>0</v>
      </c>
      <c r="AI18" s="29">
        <f>AI17</f>
        <v>0</v>
      </c>
      <c r="AJ18" s="29">
        <f>AJ17</f>
        <v>0</v>
      </c>
      <c r="AK18" s="29">
        <f>AK17</f>
        <v>0</v>
      </c>
      <c r="AL18" s="29">
        <f>AL17</f>
        <v>0</v>
      </c>
      <c r="AN18" s="29">
        <f>SUM(C18:E18)</f>
        <v>0</v>
      </c>
      <c r="AO18" s="29">
        <f>SUM(F18:H18)</f>
        <v>0</v>
      </c>
      <c r="AP18" s="29">
        <f>SUM(I18:K18)</f>
        <v>0</v>
      </c>
      <c r="AQ18" s="29">
        <f>SUM(L18:N18)</f>
        <v>0</v>
      </c>
      <c r="AR18" s="29">
        <f>SUM(O18:Q18)</f>
        <v>0</v>
      </c>
      <c r="AS18" s="29">
        <f>SUM(R18:T18)</f>
        <v>0</v>
      </c>
      <c r="AT18" s="29">
        <f>SUM(U18:W18)</f>
        <v>0</v>
      </c>
      <c r="AU18" s="29">
        <f>SUM(X18:Z18)</f>
        <v>0</v>
      </c>
      <c r="AV18" s="29">
        <f>SUM(AA18:AC18)</f>
        <v>0</v>
      </c>
      <c r="AW18" s="29">
        <f>SUM(AD18:AF18)</f>
        <v>0</v>
      </c>
      <c r="AX18" s="29">
        <f>SUM(AG18:AI18)</f>
        <v>0</v>
      </c>
      <c r="AY18" s="29">
        <f>SUM(AJ18:AL18)</f>
        <v>0</v>
      </c>
      <c r="BA18" s="29">
        <f>SUM(C18:N18)</f>
        <v>0</v>
      </c>
      <c r="BB18" s="29">
        <f>SUM(O18:Z18)</f>
        <v>0</v>
      </c>
      <c r="BC18" s="29">
        <f>SUM(AA18:AL18)</f>
        <v>0</v>
      </c>
    </row>
    <row r="19" spans="1:55" ht="5" customHeight="1"/>
    <row r="20" spans="1:55" ht="16" customHeight="1">
      <c r="A20" s="14" t="s">
        <v>358</v>
      </c>
      <c r="B20" s="14"/>
      <c r="C20" s="14"/>
      <c r="D20" s="14"/>
      <c r="E20" s="14"/>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row>
    <row r="21" spans="1:55">
      <c r="A21" s="18" t="s">
        <v>359</v>
      </c>
      <c r="B21" s="16"/>
      <c r="C21" s="20">
        <f>'Working Capital'!C23</f>
        <v>0</v>
      </c>
      <c r="D21" s="20">
        <f>'Working Capital'!D23</f>
        <v>0</v>
      </c>
      <c r="E21" s="20">
        <f>'Working Capital'!E23</f>
        <v>0</v>
      </c>
      <c r="F21" s="20">
        <f>'Working Capital'!F23</f>
        <v>0</v>
      </c>
      <c r="G21" s="20">
        <f>'Working Capital'!G23</f>
        <v>0</v>
      </c>
      <c r="H21" s="20">
        <f>'Working Capital'!H23</f>
        <v>0</v>
      </c>
      <c r="I21" s="20">
        <f>'Working Capital'!I23</f>
        <v>0</v>
      </c>
      <c r="J21" s="20">
        <f>'Working Capital'!J23</f>
        <v>0</v>
      </c>
      <c r="K21" s="20">
        <f>'Working Capital'!K23</f>
        <v>0</v>
      </c>
      <c r="L21" s="20">
        <f>'Working Capital'!L23</f>
        <v>0</v>
      </c>
      <c r="M21" s="20">
        <f>'Working Capital'!M23</f>
        <v>0</v>
      </c>
      <c r="N21" s="20">
        <f>'Working Capital'!N23</f>
        <v>0</v>
      </c>
      <c r="O21" s="20">
        <f>'Working Capital'!O23</f>
        <v>0</v>
      </c>
      <c r="P21" s="20">
        <f>'Working Capital'!P23</f>
        <v>0</v>
      </c>
      <c r="Q21" s="20">
        <f>'Working Capital'!Q23</f>
        <v>0</v>
      </c>
      <c r="R21" s="20">
        <f>'Working Capital'!R23</f>
        <v>0</v>
      </c>
      <c r="S21" s="20">
        <f>'Working Capital'!S23</f>
        <v>0</v>
      </c>
      <c r="T21" s="20">
        <f>'Working Capital'!T23</f>
        <v>0</v>
      </c>
      <c r="U21" s="20">
        <f>'Working Capital'!U23</f>
        <v>0</v>
      </c>
      <c r="V21" s="20">
        <f>'Working Capital'!V23</f>
        <v>0</v>
      </c>
      <c r="W21" s="20">
        <f>'Working Capital'!W23</f>
        <v>0</v>
      </c>
      <c r="X21" s="20">
        <f>'Working Capital'!X23</f>
        <v>0</v>
      </c>
      <c r="Y21" s="20">
        <f>'Working Capital'!Y23</f>
        <v>0</v>
      </c>
      <c r="Z21" s="20">
        <f>'Working Capital'!Z23</f>
        <v>0</v>
      </c>
      <c r="AA21" s="20">
        <f>'Working Capital'!AA23</f>
        <v>0</v>
      </c>
      <c r="AB21" s="20">
        <f>'Working Capital'!AB23</f>
        <v>0</v>
      </c>
      <c r="AC21" s="20">
        <f>'Working Capital'!AC23</f>
        <v>0</v>
      </c>
      <c r="AD21" s="20">
        <f>'Working Capital'!AD23</f>
        <v>0</v>
      </c>
      <c r="AE21" s="20">
        <f>'Working Capital'!AE23</f>
        <v>0</v>
      </c>
      <c r="AF21" s="20">
        <f>'Working Capital'!AF23</f>
        <v>0</v>
      </c>
      <c r="AG21" s="20">
        <f>'Working Capital'!AG23</f>
        <v>0</v>
      </c>
      <c r="AH21" s="20">
        <f>'Working Capital'!AH23</f>
        <v>0</v>
      </c>
      <c r="AI21" s="20">
        <f>'Working Capital'!AI23</f>
        <v>0</v>
      </c>
      <c r="AJ21" s="20">
        <f>'Working Capital'!AJ23</f>
        <v>0</v>
      </c>
      <c r="AK21" s="20">
        <f>'Working Capital'!AK23</f>
        <v>0</v>
      </c>
      <c r="AL21" s="20">
        <f>'Working Capital'!AL23</f>
        <v>0</v>
      </c>
      <c r="AN21" s="20">
        <f>SUM(C21:E21)</f>
        <v>0</v>
      </c>
      <c r="AO21" s="20">
        <f>SUM(F21:H21)</f>
        <v>0</v>
      </c>
      <c r="AP21" s="20">
        <f>SUM(I21:K21)</f>
        <v>0</v>
      </c>
      <c r="AQ21" s="20">
        <f>SUM(L21:N21)</f>
        <v>0</v>
      </c>
      <c r="AR21" s="20">
        <f>SUM(O21:Q21)</f>
        <v>0</v>
      </c>
      <c r="AS21" s="20">
        <f>SUM(R21:T21)</f>
        <v>0</v>
      </c>
      <c r="AT21" s="20">
        <f>SUM(U21:W21)</f>
        <v>0</v>
      </c>
      <c r="AU21" s="20">
        <f>SUM(X21:Z21)</f>
        <v>0</v>
      </c>
      <c r="AV21" s="20">
        <f>SUM(AA21:AC21)</f>
        <v>0</v>
      </c>
      <c r="AW21" s="20">
        <f>SUM(AD21:AF21)</f>
        <v>0</v>
      </c>
      <c r="AX21" s="20">
        <f>SUM(AG21:AI21)</f>
        <v>0</v>
      </c>
      <c r="AY21" s="20">
        <f>SUM(AJ21:AL21)</f>
        <v>0</v>
      </c>
      <c r="BA21" s="20">
        <f>SUM(C21:N21)</f>
        <v>0</v>
      </c>
      <c r="BB21" s="20">
        <f>SUM(O21:Z21)</f>
        <v>0</v>
      </c>
      <c r="BC21" s="20">
        <f>SUM(AA21:AL21)</f>
        <v>0</v>
      </c>
    </row>
    <row r="22" spans="1:55">
      <c r="A22" s="18" t="s">
        <v>360</v>
      </c>
      <c r="B22" s="16"/>
      <c r="C22" s="20">
        <f>-'Working Capital'!C24</f>
        <v>0</v>
      </c>
      <c r="D22" s="20">
        <f>-'Working Capital'!D24</f>
        <v>0</v>
      </c>
      <c r="E22" s="20">
        <f>-'Working Capital'!E24</f>
        <v>0</v>
      </c>
      <c r="F22" s="20">
        <f>-'Working Capital'!F24</f>
        <v>0</v>
      </c>
      <c r="G22" s="20">
        <f>-'Working Capital'!G24</f>
        <v>0</v>
      </c>
      <c r="H22" s="20">
        <f>-'Working Capital'!H24</f>
        <v>0</v>
      </c>
      <c r="I22" s="20">
        <f>-'Working Capital'!I24</f>
        <v>0</v>
      </c>
      <c r="J22" s="20">
        <f>-'Working Capital'!J24</f>
        <v>0</v>
      </c>
      <c r="K22" s="20">
        <f>-'Working Capital'!K24</f>
        <v>0</v>
      </c>
      <c r="L22" s="20">
        <f>-'Working Capital'!L24</f>
        <v>0</v>
      </c>
      <c r="M22" s="20">
        <f>-'Working Capital'!M24</f>
        <v>0</v>
      </c>
      <c r="N22" s="20">
        <f>-'Working Capital'!N24</f>
        <v>0</v>
      </c>
      <c r="O22" s="20">
        <f>-'Working Capital'!O24</f>
        <v>0</v>
      </c>
      <c r="P22" s="20">
        <f>-'Working Capital'!P24</f>
        <v>0</v>
      </c>
      <c r="Q22" s="20">
        <f>-'Working Capital'!Q24</f>
        <v>0</v>
      </c>
      <c r="R22" s="20">
        <f>-'Working Capital'!R24</f>
        <v>0</v>
      </c>
      <c r="S22" s="20">
        <f>-'Working Capital'!S24</f>
        <v>0</v>
      </c>
      <c r="T22" s="20">
        <f>-'Working Capital'!T24</f>
        <v>0</v>
      </c>
      <c r="U22" s="20">
        <f>-'Working Capital'!U24</f>
        <v>0</v>
      </c>
      <c r="V22" s="20">
        <f>-'Working Capital'!V24</f>
        <v>0</v>
      </c>
      <c r="W22" s="20">
        <f>-'Working Capital'!W24</f>
        <v>0</v>
      </c>
      <c r="X22" s="20">
        <f>-'Working Capital'!X24</f>
        <v>0</v>
      </c>
      <c r="Y22" s="20">
        <f>-'Working Capital'!Y24</f>
        <v>0</v>
      </c>
      <c r="Z22" s="20">
        <f>-'Working Capital'!Z24</f>
        <v>0</v>
      </c>
      <c r="AA22" s="20">
        <f>-'Working Capital'!AA24</f>
        <v>0</v>
      </c>
      <c r="AB22" s="20">
        <f>-'Working Capital'!AB24</f>
        <v>0</v>
      </c>
      <c r="AC22" s="20">
        <f>-'Working Capital'!AC24</f>
        <v>0</v>
      </c>
      <c r="AD22" s="20">
        <f>-'Working Capital'!AD24</f>
        <v>0</v>
      </c>
      <c r="AE22" s="20">
        <f>-'Working Capital'!AE24</f>
        <v>0</v>
      </c>
      <c r="AF22" s="20">
        <f>-'Working Capital'!AF24</f>
        <v>0</v>
      </c>
      <c r="AG22" s="20">
        <f>-'Working Capital'!AG24</f>
        <v>0</v>
      </c>
      <c r="AH22" s="20">
        <f>-'Working Capital'!AH24</f>
        <v>0</v>
      </c>
      <c r="AI22" s="20">
        <f>-'Working Capital'!AI24</f>
        <v>0</v>
      </c>
      <c r="AJ22" s="20">
        <f>-'Working Capital'!AJ24</f>
        <v>0</v>
      </c>
      <c r="AK22" s="20">
        <f>-'Working Capital'!AK24</f>
        <v>0</v>
      </c>
      <c r="AL22" s="20">
        <f>-'Working Capital'!AL24</f>
        <v>0</v>
      </c>
      <c r="AN22" s="20">
        <f>SUM(C22:E22)</f>
        <v>0</v>
      </c>
      <c r="AO22" s="20">
        <f>SUM(F22:H22)</f>
        <v>0</v>
      </c>
      <c r="AP22" s="20">
        <f>SUM(I22:K22)</f>
        <v>0</v>
      </c>
      <c r="AQ22" s="20">
        <f>SUM(L22:N22)</f>
        <v>0</v>
      </c>
      <c r="AR22" s="20">
        <f>SUM(O22:Q22)</f>
        <v>0</v>
      </c>
      <c r="AS22" s="20">
        <f>SUM(R22:T22)</f>
        <v>0</v>
      </c>
      <c r="AT22" s="20">
        <f>SUM(U22:W22)</f>
        <v>0</v>
      </c>
      <c r="AU22" s="20">
        <f>SUM(X22:Z22)</f>
        <v>0</v>
      </c>
      <c r="AV22" s="20">
        <f>SUM(AA22:AC22)</f>
        <v>0</v>
      </c>
      <c r="AW22" s="20">
        <f>SUM(AD22:AF22)</f>
        <v>0</v>
      </c>
      <c r="AX22" s="20">
        <f>SUM(AG22:AI22)</f>
        <v>0</v>
      </c>
      <c r="AY22" s="20">
        <f>SUM(AJ22:AL22)</f>
        <v>0</v>
      </c>
      <c r="BA22" s="20">
        <f>SUM(C22:N22)</f>
        <v>0</v>
      </c>
      <c r="BB22" s="20">
        <f>SUM(O22:Z22)</f>
        <v>0</v>
      </c>
      <c r="BC22" s="20">
        <f>SUM(AA22:AL22)</f>
        <v>0</v>
      </c>
    </row>
    <row r="23" spans="1:55">
      <c r="A23" s="18" t="s">
        <v>361</v>
      </c>
      <c r="B23" s="16"/>
      <c r="C23" s="20">
        <f>'Working Capital'!C29</f>
        <v>0</v>
      </c>
      <c r="D23" s="20">
        <f>'Working Capital'!D29</f>
        <v>0</v>
      </c>
      <c r="E23" s="20">
        <f>'Working Capital'!E29</f>
        <v>0</v>
      </c>
      <c r="F23" s="20">
        <f>'Working Capital'!F29</f>
        <v>0</v>
      </c>
      <c r="G23" s="20">
        <f>'Working Capital'!G29</f>
        <v>0</v>
      </c>
      <c r="H23" s="20">
        <f>'Working Capital'!H29</f>
        <v>0</v>
      </c>
      <c r="I23" s="20">
        <f>'Working Capital'!I29</f>
        <v>0</v>
      </c>
      <c r="J23" s="20">
        <f>'Working Capital'!J29</f>
        <v>0</v>
      </c>
      <c r="K23" s="20">
        <f>'Working Capital'!K29</f>
        <v>0</v>
      </c>
      <c r="L23" s="20">
        <f>'Working Capital'!L29</f>
        <v>0</v>
      </c>
      <c r="M23" s="20">
        <f>'Working Capital'!M29</f>
        <v>0</v>
      </c>
      <c r="N23" s="20">
        <f>'Working Capital'!N29</f>
        <v>0</v>
      </c>
      <c r="O23" s="20">
        <f>'Working Capital'!O29</f>
        <v>0</v>
      </c>
      <c r="P23" s="20">
        <f>'Working Capital'!P29</f>
        <v>0</v>
      </c>
      <c r="Q23" s="20">
        <f>'Working Capital'!Q29</f>
        <v>0</v>
      </c>
      <c r="R23" s="20">
        <f>'Working Capital'!R29</f>
        <v>0</v>
      </c>
      <c r="S23" s="20">
        <f>'Working Capital'!S29</f>
        <v>0</v>
      </c>
      <c r="T23" s="20">
        <f>'Working Capital'!T29</f>
        <v>0</v>
      </c>
      <c r="U23" s="20">
        <f>'Working Capital'!U29</f>
        <v>0</v>
      </c>
      <c r="V23" s="20">
        <f>'Working Capital'!V29</f>
        <v>0</v>
      </c>
      <c r="W23" s="20">
        <f>'Working Capital'!W29</f>
        <v>0</v>
      </c>
      <c r="X23" s="20">
        <f>'Working Capital'!X29</f>
        <v>0</v>
      </c>
      <c r="Y23" s="20">
        <f>'Working Capital'!Y29</f>
        <v>0</v>
      </c>
      <c r="Z23" s="20">
        <f>'Working Capital'!Z29</f>
        <v>0</v>
      </c>
      <c r="AA23" s="20">
        <f>'Working Capital'!AA29</f>
        <v>0</v>
      </c>
      <c r="AB23" s="20">
        <f>'Working Capital'!AB29</f>
        <v>0</v>
      </c>
      <c r="AC23" s="20">
        <f>'Working Capital'!AC29</f>
        <v>0</v>
      </c>
      <c r="AD23" s="20">
        <f>'Working Capital'!AD29</f>
        <v>0</v>
      </c>
      <c r="AE23" s="20">
        <f>'Working Capital'!AE29</f>
        <v>0</v>
      </c>
      <c r="AF23" s="20">
        <f>'Working Capital'!AF29</f>
        <v>0</v>
      </c>
      <c r="AG23" s="20">
        <f>'Working Capital'!AG29</f>
        <v>0</v>
      </c>
      <c r="AH23" s="20">
        <f>'Working Capital'!AH29</f>
        <v>0</v>
      </c>
      <c r="AI23" s="20">
        <f>'Working Capital'!AI29</f>
        <v>0</v>
      </c>
      <c r="AJ23" s="20">
        <f>'Working Capital'!AJ29</f>
        <v>0</v>
      </c>
      <c r="AK23" s="20">
        <f>'Working Capital'!AK29</f>
        <v>0</v>
      </c>
      <c r="AL23" s="20">
        <f>'Working Capital'!AL29</f>
        <v>0</v>
      </c>
      <c r="AN23" s="20">
        <f>SUM(C23:E23)</f>
        <v>0</v>
      </c>
      <c r="AO23" s="20">
        <f>SUM(F23:H23)</f>
        <v>0</v>
      </c>
      <c r="AP23" s="20">
        <f>SUM(I23:K23)</f>
        <v>0</v>
      </c>
      <c r="AQ23" s="20">
        <f>SUM(L23:N23)</f>
        <v>0</v>
      </c>
      <c r="AR23" s="20">
        <f>SUM(O23:Q23)</f>
        <v>0</v>
      </c>
      <c r="AS23" s="20">
        <f>SUM(R23:T23)</f>
        <v>0</v>
      </c>
      <c r="AT23" s="20">
        <f>SUM(U23:W23)</f>
        <v>0</v>
      </c>
      <c r="AU23" s="20">
        <f>SUM(X23:Z23)</f>
        <v>0</v>
      </c>
      <c r="AV23" s="20">
        <f>SUM(AA23:AC23)</f>
        <v>0</v>
      </c>
      <c r="AW23" s="20">
        <f>SUM(AD23:AF23)</f>
        <v>0</v>
      </c>
      <c r="AX23" s="20">
        <f>SUM(AG23:AI23)</f>
        <v>0</v>
      </c>
      <c r="AY23" s="20">
        <f>SUM(AJ23:AL23)</f>
        <v>0</v>
      </c>
      <c r="BA23" s="20">
        <f>SUM(C23:N23)</f>
        <v>0</v>
      </c>
      <c r="BB23" s="20">
        <f>SUM(O23:Z23)</f>
        <v>0</v>
      </c>
      <c r="BC23" s="20">
        <f>SUM(AA23:AL23)</f>
        <v>0</v>
      </c>
    </row>
    <row r="24" spans="1:55">
      <c r="A24" s="28" t="s">
        <v>362</v>
      </c>
      <c r="B24" s="16"/>
      <c r="C24" s="29">
        <f>C21+C22+C23</f>
        <v>0</v>
      </c>
      <c r="D24" s="29">
        <f>D21+D22+D23</f>
        <v>0</v>
      </c>
      <c r="E24" s="29">
        <f>E21+E22+E23</f>
        <v>0</v>
      </c>
      <c r="F24" s="29">
        <f>F21+F22+F23</f>
        <v>0</v>
      </c>
      <c r="G24" s="29">
        <f>G21+G22+G23</f>
        <v>0</v>
      </c>
      <c r="H24" s="29">
        <f>H21+H22+H23</f>
        <v>0</v>
      </c>
      <c r="I24" s="29">
        <f>I21+I22+I23</f>
        <v>0</v>
      </c>
      <c r="J24" s="29">
        <f>J21+J22+J23</f>
        <v>0</v>
      </c>
      <c r="K24" s="29">
        <f>K21+K22+K23</f>
        <v>0</v>
      </c>
      <c r="L24" s="29">
        <f>L21+L22+L23</f>
        <v>0</v>
      </c>
      <c r="M24" s="29">
        <f>M21+M22+M23</f>
        <v>0</v>
      </c>
      <c r="N24" s="29">
        <f>N21+N22+N23</f>
        <v>0</v>
      </c>
      <c r="O24" s="29">
        <f>O21+O22+O23</f>
        <v>0</v>
      </c>
      <c r="P24" s="29">
        <f>P21+P22+P23</f>
        <v>0</v>
      </c>
      <c r="Q24" s="29">
        <f>Q21+Q22+Q23</f>
        <v>0</v>
      </c>
      <c r="R24" s="29">
        <f>R21+R22+R23</f>
        <v>0</v>
      </c>
      <c r="S24" s="29">
        <f>S21+S22+S23</f>
        <v>0</v>
      </c>
      <c r="T24" s="29">
        <f>T21+T22+T23</f>
        <v>0</v>
      </c>
      <c r="U24" s="29">
        <f>U21+U22+U23</f>
        <v>0</v>
      </c>
      <c r="V24" s="29">
        <f>V21+V22+V23</f>
        <v>0</v>
      </c>
      <c r="W24" s="29">
        <f>W21+W22+W23</f>
        <v>0</v>
      </c>
      <c r="X24" s="29">
        <f>X21+X22+X23</f>
        <v>0</v>
      </c>
      <c r="Y24" s="29">
        <f>Y21+Y22+Y23</f>
        <v>0</v>
      </c>
      <c r="Z24" s="29">
        <f>Z21+Z22+Z23</f>
        <v>0</v>
      </c>
      <c r="AA24" s="29">
        <f>AA21+AA22+AA23</f>
        <v>0</v>
      </c>
      <c r="AB24" s="29">
        <f>AB21+AB22+AB23</f>
        <v>0</v>
      </c>
      <c r="AC24" s="29">
        <f>AC21+AC22+AC23</f>
        <v>0</v>
      </c>
      <c r="AD24" s="29">
        <f>AD21+AD22+AD23</f>
        <v>0</v>
      </c>
      <c r="AE24" s="29">
        <f>AE21+AE22+AE23</f>
        <v>0</v>
      </c>
      <c r="AF24" s="29">
        <f>AF21+AF22+AF23</f>
        <v>0</v>
      </c>
      <c r="AG24" s="29">
        <f>AG21+AG22+AG23</f>
        <v>0</v>
      </c>
      <c r="AH24" s="29">
        <f>AH21+AH22+AH23</f>
        <v>0</v>
      </c>
      <c r="AI24" s="29">
        <f>AI21+AI22+AI23</f>
        <v>0</v>
      </c>
      <c r="AJ24" s="29">
        <f>AJ21+AJ22+AJ23</f>
        <v>0</v>
      </c>
      <c r="AK24" s="29">
        <f>AK21+AK22+AK23</f>
        <v>0</v>
      </c>
      <c r="AL24" s="29">
        <f>AL21+AL22+AL23</f>
        <v>0</v>
      </c>
      <c r="AN24" s="29">
        <f>SUM(C24:E24)</f>
        <v>0</v>
      </c>
      <c r="AO24" s="29">
        <f>SUM(F24:H24)</f>
        <v>0</v>
      </c>
      <c r="AP24" s="29">
        <f>SUM(I24:K24)</f>
        <v>0</v>
      </c>
      <c r="AQ24" s="29">
        <f>SUM(L24:N24)</f>
        <v>0</v>
      </c>
      <c r="AR24" s="29">
        <f>SUM(O24:Q24)</f>
        <v>0</v>
      </c>
      <c r="AS24" s="29">
        <f>SUM(R24:T24)</f>
        <v>0</v>
      </c>
      <c r="AT24" s="29">
        <f>SUM(U24:W24)</f>
        <v>0</v>
      </c>
      <c r="AU24" s="29">
        <f>SUM(X24:Z24)</f>
        <v>0</v>
      </c>
      <c r="AV24" s="29">
        <f>SUM(AA24:AC24)</f>
        <v>0</v>
      </c>
      <c r="AW24" s="29">
        <f>SUM(AD24:AF24)</f>
        <v>0</v>
      </c>
      <c r="AX24" s="29">
        <f>SUM(AG24:AI24)</f>
        <v>0</v>
      </c>
      <c r="AY24" s="29">
        <f>SUM(AJ24:AL24)</f>
        <v>0</v>
      </c>
      <c r="BA24" s="29">
        <f>SUM(C24:N24)</f>
        <v>0</v>
      </c>
      <c r="BB24" s="29">
        <f>SUM(O24:Z24)</f>
        <v>0</v>
      </c>
      <c r="BC24" s="29">
        <f>SUM(AA24:AL24)</f>
        <v>0</v>
      </c>
    </row>
    <row r="25" spans="1:55" ht="5" customHeight="1"/>
    <row r="26" spans="1:55">
      <c r="A26" s="28" t="s">
        <v>363</v>
      </c>
      <c r="B26" s="16"/>
      <c r="C26" s="29">
        <f>C14+C18+C24</f>
        <v>0</v>
      </c>
      <c r="D26" s="29">
        <f>D14+D18+D24</f>
        <v>0</v>
      </c>
      <c r="E26" s="29">
        <f>E14+E18+E24</f>
        <v>0</v>
      </c>
      <c r="F26" s="29">
        <f>F14+F18+F24</f>
        <v>0</v>
      </c>
      <c r="G26" s="29">
        <f>G14+G18+G24</f>
        <v>0</v>
      </c>
      <c r="H26" s="29">
        <f>H14+H18+H24</f>
        <v>0</v>
      </c>
      <c r="I26" s="29">
        <f>I14+I18+I24</f>
        <v>0</v>
      </c>
      <c r="J26" s="29">
        <f>J14+J18+J24</f>
        <v>0</v>
      </c>
      <c r="K26" s="29">
        <f>K14+K18+K24</f>
        <v>0</v>
      </c>
      <c r="L26" s="29">
        <f>L14+L18+L24</f>
        <v>0</v>
      </c>
      <c r="M26" s="29">
        <f>M14+M18+M24</f>
        <v>0</v>
      </c>
      <c r="N26" s="29">
        <f>N14+N18+N24</f>
        <v>0</v>
      </c>
      <c r="O26" s="29">
        <f>O14+O18+O24</f>
        <v>0</v>
      </c>
      <c r="P26" s="29">
        <f>P14+P18+P24</f>
        <v>0</v>
      </c>
      <c r="Q26" s="29">
        <f>Q14+Q18+Q24</f>
        <v>0</v>
      </c>
      <c r="R26" s="29">
        <f>R14+R18+R24</f>
        <v>0</v>
      </c>
      <c r="S26" s="29">
        <f>S14+S18+S24</f>
        <v>0</v>
      </c>
      <c r="T26" s="29">
        <f>T14+T18+T24</f>
        <v>0</v>
      </c>
      <c r="U26" s="29">
        <f>U14+U18+U24</f>
        <v>0</v>
      </c>
      <c r="V26" s="29">
        <f>V14+V18+V24</f>
        <v>0</v>
      </c>
      <c r="W26" s="29">
        <f>W14+W18+W24</f>
        <v>0</v>
      </c>
      <c r="X26" s="29">
        <f>X14+X18+X24</f>
        <v>0</v>
      </c>
      <c r="Y26" s="29">
        <f>Y14+Y18+Y24</f>
        <v>0</v>
      </c>
      <c r="Z26" s="29">
        <f>Z14+Z18+Z24</f>
        <v>0</v>
      </c>
      <c r="AA26" s="29">
        <f>AA14+AA18+AA24</f>
        <v>0</v>
      </c>
      <c r="AB26" s="29">
        <f>AB14+AB18+AB24</f>
        <v>0</v>
      </c>
      <c r="AC26" s="29">
        <f>AC14+AC18+AC24</f>
        <v>0</v>
      </c>
      <c r="AD26" s="29">
        <f>AD14+AD18+AD24</f>
        <v>0</v>
      </c>
      <c r="AE26" s="29">
        <f>AE14+AE18+AE24</f>
        <v>0</v>
      </c>
      <c r="AF26" s="29">
        <f>AF14+AF18+AF24</f>
        <v>0</v>
      </c>
      <c r="AG26" s="29">
        <f>AG14+AG18+AG24</f>
        <v>0</v>
      </c>
      <c r="AH26" s="29">
        <f>AH14+AH18+AH24</f>
        <v>0</v>
      </c>
      <c r="AI26" s="29">
        <f>AI14+AI18+AI24</f>
        <v>0</v>
      </c>
      <c r="AJ26" s="29">
        <f>AJ14+AJ18+AJ24</f>
        <v>0</v>
      </c>
      <c r="AK26" s="29">
        <f>AK14+AK18+AK24</f>
        <v>0</v>
      </c>
      <c r="AL26" s="29">
        <f>AL14+AL18+AL24</f>
        <v>0</v>
      </c>
      <c r="AN26" s="29">
        <f>SUM(C26:E26)</f>
        <v>0</v>
      </c>
      <c r="AO26" s="29">
        <f>SUM(F26:H26)</f>
        <v>0</v>
      </c>
      <c r="AP26" s="29">
        <f>SUM(I26:K26)</f>
        <v>0</v>
      </c>
      <c r="AQ26" s="29">
        <f>SUM(L26:N26)</f>
        <v>0</v>
      </c>
      <c r="AR26" s="29">
        <f>SUM(O26:Q26)</f>
        <v>0</v>
      </c>
      <c r="AS26" s="29">
        <f>SUM(R26:T26)</f>
        <v>0</v>
      </c>
      <c r="AT26" s="29">
        <f>SUM(U26:W26)</f>
        <v>0</v>
      </c>
      <c r="AU26" s="29">
        <f>SUM(X26:Z26)</f>
        <v>0</v>
      </c>
      <c r="AV26" s="29">
        <f>SUM(AA26:AC26)</f>
        <v>0</v>
      </c>
      <c r="AW26" s="29">
        <f>SUM(AD26:AF26)</f>
        <v>0</v>
      </c>
      <c r="AX26" s="29">
        <f>SUM(AG26:AI26)</f>
        <v>0</v>
      </c>
      <c r="AY26" s="29">
        <f>SUM(AJ26:AL26)</f>
        <v>0</v>
      </c>
      <c r="BA26" s="29">
        <f>SUM(C26:N26)</f>
        <v>0</v>
      </c>
      <c r="BB26" s="29">
        <f>SUM(O26:Z26)</f>
        <v>0</v>
      </c>
      <c r="BC26" s="29">
        <f>SUM(AA26:AL26)</f>
        <v>0</v>
      </c>
    </row>
    <row r="27" spans="1:55">
      <c r="A27" s="18" t="s">
        <v>364</v>
      </c>
      <c r="B27" s="16" t="s">
        <v>365</v>
      </c>
      <c r="C27" s="20">
        <f>'Assumptions'!$F$8</f>
        <v>0</v>
      </c>
      <c r="D27" s="20">
        <f>C28</f>
        <v>0</v>
      </c>
      <c r="E27" s="20">
        <f>D28</f>
        <v>0</v>
      </c>
      <c r="F27" s="20">
        <f>E28</f>
        <v>0</v>
      </c>
      <c r="G27" s="20">
        <f>F28</f>
        <v>0</v>
      </c>
      <c r="H27" s="20">
        <f>G28</f>
        <v>0</v>
      </c>
      <c r="I27" s="20">
        <f>H28</f>
        <v>0</v>
      </c>
      <c r="J27" s="20">
        <f>I28</f>
        <v>0</v>
      </c>
      <c r="K27" s="20">
        <f>J28</f>
        <v>0</v>
      </c>
      <c r="L27" s="20">
        <f>K28</f>
        <v>0</v>
      </c>
      <c r="M27" s="20">
        <f>L28</f>
        <v>0</v>
      </c>
      <c r="N27" s="20">
        <f>M28</f>
        <v>0</v>
      </c>
      <c r="O27" s="20">
        <f>N28</f>
        <v>0</v>
      </c>
      <c r="P27" s="20">
        <f>O28</f>
        <v>0</v>
      </c>
      <c r="Q27" s="20">
        <f>P28</f>
        <v>0</v>
      </c>
      <c r="R27" s="20">
        <f>Q28</f>
        <v>0</v>
      </c>
      <c r="S27" s="20">
        <f>R28</f>
        <v>0</v>
      </c>
      <c r="T27" s="20">
        <f>S28</f>
        <v>0</v>
      </c>
      <c r="U27" s="20">
        <f>T28</f>
        <v>0</v>
      </c>
      <c r="V27" s="20">
        <f>U28</f>
        <v>0</v>
      </c>
      <c r="W27" s="20">
        <f>V28</f>
        <v>0</v>
      </c>
      <c r="X27" s="20">
        <f>W28</f>
        <v>0</v>
      </c>
      <c r="Y27" s="20">
        <f>X28</f>
        <v>0</v>
      </c>
      <c r="Z27" s="20">
        <f>Y28</f>
        <v>0</v>
      </c>
      <c r="AA27" s="20">
        <f>Z28</f>
        <v>0</v>
      </c>
      <c r="AB27" s="20">
        <f>AA28</f>
        <v>0</v>
      </c>
      <c r="AC27" s="20">
        <f>AB28</f>
        <v>0</v>
      </c>
      <c r="AD27" s="20">
        <f>AC28</f>
        <v>0</v>
      </c>
      <c r="AE27" s="20">
        <f>AD28</f>
        <v>0</v>
      </c>
      <c r="AF27" s="20">
        <f>AE28</f>
        <v>0</v>
      </c>
      <c r="AG27" s="20">
        <f>AF28</f>
        <v>0</v>
      </c>
      <c r="AH27" s="20">
        <f>AG28</f>
        <v>0</v>
      </c>
      <c r="AI27" s="20">
        <f>AH28</f>
        <v>0</v>
      </c>
      <c r="AJ27" s="20">
        <f>AI28</f>
        <v>0</v>
      </c>
      <c r="AK27" s="20">
        <f>AJ28</f>
        <v>0</v>
      </c>
      <c r="AL27" s="20">
        <f>AK28</f>
        <v>0</v>
      </c>
      <c r="AN27" s="20">
        <f>C27</f>
        <v>0</v>
      </c>
      <c r="AO27" s="20">
        <f>F27</f>
        <v>0</v>
      </c>
      <c r="AP27" s="20">
        <f>I27</f>
        <v>0</v>
      </c>
      <c r="AQ27" s="20">
        <f>L27</f>
        <v>0</v>
      </c>
      <c r="AR27" s="20">
        <f>O27</f>
        <v>0</v>
      </c>
      <c r="AS27" s="20">
        <f>R27</f>
        <v>0</v>
      </c>
      <c r="AT27" s="20">
        <f>U27</f>
        <v>0</v>
      </c>
      <c r="AU27" s="20">
        <f>X27</f>
        <v>0</v>
      </c>
      <c r="AV27" s="20">
        <f>AA27</f>
        <v>0</v>
      </c>
      <c r="AW27" s="20">
        <f>AD27</f>
        <v>0</v>
      </c>
      <c r="AX27" s="20">
        <f>AG27</f>
        <v>0</v>
      </c>
      <c r="AY27" s="20">
        <f>AJ27</f>
        <v>0</v>
      </c>
      <c r="BA27" s="20">
        <f>C27</f>
        <v>0</v>
      </c>
      <c r="BB27" s="20">
        <f>O27</f>
        <v>0</v>
      </c>
      <c r="BC27" s="20">
        <f>AA27</f>
        <v>0</v>
      </c>
    </row>
    <row r="28" spans="1:55">
      <c r="A28" s="28" t="s">
        <v>366</v>
      </c>
      <c r="B28" s="16" t="s">
        <v>367</v>
      </c>
      <c r="C28" s="29">
        <f>C27+C26</f>
        <v>0</v>
      </c>
      <c r="D28" s="29">
        <f>D27+D26</f>
        <v>0</v>
      </c>
      <c r="E28" s="29">
        <f>E27+E26</f>
        <v>0</v>
      </c>
      <c r="F28" s="29">
        <f>F27+F26</f>
        <v>0</v>
      </c>
      <c r="G28" s="29">
        <f>G27+G26</f>
        <v>0</v>
      </c>
      <c r="H28" s="29">
        <f>H27+H26</f>
        <v>0</v>
      </c>
      <c r="I28" s="29">
        <f>I27+I26</f>
        <v>0</v>
      </c>
      <c r="J28" s="29">
        <f>J27+J26</f>
        <v>0</v>
      </c>
      <c r="K28" s="29">
        <f>K27+K26</f>
        <v>0</v>
      </c>
      <c r="L28" s="29">
        <f>L27+L26</f>
        <v>0</v>
      </c>
      <c r="M28" s="29">
        <f>M27+M26</f>
        <v>0</v>
      </c>
      <c r="N28" s="29">
        <f>N27+N26</f>
        <v>0</v>
      </c>
      <c r="O28" s="29">
        <f>O27+O26</f>
        <v>0</v>
      </c>
      <c r="P28" s="29">
        <f>P27+P26</f>
        <v>0</v>
      </c>
      <c r="Q28" s="29">
        <f>Q27+Q26</f>
        <v>0</v>
      </c>
      <c r="R28" s="29">
        <f>R27+R26</f>
        <v>0</v>
      </c>
      <c r="S28" s="29">
        <f>S27+S26</f>
        <v>0</v>
      </c>
      <c r="T28" s="29">
        <f>T27+T26</f>
        <v>0</v>
      </c>
      <c r="U28" s="29">
        <f>U27+U26</f>
        <v>0</v>
      </c>
      <c r="V28" s="29">
        <f>V27+V26</f>
        <v>0</v>
      </c>
      <c r="W28" s="29">
        <f>W27+W26</f>
        <v>0</v>
      </c>
      <c r="X28" s="29">
        <f>X27+X26</f>
        <v>0</v>
      </c>
      <c r="Y28" s="29">
        <f>Y27+Y26</f>
        <v>0</v>
      </c>
      <c r="Z28" s="29">
        <f>Z27+Z26</f>
        <v>0</v>
      </c>
      <c r="AA28" s="29">
        <f>AA27+AA26</f>
        <v>0</v>
      </c>
      <c r="AB28" s="29">
        <f>AB27+AB26</f>
        <v>0</v>
      </c>
      <c r="AC28" s="29">
        <f>AC27+AC26</f>
        <v>0</v>
      </c>
      <c r="AD28" s="29">
        <f>AD27+AD26</f>
        <v>0</v>
      </c>
      <c r="AE28" s="29">
        <f>AE27+AE26</f>
        <v>0</v>
      </c>
      <c r="AF28" s="29">
        <f>AF27+AF26</f>
        <v>0</v>
      </c>
      <c r="AG28" s="29">
        <f>AG27+AG26</f>
        <v>0</v>
      </c>
      <c r="AH28" s="29">
        <f>AH27+AH26</f>
        <v>0</v>
      </c>
      <c r="AI28" s="29">
        <f>AI27+AI26</f>
        <v>0</v>
      </c>
      <c r="AJ28" s="29">
        <f>AJ27+AJ26</f>
        <v>0</v>
      </c>
      <c r="AK28" s="29">
        <f>AK27+AK26</f>
        <v>0</v>
      </c>
      <c r="AL28" s="29">
        <f>AL27+AL26</f>
        <v>0</v>
      </c>
      <c r="AN28" s="29">
        <f>E28</f>
        <v>0</v>
      </c>
      <c r="AO28" s="29">
        <f>H28</f>
        <v>0</v>
      </c>
      <c r="AP28" s="29">
        <f>K28</f>
        <v>0</v>
      </c>
      <c r="AQ28" s="29">
        <f>N28</f>
        <v>0</v>
      </c>
      <c r="AR28" s="29">
        <f>Q28</f>
        <v>0</v>
      </c>
      <c r="AS28" s="29">
        <f>T28</f>
        <v>0</v>
      </c>
      <c r="AT28" s="29">
        <f>W28</f>
        <v>0</v>
      </c>
      <c r="AU28" s="29">
        <f>Z28</f>
        <v>0</v>
      </c>
      <c r="AV28" s="29">
        <f>AC28</f>
        <v>0</v>
      </c>
      <c r="AW28" s="29">
        <f>AF28</f>
        <v>0</v>
      </c>
      <c r="AX28" s="29">
        <f>AI28</f>
        <v>0</v>
      </c>
      <c r="AY28" s="29">
        <f>AL28</f>
        <v>0</v>
      </c>
      <c r="BA28" s="29">
        <f>N28</f>
        <v>0</v>
      </c>
      <c r="BB28" s="29">
        <f>Z28</f>
        <v>0</v>
      </c>
      <c r="BC28" s="29">
        <f>AL28</f>
        <v>0</v>
      </c>
    </row>
  </sheetData>
  <mergeCells count="8">
    <mergeCell ref="A1:BC1"/>
    <mergeCell ref="A2:BC2"/>
    <mergeCell ref="C5:AL5"/>
    <mergeCell ref="AN5:AY5"/>
    <mergeCell ref="BA5:BC5"/>
    <mergeCell ref="A7:BC7"/>
    <mergeCell ref="A16:BC16"/>
    <mergeCell ref="A20:BC20"/>
  </mergeCells>
  <pageMargins left="0.7" right="0.7" top="0.75" bottom="0.75" header="0.3" footer="0.3"/>
  <pageSetup paperSize="9" scale="55" orientation="landscape"/>
</worksheet>
</file>

<file path=xl/worksheets/sheet11.xml><?xml version="1.0" encoding="utf-8"?>
<worksheet xmlns="http://schemas.openxmlformats.org/spreadsheetml/2006/main" xmlns:r="http://schemas.openxmlformats.org/officeDocument/2006/relationships">
  <dimension ref="A1:BC14"/>
  <sheetViews>
    <sheetView showGridLines="0" zoomScale="110" zoomScaleNormal="110" workbookViewId="0">
      <pane xSplit="2" ySplit="4" topLeftCell="C5" activePane="bottomRight" state="frozen"/>
      <selection pane="topRight" activeCell="C1" sqref="C1"/>
      <selection pane="bottomLeft" activeCell="A5" sqref="A5"/>
      <selection pane="bottomRight"/>
    </sheetView>
  </sheetViews>
  <sheetFormatPr defaultRowHeight="15"/>
  <cols>
    <col min="1" max="1" width="40.7109375" customWidth="1"/>
    <col min="2" max="2" width="30.7109375" customWidth="1"/>
    <col min="3" max="38" width="11.7109375" customWidth="1"/>
    <col min="39" max="39" width="2.7109375" customWidth="1"/>
    <col min="40" max="51" width="12.7109375" customWidth="1"/>
    <col min="52" max="52" width="2.7109375" customWidth="1"/>
    <col min="53" max="55" width="12.7109375" customWidth="1"/>
  </cols>
  <sheetData>
    <row r="1" spans="1:55" ht="22" customHeight="1">
      <c r="A1" s="1" t="s">
        <v>392</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row>
    <row r="2" spans="1:55" ht="16" customHeight="1">
      <c r="A2" s="2" t="s">
        <v>393</v>
      </c>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row>
    <row r="5" spans="1:55">
      <c r="A5" s="14" t="s">
        <v>151</v>
      </c>
      <c r="B5" s="14" t="s">
        <v>152</v>
      </c>
      <c r="C5" s="14" t="s">
        <v>148</v>
      </c>
      <c r="D5" s="14"/>
      <c r="E5" s="14"/>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N5" s="14" t="s">
        <v>149</v>
      </c>
      <c r="AO5" s="14"/>
      <c r="AP5" s="14"/>
      <c r="AQ5" s="14"/>
      <c r="AR5" s="14"/>
      <c r="AS5" s="14"/>
      <c r="AT5" s="14"/>
      <c r="AU5" s="14"/>
      <c r="AV5" s="14"/>
      <c r="AW5" s="14"/>
      <c r="AX5" s="14"/>
      <c r="AY5" s="14"/>
      <c r="BA5" s="14" t="s">
        <v>150</v>
      </c>
      <c r="BB5" s="14"/>
      <c r="BC5" s="14"/>
    </row>
    <row r="6" spans="1:55">
      <c r="A6" s="17"/>
      <c r="B6" s="17"/>
      <c r="C6" s="26">
        <v>46023</v>
      </c>
      <c r="D6" s="26">
        <v>46054</v>
      </c>
      <c r="E6" s="26">
        <v>46082</v>
      </c>
      <c r="F6" s="26">
        <v>46113</v>
      </c>
      <c r="G6" s="26">
        <v>46143</v>
      </c>
      <c r="H6" s="26">
        <v>46174</v>
      </c>
      <c r="I6" s="26">
        <v>46204</v>
      </c>
      <c r="J6" s="26">
        <v>46235</v>
      </c>
      <c r="K6" s="26">
        <v>46266</v>
      </c>
      <c r="L6" s="26">
        <v>46296</v>
      </c>
      <c r="M6" s="26">
        <v>46327</v>
      </c>
      <c r="N6" s="26">
        <v>46357</v>
      </c>
      <c r="O6" s="26">
        <v>46388</v>
      </c>
      <c r="P6" s="26">
        <v>46419</v>
      </c>
      <c r="Q6" s="26">
        <v>46447</v>
      </c>
      <c r="R6" s="26">
        <v>46478</v>
      </c>
      <c r="S6" s="26">
        <v>46508</v>
      </c>
      <c r="T6" s="26">
        <v>46539</v>
      </c>
      <c r="U6" s="26">
        <v>46569</v>
      </c>
      <c r="V6" s="26">
        <v>46600</v>
      </c>
      <c r="W6" s="26">
        <v>46631</v>
      </c>
      <c r="X6" s="26">
        <v>46661</v>
      </c>
      <c r="Y6" s="26">
        <v>46692</v>
      </c>
      <c r="Z6" s="26">
        <v>46722</v>
      </c>
      <c r="AA6" s="26">
        <v>46753</v>
      </c>
      <c r="AB6" s="26">
        <v>46784</v>
      </c>
      <c r="AC6" s="26">
        <v>46813</v>
      </c>
      <c r="AD6" s="26">
        <v>46844</v>
      </c>
      <c r="AE6" s="26">
        <v>46874</v>
      </c>
      <c r="AF6" s="26">
        <v>46905</v>
      </c>
      <c r="AG6" s="26">
        <v>46935</v>
      </c>
      <c r="AH6" s="26">
        <v>46966</v>
      </c>
      <c r="AI6" s="26">
        <v>46997</v>
      </c>
      <c r="AJ6" s="26">
        <v>47027</v>
      </c>
      <c r="AK6" s="26">
        <v>47058</v>
      </c>
      <c r="AL6" s="26">
        <v>47088</v>
      </c>
      <c r="AN6" s="17" t="s">
        <v>153</v>
      </c>
      <c r="AO6" s="17" t="s">
        <v>154</v>
      </c>
      <c r="AP6" s="17" t="s">
        <v>155</v>
      </c>
      <c r="AQ6" s="17" t="s">
        <v>156</v>
      </c>
      <c r="AR6" s="17" t="s">
        <v>157</v>
      </c>
      <c r="AS6" s="17" t="s">
        <v>158</v>
      </c>
      <c r="AT6" s="17" t="s">
        <v>159</v>
      </c>
      <c r="AU6" s="17" t="s">
        <v>160</v>
      </c>
      <c r="AV6" s="17" t="s">
        <v>161</v>
      </c>
      <c r="AW6" s="17" t="s">
        <v>162</v>
      </c>
      <c r="AX6" s="17" t="s">
        <v>163</v>
      </c>
      <c r="AY6" s="17" t="s">
        <v>164</v>
      </c>
      <c r="BA6" s="17" t="s">
        <v>165</v>
      </c>
      <c r="BB6" s="17" t="s">
        <v>166</v>
      </c>
      <c r="BC6" s="17" t="s">
        <v>167</v>
      </c>
    </row>
    <row r="7" spans="1:55" ht="16" customHeight="1">
      <c r="A7" s="14" t="s">
        <v>394</v>
      </c>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row>
    <row r="8" spans="1:55">
      <c r="A8" s="18" t="s">
        <v>395</v>
      </c>
      <c r="B8" s="16"/>
      <c r="C8" s="20">
        <f>'Cash Flow'!$C$28</f>
        <v>0</v>
      </c>
      <c r="D8" s="20">
        <f>'Cash Flow'!$D$28</f>
        <v>0</v>
      </c>
      <c r="E8" s="20">
        <f>'Cash Flow'!$E$28</f>
        <v>0</v>
      </c>
      <c r="F8" s="20">
        <f>'Cash Flow'!$F$28</f>
        <v>0</v>
      </c>
      <c r="G8" s="20">
        <f>'Cash Flow'!$G$28</f>
        <v>0</v>
      </c>
      <c r="H8" s="20">
        <f>'Cash Flow'!$H$28</f>
        <v>0</v>
      </c>
      <c r="I8" s="20">
        <f>'Cash Flow'!$I$28</f>
        <v>0</v>
      </c>
      <c r="J8" s="20">
        <f>'Cash Flow'!$J$28</f>
        <v>0</v>
      </c>
      <c r="K8" s="20">
        <f>'Cash Flow'!$K$28</f>
        <v>0</v>
      </c>
      <c r="L8" s="20">
        <f>'Cash Flow'!$L$28</f>
        <v>0</v>
      </c>
      <c r="M8" s="20">
        <f>'Cash Flow'!$M$28</f>
        <v>0</v>
      </c>
      <c r="N8" s="20">
        <f>'Cash Flow'!$N$28</f>
        <v>0</v>
      </c>
      <c r="O8" s="20">
        <f>'Cash Flow'!$O$28</f>
        <v>0</v>
      </c>
      <c r="P8" s="20">
        <f>'Cash Flow'!$P$28</f>
        <v>0</v>
      </c>
      <c r="Q8" s="20">
        <f>'Cash Flow'!$Q$28</f>
        <v>0</v>
      </c>
      <c r="R8" s="20">
        <f>'Cash Flow'!$R$28</f>
        <v>0</v>
      </c>
      <c r="S8" s="20">
        <f>'Cash Flow'!$S$28</f>
        <v>0</v>
      </c>
      <c r="T8" s="20">
        <f>'Cash Flow'!$T$28</f>
        <v>0</v>
      </c>
      <c r="U8" s="20">
        <f>'Cash Flow'!$U$28</f>
        <v>0</v>
      </c>
      <c r="V8" s="20">
        <f>'Cash Flow'!$V$28</f>
        <v>0</v>
      </c>
      <c r="W8" s="20">
        <f>'Cash Flow'!$W$28</f>
        <v>0</v>
      </c>
      <c r="X8" s="20">
        <f>'Cash Flow'!$X$28</f>
        <v>0</v>
      </c>
      <c r="Y8" s="20">
        <f>'Cash Flow'!$Y$28</f>
        <v>0</v>
      </c>
      <c r="Z8" s="20">
        <f>'Cash Flow'!$Z$28</f>
        <v>0</v>
      </c>
      <c r="AA8" s="20">
        <f>'Cash Flow'!$AA$28</f>
        <v>0</v>
      </c>
      <c r="AB8" s="20">
        <f>'Cash Flow'!$AB$28</f>
        <v>0</v>
      </c>
      <c r="AC8" s="20">
        <f>'Cash Flow'!$AC$28</f>
        <v>0</v>
      </c>
      <c r="AD8" s="20">
        <f>'Cash Flow'!$AD$28</f>
        <v>0</v>
      </c>
      <c r="AE8" s="20">
        <f>'Cash Flow'!$AE$28</f>
        <v>0</v>
      </c>
      <c r="AF8" s="20">
        <f>'Cash Flow'!$AF$28</f>
        <v>0</v>
      </c>
      <c r="AG8" s="20">
        <f>'Cash Flow'!$AG$28</f>
        <v>0</v>
      </c>
      <c r="AH8" s="20">
        <f>'Cash Flow'!$AH$28</f>
        <v>0</v>
      </c>
      <c r="AI8" s="20">
        <f>'Cash Flow'!$AI$28</f>
        <v>0</v>
      </c>
      <c r="AJ8" s="20">
        <f>'Cash Flow'!$AJ$28</f>
        <v>0</v>
      </c>
      <c r="AK8" s="20">
        <f>'Cash Flow'!$AK$28</f>
        <v>0</v>
      </c>
      <c r="AL8" s="20">
        <f>'Cash Flow'!$AL$28</f>
        <v>0</v>
      </c>
      <c r="AN8" s="20">
        <f>E8</f>
        <v>0</v>
      </c>
      <c r="AO8" s="20">
        <f>H8</f>
        <v>0</v>
      </c>
      <c r="AP8" s="20">
        <f>K8</f>
        <v>0</v>
      </c>
      <c r="AQ8" s="20">
        <f>N8</f>
        <v>0</v>
      </c>
      <c r="AR8" s="20">
        <f>Q8</f>
        <v>0</v>
      </c>
      <c r="AS8" s="20">
        <f>T8</f>
        <v>0</v>
      </c>
      <c r="AT8" s="20">
        <f>W8</f>
        <v>0</v>
      </c>
      <c r="AU8" s="20">
        <f>Z8</f>
        <v>0</v>
      </c>
      <c r="AV8" s="20">
        <f>AC8</f>
        <v>0</v>
      </c>
      <c r="AW8" s="20">
        <f>AF8</f>
        <v>0</v>
      </c>
      <c r="AX8" s="20">
        <f>AI8</f>
        <v>0</v>
      </c>
      <c r="AY8" s="20">
        <f>AL8</f>
        <v>0</v>
      </c>
      <c r="BA8" s="20">
        <f>N8</f>
        <v>0</v>
      </c>
      <c r="BB8" s="20">
        <f>Z8</f>
        <v>0</v>
      </c>
      <c r="BC8" s="20">
        <f>AL8</f>
        <v>0</v>
      </c>
    </row>
    <row r="9" spans="1:55">
      <c r="A9" s="18" t="s">
        <v>396</v>
      </c>
      <c r="B9" s="16" t="s">
        <v>397</v>
      </c>
      <c r="C9" s="20">
        <f>MAX(0,-('Cash Flow'!C14+'Cash Flow'!C18))</f>
        <v>0</v>
      </c>
      <c r="D9" s="20">
        <f>MAX(0,-('Cash Flow'!D14+'Cash Flow'!D18))</f>
        <v>0</v>
      </c>
      <c r="E9" s="20">
        <f>MAX(0,-('Cash Flow'!E14+'Cash Flow'!E18))</f>
        <v>0</v>
      </c>
      <c r="F9" s="20">
        <f>MAX(0,-('Cash Flow'!F14+'Cash Flow'!F18))</f>
        <v>0</v>
      </c>
      <c r="G9" s="20">
        <f>MAX(0,-('Cash Flow'!G14+'Cash Flow'!G18))</f>
        <v>0</v>
      </c>
      <c r="H9" s="20">
        <f>MAX(0,-('Cash Flow'!H14+'Cash Flow'!H18))</f>
        <v>0</v>
      </c>
      <c r="I9" s="20">
        <f>MAX(0,-('Cash Flow'!I14+'Cash Flow'!I18))</f>
        <v>0</v>
      </c>
      <c r="J9" s="20">
        <f>MAX(0,-('Cash Flow'!J14+'Cash Flow'!J18))</f>
        <v>0</v>
      </c>
      <c r="K9" s="20">
        <f>MAX(0,-('Cash Flow'!K14+'Cash Flow'!K18))</f>
        <v>0</v>
      </c>
      <c r="L9" s="20">
        <f>MAX(0,-('Cash Flow'!L14+'Cash Flow'!L18))</f>
        <v>0</v>
      </c>
      <c r="M9" s="20">
        <f>MAX(0,-('Cash Flow'!M14+'Cash Flow'!M18))</f>
        <v>0</v>
      </c>
      <c r="N9" s="20">
        <f>MAX(0,-('Cash Flow'!N14+'Cash Flow'!N18))</f>
        <v>0</v>
      </c>
      <c r="O9" s="20">
        <f>MAX(0,-('Cash Flow'!O14+'Cash Flow'!O18))</f>
        <v>0</v>
      </c>
      <c r="P9" s="20">
        <f>MAX(0,-('Cash Flow'!P14+'Cash Flow'!P18))</f>
        <v>0</v>
      </c>
      <c r="Q9" s="20">
        <f>MAX(0,-('Cash Flow'!Q14+'Cash Flow'!Q18))</f>
        <v>0</v>
      </c>
      <c r="R9" s="20">
        <f>MAX(0,-('Cash Flow'!R14+'Cash Flow'!R18))</f>
        <v>0</v>
      </c>
      <c r="S9" s="20">
        <f>MAX(0,-('Cash Flow'!S14+'Cash Flow'!S18))</f>
        <v>0</v>
      </c>
      <c r="T9" s="20">
        <f>MAX(0,-('Cash Flow'!T14+'Cash Flow'!T18))</f>
        <v>0</v>
      </c>
      <c r="U9" s="20">
        <f>MAX(0,-('Cash Flow'!U14+'Cash Flow'!U18))</f>
        <v>0</v>
      </c>
      <c r="V9" s="20">
        <f>MAX(0,-('Cash Flow'!V14+'Cash Flow'!V18))</f>
        <v>0</v>
      </c>
      <c r="W9" s="20">
        <f>MAX(0,-('Cash Flow'!W14+'Cash Flow'!W18))</f>
        <v>0</v>
      </c>
      <c r="X9" s="20">
        <f>MAX(0,-('Cash Flow'!X14+'Cash Flow'!X18))</f>
        <v>0</v>
      </c>
      <c r="Y9" s="20">
        <f>MAX(0,-('Cash Flow'!Y14+'Cash Flow'!Y18))</f>
        <v>0</v>
      </c>
      <c r="Z9" s="20">
        <f>MAX(0,-('Cash Flow'!Z14+'Cash Flow'!Z18))</f>
        <v>0</v>
      </c>
      <c r="AA9" s="20">
        <f>MAX(0,-('Cash Flow'!AA14+'Cash Flow'!AA18))</f>
        <v>0</v>
      </c>
      <c r="AB9" s="20">
        <f>MAX(0,-('Cash Flow'!AB14+'Cash Flow'!AB18))</f>
        <v>0</v>
      </c>
      <c r="AC9" s="20">
        <f>MAX(0,-('Cash Flow'!AC14+'Cash Flow'!AC18))</f>
        <v>0</v>
      </c>
      <c r="AD9" s="20">
        <f>MAX(0,-('Cash Flow'!AD14+'Cash Flow'!AD18))</f>
        <v>0</v>
      </c>
      <c r="AE9" s="20">
        <f>MAX(0,-('Cash Flow'!AE14+'Cash Flow'!AE18))</f>
        <v>0</v>
      </c>
      <c r="AF9" s="20">
        <f>MAX(0,-('Cash Flow'!AF14+'Cash Flow'!AF18))</f>
        <v>0</v>
      </c>
      <c r="AG9" s="20">
        <f>MAX(0,-('Cash Flow'!AG14+'Cash Flow'!AG18))</f>
        <v>0</v>
      </c>
      <c r="AH9" s="20">
        <f>MAX(0,-('Cash Flow'!AH14+'Cash Flow'!AH18))</f>
        <v>0</v>
      </c>
      <c r="AI9" s="20">
        <f>MAX(0,-('Cash Flow'!AI14+'Cash Flow'!AI18))</f>
        <v>0</v>
      </c>
      <c r="AJ9" s="20">
        <f>MAX(0,-('Cash Flow'!AJ14+'Cash Flow'!AJ18))</f>
        <v>0</v>
      </c>
      <c r="AK9" s="20">
        <f>MAX(0,-('Cash Flow'!AK14+'Cash Flow'!AK18))</f>
        <v>0</v>
      </c>
      <c r="AL9" s="20">
        <f>MAX(0,-('Cash Flow'!AL14+'Cash Flow'!AL18))</f>
        <v>0</v>
      </c>
      <c r="AN9" s="20">
        <f>SUM(C9:E9)</f>
        <v>0</v>
      </c>
      <c r="AO9" s="20">
        <f>SUM(F9:H9)</f>
        <v>0</v>
      </c>
      <c r="AP9" s="20">
        <f>SUM(I9:K9)</f>
        <v>0</v>
      </c>
      <c r="AQ9" s="20">
        <f>SUM(L9:N9)</f>
        <v>0</v>
      </c>
      <c r="AR9" s="20">
        <f>SUM(O9:Q9)</f>
        <v>0</v>
      </c>
      <c r="AS9" s="20">
        <f>SUM(R9:T9)</f>
        <v>0</v>
      </c>
      <c r="AT9" s="20">
        <f>SUM(U9:W9)</f>
        <v>0</v>
      </c>
      <c r="AU9" s="20">
        <f>SUM(X9:Z9)</f>
        <v>0</v>
      </c>
      <c r="AV9" s="20">
        <f>SUM(AA9:AC9)</f>
        <v>0</v>
      </c>
      <c r="AW9" s="20">
        <f>SUM(AD9:AF9)</f>
        <v>0</v>
      </c>
      <c r="AX9" s="20">
        <f>SUM(AG9:AI9)</f>
        <v>0</v>
      </c>
      <c r="AY9" s="20">
        <f>SUM(AJ9:AL9)</f>
        <v>0</v>
      </c>
      <c r="BA9" s="20">
        <f>SUM(C9:N9)</f>
        <v>0</v>
      </c>
      <c r="BB9" s="20">
        <f>SUM(O9:Z9)</f>
        <v>0</v>
      </c>
      <c r="BC9" s="20">
        <f>SUM(AA9:AL9)</f>
        <v>0</v>
      </c>
    </row>
    <row r="10" spans="1:55">
      <c r="A10" s="18" t="s">
        <v>398</v>
      </c>
      <c r="B10" s="16"/>
      <c r="C10" s="20">
        <f>AVERAGE(C9:C9)</f>
        <v>0</v>
      </c>
      <c r="D10" s="20">
        <f>AVERAGE(C9:D9)</f>
        <v>0</v>
      </c>
      <c r="E10" s="20">
        <f>AVERAGE(C9:E9)</f>
        <v>0</v>
      </c>
      <c r="F10" s="20">
        <f>AVERAGE(D9:F9)</f>
        <v>0</v>
      </c>
      <c r="G10" s="20">
        <f>AVERAGE(E9:G9)</f>
        <v>0</v>
      </c>
      <c r="H10" s="20">
        <f>AVERAGE(F9:H9)</f>
        <v>0</v>
      </c>
      <c r="I10" s="20">
        <f>AVERAGE(G9:I9)</f>
        <v>0</v>
      </c>
      <c r="J10" s="20">
        <f>AVERAGE(H9:J9)</f>
        <v>0</v>
      </c>
      <c r="K10" s="20">
        <f>AVERAGE(I9:K9)</f>
        <v>0</v>
      </c>
      <c r="L10" s="20">
        <f>AVERAGE(J9:L9)</f>
        <v>0</v>
      </c>
      <c r="M10" s="20">
        <f>AVERAGE(K9:M9)</f>
        <v>0</v>
      </c>
      <c r="N10" s="20">
        <f>AVERAGE(L9:N9)</f>
        <v>0</v>
      </c>
      <c r="O10" s="20">
        <f>AVERAGE(M9:O9)</f>
        <v>0</v>
      </c>
      <c r="P10" s="20">
        <f>AVERAGE(N9:P9)</f>
        <v>0</v>
      </c>
      <c r="Q10" s="20">
        <f>AVERAGE(O9:Q9)</f>
        <v>0</v>
      </c>
      <c r="R10" s="20">
        <f>AVERAGE(P9:R9)</f>
        <v>0</v>
      </c>
      <c r="S10" s="20">
        <f>AVERAGE(Q9:S9)</f>
        <v>0</v>
      </c>
      <c r="T10" s="20">
        <f>AVERAGE(R9:T9)</f>
        <v>0</v>
      </c>
      <c r="U10" s="20">
        <f>AVERAGE(S9:U9)</f>
        <v>0</v>
      </c>
      <c r="V10" s="20">
        <f>AVERAGE(T9:V9)</f>
        <v>0</v>
      </c>
      <c r="W10" s="20">
        <f>AVERAGE(U9:W9)</f>
        <v>0</v>
      </c>
      <c r="X10" s="20">
        <f>AVERAGE(V9:X9)</f>
        <v>0</v>
      </c>
      <c r="Y10" s="20">
        <f>AVERAGE(W9:Y9)</f>
        <v>0</v>
      </c>
      <c r="Z10" s="20">
        <f>AVERAGE(X9:Z9)</f>
        <v>0</v>
      </c>
      <c r="AA10" s="20">
        <f>AVERAGE(Y9:AA9)</f>
        <v>0</v>
      </c>
      <c r="AB10" s="20">
        <f>AVERAGE(Z9:AB9)</f>
        <v>0</v>
      </c>
      <c r="AC10" s="20">
        <f>AVERAGE(AA9:AC9)</f>
        <v>0</v>
      </c>
      <c r="AD10" s="20">
        <f>AVERAGE(AB9:AD9)</f>
        <v>0</v>
      </c>
      <c r="AE10" s="20">
        <f>AVERAGE(AC9:AE9)</f>
        <v>0</v>
      </c>
      <c r="AF10" s="20">
        <f>AVERAGE(AD9:AF9)</f>
        <v>0</v>
      </c>
      <c r="AG10" s="20">
        <f>AVERAGE(AE9:AG9)</f>
        <v>0</v>
      </c>
      <c r="AH10" s="20">
        <f>AVERAGE(AF9:AH9)</f>
        <v>0</v>
      </c>
      <c r="AI10" s="20">
        <f>AVERAGE(AG9:AI9)</f>
        <v>0</v>
      </c>
      <c r="AJ10" s="20">
        <f>AVERAGE(AH9:AJ9)</f>
        <v>0</v>
      </c>
      <c r="AK10" s="20">
        <f>AVERAGE(AI9:AK9)</f>
        <v>0</v>
      </c>
      <c r="AL10" s="20">
        <f>AVERAGE(AJ9:AL9)</f>
        <v>0</v>
      </c>
      <c r="AN10" s="20">
        <f>AVERAGE(C10:E10)</f>
        <v>0</v>
      </c>
      <c r="AO10" s="20">
        <f>AVERAGE(F10:H10)</f>
        <v>0</v>
      </c>
      <c r="AP10" s="20">
        <f>AVERAGE(I10:K10)</f>
        <v>0</v>
      </c>
      <c r="AQ10" s="20">
        <f>AVERAGE(L10:N10)</f>
        <v>0</v>
      </c>
      <c r="AR10" s="20">
        <f>AVERAGE(O10:Q10)</f>
        <v>0</v>
      </c>
      <c r="AS10" s="20">
        <f>AVERAGE(R10:T10)</f>
        <v>0</v>
      </c>
      <c r="AT10" s="20">
        <f>AVERAGE(U10:W10)</f>
        <v>0</v>
      </c>
      <c r="AU10" s="20">
        <f>AVERAGE(X10:Z10)</f>
        <v>0</v>
      </c>
      <c r="AV10" s="20">
        <f>AVERAGE(AA10:AC10)</f>
        <v>0</v>
      </c>
      <c r="AW10" s="20">
        <f>AVERAGE(AD10:AF10)</f>
        <v>0</v>
      </c>
      <c r="AX10" s="20">
        <f>AVERAGE(AG10:AI10)</f>
        <v>0</v>
      </c>
      <c r="AY10" s="20">
        <f>AVERAGE(AJ10:AL10)</f>
        <v>0</v>
      </c>
      <c r="BA10" s="20">
        <f>AVERAGE(C10:N10)</f>
        <v>0</v>
      </c>
      <c r="BB10" s="20">
        <f>AVERAGE(O10:Z10)</f>
        <v>0</v>
      </c>
      <c r="BC10" s="20">
        <f>AVERAGE(AA10:AL10)</f>
        <v>0</v>
      </c>
    </row>
    <row r="11" spans="1:55">
      <c r="A11" s="18" t="s">
        <v>269</v>
      </c>
      <c r="B11" s="16" t="s">
        <v>399</v>
      </c>
      <c r="C11" s="34">
        <f>IF(C8&lt;=0,0,IF(C10&lt;=0,999,C8/C10))</f>
        <v>0</v>
      </c>
      <c r="D11" s="34">
        <f>IF(D8&lt;=0,0,IF(D10&lt;=0,999,D8/D10))</f>
        <v>0</v>
      </c>
      <c r="E11" s="34">
        <f>IF(E8&lt;=0,0,IF(E10&lt;=0,999,E8/E10))</f>
        <v>0</v>
      </c>
      <c r="F11" s="34">
        <f>IF(F8&lt;=0,0,IF(F10&lt;=0,999,F8/F10))</f>
        <v>0</v>
      </c>
      <c r="G11" s="34">
        <f>IF(G8&lt;=0,0,IF(G10&lt;=0,999,G8/G10))</f>
        <v>0</v>
      </c>
      <c r="H11" s="34">
        <f>IF(H8&lt;=0,0,IF(H10&lt;=0,999,H8/H10))</f>
        <v>0</v>
      </c>
      <c r="I11" s="34">
        <f>IF(I8&lt;=0,0,IF(I10&lt;=0,999,I8/I10))</f>
        <v>0</v>
      </c>
      <c r="J11" s="34">
        <f>IF(J8&lt;=0,0,IF(J10&lt;=0,999,J8/J10))</f>
        <v>0</v>
      </c>
      <c r="K11" s="34">
        <f>IF(K8&lt;=0,0,IF(K10&lt;=0,999,K8/K10))</f>
        <v>0</v>
      </c>
      <c r="L11" s="34">
        <f>IF(L8&lt;=0,0,IF(L10&lt;=0,999,L8/L10))</f>
        <v>0</v>
      </c>
      <c r="M11" s="34">
        <f>IF(M8&lt;=0,0,IF(M10&lt;=0,999,M8/M10))</f>
        <v>0</v>
      </c>
      <c r="N11" s="34">
        <f>IF(N8&lt;=0,0,IF(N10&lt;=0,999,N8/N10))</f>
        <v>0</v>
      </c>
      <c r="O11" s="34">
        <f>IF(O8&lt;=0,0,IF(O10&lt;=0,999,O8/O10))</f>
        <v>0</v>
      </c>
      <c r="P11" s="34">
        <f>IF(P8&lt;=0,0,IF(P10&lt;=0,999,P8/P10))</f>
        <v>0</v>
      </c>
      <c r="Q11" s="34">
        <f>IF(Q8&lt;=0,0,IF(Q10&lt;=0,999,Q8/Q10))</f>
        <v>0</v>
      </c>
      <c r="R11" s="34">
        <f>IF(R8&lt;=0,0,IF(R10&lt;=0,999,R8/R10))</f>
        <v>0</v>
      </c>
      <c r="S11" s="34">
        <f>IF(S8&lt;=0,0,IF(S10&lt;=0,999,S8/S10))</f>
        <v>0</v>
      </c>
      <c r="T11" s="34">
        <f>IF(T8&lt;=0,0,IF(T10&lt;=0,999,T8/T10))</f>
        <v>0</v>
      </c>
      <c r="U11" s="34">
        <f>IF(U8&lt;=0,0,IF(U10&lt;=0,999,U8/U10))</f>
        <v>0</v>
      </c>
      <c r="V11" s="34">
        <f>IF(V8&lt;=0,0,IF(V10&lt;=0,999,V8/V10))</f>
        <v>0</v>
      </c>
      <c r="W11" s="34">
        <f>IF(W8&lt;=0,0,IF(W10&lt;=0,999,W8/W10))</f>
        <v>0</v>
      </c>
      <c r="X11" s="34">
        <f>IF(X8&lt;=0,0,IF(X10&lt;=0,999,X8/X10))</f>
        <v>0</v>
      </c>
      <c r="Y11" s="34">
        <f>IF(Y8&lt;=0,0,IF(Y10&lt;=0,999,Y8/Y10))</f>
        <v>0</v>
      </c>
      <c r="Z11" s="34">
        <f>IF(Z8&lt;=0,0,IF(Z10&lt;=0,999,Z8/Z10))</f>
        <v>0</v>
      </c>
      <c r="AA11" s="34">
        <f>IF(AA8&lt;=0,0,IF(AA10&lt;=0,999,AA8/AA10))</f>
        <v>0</v>
      </c>
      <c r="AB11" s="34">
        <f>IF(AB8&lt;=0,0,IF(AB10&lt;=0,999,AB8/AB10))</f>
        <v>0</v>
      </c>
      <c r="AC11" s="34">
        <f>IF(AC8&lt;=0,0,IF(AC10&lt;=0,999,AC8/AC10))</f>
        <v>0</v>
      </c>
      <c r="AD11" s="34">
        <f>IF(AD8&lt;=0,0,IF(AD10&lt;=0,999,AD8/AD10))</f>
        <v>0</v>
      </c>
      <c r="AE11" s="34">
        <f>IF(AE8&lt;=0,0,IF(AE10&lt;=0,999,AE8/AE10))</f>
        <v>0</v>
      </c>
      <c r="AF11" s="34">
        <f>IF(AF8&lt;=0,0,IF(AF10&lt;=0,999,AF8/AF10))</f>
        <v>0</v>
      </c>
      <c r="AG11" s="34">
        <f>IF(AG8&lt;=0,0,IF(AG10&lt;=0,999,AG8/AG10))</f>
        <v>0</v>
      </c>
      <c r="AH11" s="34">
        <f>IF(AH8&lt;=0,0,IF(AH10&lt;=0,999,AH8/AH10))</f>
        <v>0</v>
      </c>
      <c r="AI11" s="34">
        <f>IF(AI8&lt;=0,0,IF(AI10&lt;=0,999,AI8/AI10))</f>
        <v>0</v>
      </c>
      <c r="AJ11" s="34">
        <f>IF(AJ8&lt;=0,0,IF(AJ10&lt;=0,999,AJ8/AJ10))</f>
        <v>0</v>
      </c>
      <c r="AK11" s="34">
        <f>IF(AK8&lt;=0,0,IF(AK10&lt;=0,999,AK8/AK10))</f>
        <v>0</v>
      </c>
      <c r="AL11" s="34">
        <f>IF(AL8&lt;=0,0,IF(AL10&lt;=0,999,AL8/AL10))</f>
        <v>0</v>
      </c>
      <c r="AN11" s="34">
        <f>E11</f>
        <v>0</v>
      </c>
      <c r="AO11" s="34">
        <f>H11</f>
        <v>0</v>
      </c>
      <c r="AP11" s="34">
        <f>K11</f>
        <v>0</v>
      </c>
      <c r="AQ11" s="34">
        <f>N11</f>
        <v>0</v>
      </c>
      <c r="AR11" s="34">
        <f>Q11</f>
        <v>0</v>
      </c>
      <c r="AS11" s="34">
        <f>T11</f>
        <v>0</v>
      </c>
      <c r="AT11" s="34">
        <f>W11</f>
        <v>0</v>
      </c>
      <c r="AU11" s="34">
        <f>Z11</f>
        <v>0</v>
      </c>
      <c r="AV11" s="34">
        <f>AC11</f>
        <v>0</v>
      </c>
      <c r="AW11" s="34">
        <f>AF11</f>
        <v>0</v>
      </c>
      <c r="AX11" s="34">
        <f>AI11</f>
        <v>0</v>
      </c>
      <c r="AY11" s="34">
        <f>AL11</f>
        <v>0</v>
      </c>
      <c r="BA11" s="34">
        <f>N11</f>
        <v>0</v>
      </c>
      <c r="BB11" s="34">
        <f>Z11</f>
        <v>0</v>
      </c>
      <c r="BC11" s="34">
        <f>AL11</f>
        <v>0</v>
      </c>
    </row>
    <row r="12" spans="1:55" ht="5" customHeight="1"/>
    <row r="13" spans="1:55" ht="16" customHeight="1">
      <c r="A13" s="14" t="s">
        <v>400</v>
      </c>
      <c r="B13" s="14"/>
      <c r="C13" s="14"/>
      <c r="D13" s="14"/>
      <c r="E13" s="14"/>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row>
    <row r="14" spans="1:55">
      <c r="A14" s="35" t="s">
        <v>401</v>
      </c>
      <c r="C14" s="34">
        <f>IF(AL8&lt;=0,0,IF(AL10&lt;=0,"Cash-flow positive",AL11))</f>
        <v>0</v>
      </c>
    </row>
  </sheetData>
  <mergeCells count="7">
    <mergeCell ref="A1:BC1"/>
    <mergeCell ref="A2:BC2"/>
    <mergeCell ref="C5:AL5"/>
    <mergeCell ref="AN5:AY5"/>
    <mergeCell ref="BA5:BC5"/>
    <mergeCell ref="A7:BC7"/>
    <mergeCell ref="A13:BC13"/>
  </mergeCells>
  <pageMargins left="0.7" right="0.7" top="0.75" bottom="0.75" header="0.3" footer="0.3"/>
  <pageSetup paperSize="9" scale="55" orientation="landscape"/>
</worksheet>
</file>

<file path=xl/worksheets/sheet12.xml><?xml version="1.0" encoding="utf-8"?>
<worksheet xmlns="http://schemas.openxmlformats.org/spreadsheetml/2006/main" xmlns:r="http://schemas.openxmlformats.org/officeDocument/2006/relationships">
  <dimension ref="A1:F15"/>
  <sheetViews>
    <sheetView showGridLines="0" zoomScale="110" zoomScaleNormal="110" workbookViewId="0"/>
  </sheetViews>
  <sheetFormatPr defaultRowHeight="15"/>
  <cols>
    <col min="1" max="1" width="34.7109375" customWidth="1"/>
    <col min="2" max="2" width="42.7109375" customWidth="1"/>
    <col min="3" max="6" width="18.7109375" customWidth="1"/>
  </cols>
  <sheetData>
    <row r="1" spans="1:6" ht="22" customHeight="1">
      <c r="A1" s="1" t="s">
        <v>402</v>
      </c>
      <c r="B1" s="1"/>
      <c r="C1" s="1"/>
      <c r="D1" s="1"/>
      <c r="E1" s="1"/>
      <c r="F1" s="1"/>
    </row>
    <row r="2" spans="1:6" ht="28" customHeight="1">
      <c r="A2" s="2" t="s">
        <v>403</v>
      </c>
      <c r="B2" s="2"/>
      <c r="C2" s="2"/>
      <c r="D2" s="2"/>
      <c r="E2" s="2"/>
      <c r="F2" s="2"/>
    </row>
    <row r="4" spans="1:6">
      <c r="A4" s="14" t="s">
        <v>404</v>
      </c>
      <c r="C4" s="15">
        <f>'Assumptions'!$C$4</f>
        <v>0</v>
      </c>
    </row>
    <row r="6" spans="1:6">
      <c r="A6" s="17" t="s">
        <v>405</v>
      </c>
      <c r="B6" s="17" t="s">
        <v>406</v>
      </c>
      <c r="C6" s="17" t="s">
        <v>29</v>
      </c>
      <c r="D6" s="17" t="s">
        <v>33</v>
      </c>
      <c r="E6" s="17" t="s">
        <v>34</v>
      </c>
      <c r="F6" s="17" t="s">
        <v>407</v>
      </c>
    </row>
    <row r="7" spans="1:6">
      <c r="A7" s="35" t="s">
        <v>408</v>
      </c>
      <c r="B7" s="21" t="s">
        <v>409</v>
      </c>
      <c r="C7" s="20">
        <f>((('Assumptions'!$C$15*(1-'Assumptions'!$C$28))+((MAX(0,('Assumptions'!$C$13+('Assumptions'!$C$16+'Assumptions'!$C$19+'Assumptions'!$C$22)-'Assumptions'!$C$13*'Assumptions'!$C$14)-('Assumptions'!$C$15*(1-'Assumptions'!$C$28))))*'Assumptions'!$C$27))*('Assumptions'!$C$29*(1-'Assumptions'!$C$31)+'Assumptions'!$C$30*'Assumptions'!$C$31))*12</f>
        <v>0</v>
      </c>
      <c r="D7" s="20">
        <f>((('Assumptions'!$D$15*(1-'Assumptions'!$D$28))+((MAX(0,('Assumptions'!$D$13+('Assumptions'!$D$16+'Assumptions'!$D$19+'Assumptions'!$D$22)-'Assumptions'!$D$13*'Assumptions'!$D$14)-('Assumptions'!$D$15*(1-'Assumptions'!$D$28))))*'Assumptions'!$D$27))*('Assumptions'!$D$29*(1-'Assumptions'!$D$31)+'Assumptions'!$D$30*'Assumptions'!$D$31))*12</f>
        <v>0</v>
      </c>
      <c r="E7" s="20">
        <f>((('Assumptions'!$E$15*(1-'Assumptions'!$E$28))+((MAX(0,('Assumptions'!$E$13+('Assumptions'!$E$16+'Assumptions'!$E$19+'Assumptions'!$E$22)-'Assumptions'!$E$13*'Assumptions'!$E$14)-('Assumptions'!$E$15*(1-'Assumptions'!$E$28))))*'Assumptions'!$E$27))*('Assumptions'!$E$29*(1-'Assumptions'!$E$31)+'Assumptions'!$E$30*'Assumptions'!$E$31))*12</f>
        <v>0</v>
      </c>
      <c r="F7" s="20">
        <f>'Revenue'!C35*12</f>
        <v>0</v>
      </c>
    </row>
    <row r="8" spans="1:6">
      <c r="A8" s="35" t="s">
        <v>410</v>
      </c>
      <c r="B8" s="21" t="s">
        <v>411</v>
      </c>
      <c r="C8" s="25">
        <f>1-'Assumptions'!$C$28</f>
        <v>0</v>
      </c>
      <c r="D8" s="25">
        <f>1-'Assumptions'!$D$28</f>
        <v>0</v>
      </c>
      <c r="E8" s="25">
        <f>1-'Assumptions'!$E$28</f>
        <v>0</v>
      </c>
      <c r="F8" s="25">
        <f>'Revenue'!C41</f>
        <v>0</v>
      </c>
    </row>
    <row r="9" spans="1:6">
      <c r="A9" s="35" t="s">
        <v>412</v>
      </c>
      <c r="B9" s="21" t="s">
        <v>413</v>
      </c>
      <c r="C9" s="20">
        <f>((('Assumptions'!$C$15*(1-'Assumptions'!$C$28))+((MAX(0,('Assumptions'!$C$13+('Assumptions'!$C$16+'Assumptions'!$C$19+'Assumptions'!$C$22)-'Assumptions'!$C$13*'Assumptions'!$C$14)-('Assumptions'!$C$15*(1-'Assumptions'!$C$28))))*'Assumptions'!$C$27))*('Assumptions'!$C$29*(1-'Assumptions'!$C$31)+'Assumptions'!$C$30*'Assumptions'!$C$31))*(1+(('Assumptions'!$C$17+'Assumptions'!$C$20+'Assumptions'!$C$23)/3)+'Assumptions'!$C$27*0.35-'Assumptions'!$C$28+'Assumptions'!$C$32*0.5)^35</f>
        <v>0</v>
      </c>
      <c r="D9" s="20">
        <f>((('Assumptions'!$D$15*(1-'Assumptions'!$D$28))+((MAX(0,('Assumptions'!$D$13+('Assumptions'!$D$16+'Assumptions'!$D$19+'Assumptions'!$D$22)-'Assumptions'!$D$13*'Assumptions'!$D$14)-('Assumptions'!$D$15*(1-'Assumptions'!$D$28))))*'Assumptions'!$D$27))*('Assumptions'!$D$29*(1-'Assumptions'!$D$31)+'Assumptions'!$D$30*'Assumptions'!$D$31))*(1+(('Assumptions'!$D$17+'Assumptions'!$D$20+'Assumptions'!$D$23)/3)+'Assumptions'!$D$27*0.35-'Assumptions'!$D$28+'Assumptions'!$D$32*0.5)^35</f>
        <v>0</v>
      </c>
      <c r="E9" s="20">
        <f>((('Assumptions'!$E$15*(1-'Assumptions'!$E$28))+((MAX(0,('Assumptions'!$E$13+('Assumptions'!$E$16+'Assumptions'!$E$19+'Assumptions'!$E$22)-'Assumptions'!$E$13*'Assumptions'!$E$14)-('Assumptions'!$E$15*(1-'Assumptions'!$E$28))))*'Assumptions'!$E$27))*('Assumptions'!$E$29*(1-'Assumptions'!$E$31)+'Assumptions'!$E$30*'Assumptions'!$E$31))*(1+(('Assumptions'!$E$17+'Assumptions'!$E$20+'Assumptions'!$E$23)/3)+'Assumptions'!$E$27*0.35-'Assumptions'!$E$28+'Assumptions'!$E$32*0.5)^35</f>
        <v>0</v>
      </c>
      <c r="F9" s="20">
        <f>'Revenue'!AL35</f>
        <v>0</v>
      </c>
    </row>
    <row r="10" spans="1:6">
      <c r="A10" s="35" t="s">
        <v>414</v>
      </c>
      <c r="B10" s="21" t="s">
        <v>415</v>
      </c>
      <c r="C10" s="25">
        <f>IFERROR((((('Assumptions'!$C$15*(1-'Assumptions'!$C$28))+((MAX(0,('Assumptions'!$C$13+('Assumptions'!$C$16+'Assumptions'!$C$19+'Assumptions'!$C$22)-'Assumptions'!$C$13*'Assumptions'!$C$14)-('Assumptions'!$C$15*(1-'Assumptions'!$C$28))))*'Assumptions'!$C$27))*('Assumptions'!$C$29*(1-'Assumptions'!$C$31)+'Assumptions'!$C$30*'Assumptions'!$C$31))-(((('Assumptions'!$C$15*(1-'Assumptions'!$C$28))+((MAX(0,('Assumptions'!$C$13+('Assumptions'!$C$16+'Assumptions'!$C$19+'Assumptions'!$C$22)-'Assumptions'!$C$13*'Assumptions'!$C$14)-('Assumptions'!$C$15*(1-'Assumptions'!$C$28))))*'Assumptions'!$C$27))*('Assumptions'!$C$29*(1-'Assumptions'!$C$31)+'Assumptions'!$C$30*'Assumptions'!$C$31))*('Assumptions'!$C$35+'Assumptions'!$C$36)+('Assumptions'!$C$13+('Assumptions'!$C$16+'Assumptions'!$C$19+'Assumptions'!$C$22)-'Assumptions'!$C$13*'Assumptions'!$C$14)*'Assumptions'!$C$37+(('Assumptions'!$C$15*(1-'Assumptions'!$C$28))+((MAX(0,('Assumptions'!$C$13+('Assumptions'!$C$16+'Assumptions'!$C$19+'Assumptions'!$C$22)-'Assumptions'!$C$13*'Assumptions'!$C$14)-('Assumptions'!$C$15*(1-'Assumptions'!$C$28))))*'Assumptions'!$C$27))*'Assumptions'!$C$38+('Assumptions'!$C$41*'Assumptions'!$C$43)))/((('Assumptions'!$C$15*(1-'Assumptions'!$C$28))+((MAX(0,('Assumptions'!$C$13+('Assumptions'!$C$16+'Assumptions'!$C$19+'Assumptions'!$C$22)-'Assumptions'!$C$13*'Assumptions'!$C$14)-('Assumptions'!$C$15*(1-'Assumptions'!$C$28))))*'Assumptions'!$C$27))*('Assumptions'!$C$29*(1-'Assumptions'!$C$31)+'Assumptions'!$C$30*'Assumptions'!$C$31)),0)</f>
        <v>0</v>
      </c>
      <c r="D10" s="25">
        <f>IFERROR((((('Assumptions'!$D$15*(1-'Assumptions'!$D$28))+((MAX(0,('Assumptions'!$D$13+('Assumptions'!$D$16+'Assumptions'!$D$19+'Assumptions'!$D$22)-'Assumptions'!$D$13*'Assumptions'!$D$14)-('Assumptions'!$D$15*(1-'Assumptions'!$D$28))))*'Assumptions'!$D$27))*('Assumptions'!$D$29*(1-'Assumptions'!$D$31)+'Assumptions'!$D$30*'Assumptions'!$D$31))-(((('Assumptions'!$D$15*(1-'Assumptions'!$D$28))+((MAX(0,('Assumptions'!$D$13+('Assumptions'!$D$16+'Assumptions'!$D$19+'Assumptions'!$D$22)-'Assumptions'!$D$13*'Assumptions'!$D$14)-('Assumptions'!$D$15*(1-'Assumptions'!$D$28))))*'Assumptions'!$D$27))*('Assumptions'!$D$29*(1-'Assumptions'!$D$31)+'Assumptions'!$D$30*'Assumptions'!$D$31))*('Assumptions'!$D$35+'Assumptions'!$D$36)+('Assumptions'!$D$13+('Assumptions'!$D$16+'Assumptions'!$D$19+'Assumptions'!$D$22)-'Assumptions'!$D$13*'Assumptions'!$D$14)*'Assumptions'!$D$37+(('Assumptions'!$D$15*(1-'Assumptions'!$D$28))+((MAX(0,('Assumptions'!$D$13+('Assumptions'!$D$16+'Assumptions'!$D$19+'Assumptions'!$D$22)-'Assumptions'!$D$13*'Assumptions'!$D$14)-('Assumptions'!$D$15*(1-'Assumptions'!$D$28))))*'Assumptions'!$D$27))*'Assumptions'!$D$38+('Assumptions'!$D$41*'Assumptions'!$D$43)))/((('Assumptions'!$D$15*(1-'Assumptions'!$D$28))+((MAX(0,('Assumptions'!$D$13+('Assumptions'!$D$16+'Assumptions'!$D$19+'Assumptions'!$D$22)-'Assumptions'!$D$13*'Assumptions'!$D$14)-('Assumptions'!$D$15*(1-'Assumptions'!$D$28))))*'Assumptions'!$D$27))*('Assumptions'!$D$29*(1-'Assumptions'!$D$31)+'Assumptions'!$D$30*'Assumptions'!$D$31)),0)</f>
        <v>0</v>
      </c>
      <c r="E10" s="25">
        <f>IFERROR((((('Assumptions'!$E$15*(1-'Assumptions'!$E$28))+((MAX(0,('Assumptions'!$E$13+('Assumptions'!$E$16+'Assumptions'!$E$19+'Assumptions'!$E$22)-'Assumptions'!$E$13*'Assumptions'!$E$14)-('Assumptions'!$E$15*(1-'Assumptions'!$E$28))))*'Assumptions'!$E$27))*('Assumptions'!$E$29*(1-'Assumptions'!$E$31)+'Assumptions'!$E$30*'Assumptions'!$E$31))-(((('Assumptions'!$E$15*(1-'Assumptions'!$E$28))+((MAX(0,('Assumptions'!$E$13+('Assumptions'!$E$16+'Assumptions'!$E$19+'Assumptions'!$E$22)-'Assumptions'!$E$13*'Assumptions'!$E$14)-('Assumptions'!$E$15*(1-'Assumptions'!$E$28))))*'Assumptions'!$E$27))*('Assumptions'!$E$29*(1-'Assumptions'!$E$31)+'Assumptions'!$E$30*'Assumptions'!$E$31))*('Assumptions'!$E$35+'Assumptions'!$E$36)+('Assumptions'!$E$13+('Assumptions'!$E$16+'Assumptions'!$E$19+'Assumptions'!$E$22)-'Assumptions'!$E$13*'Assumptions'!$E$14)*'Assumptions'!$E$37+(('Assumptions'!$E$15*(1-'Assumptions'!$E$28))+((MAX(0,('Assumptions'!$E$13+('Assumptions'!$E$16+'Assumptions'!$E$19+'Assumptions'!$E$22)-'Assumptions'!$E$13*'Assumptions'!$E$14)-('Assumptions'!$E$15*(1-'Assumptions'!$E$28))))*'Assumptions'!$E$27))*'Assumptions'!$E$38+('Assumptions'!$E$41*'Assumptions'!$E$43)))/((('Assumptions'!$E$15*(1-'Assumptions'!$E$28))+((MAX(0,('Assumptions'!$E$13+('Assumptions'!$E$16+'Assumptions'!$E$19+'Assumptions'!$E$22)-'Assumptions'!$E$13*'Assumptions'!$E$14)-('Assumptions'!$E$15*(1-'Assumptions'!$E$28))))*'Assumptions'!$E$27))*('Assumptions'!$E$29*(1-'Assumptions'!$E$31)+'Assumptions'!$E$30*'Assumptions'!$E$31)),0)</f>
        <v>0</v>
      </c>
      <c r="F10" s="25">
        <f>'COGS &amp; GM'!C17</f>
        <v>0</v>
      </c>
    </row>
    <row r="11" spans="1:6">
      <c r="A11" s="35" t="s">
        <v>416</v>
      </c>
      <c r="B11" s="21" t="s">
        <v>417</v>
      </c>
      <c r="C11" s="20">
        <f>MAX(0,(((('Assumptions'!$C$15*(1-'Assumptions'!$C$28))+((MAX(0,('Assumptions'!$C$13+('Assumptions'!$C$16+'Assumptions'!$C$19+'Assumptions'!$C$22)-'Assumptions'!$C$13*'Assumptions'!$C$14)-('Assumptions'!$C$15*(1-'Assumptions'!$C$28))))*'Assumptions'!$C$27))*('Assumptions'!$C$29*(1-'Assumptions'!$C$31)+'Assumptions'!$C$30*'Assumptions'!$C$31))*('Assumptions'!$C$35+'Assumptions'!$C$36)+('Assumptions'!$C$13+('Assumptions'!$C$16+'Assumptions'!$C$19+'Assumptions'!$C$22)-'Assumptions'!$C$13*'Assumptions'!$C$14)*'Assumptions'!$C$37+(('Assumptions'!$C$15*(1-'Assumptions'!$C$28))+((MAX(0,('Assumptions'!$C$13+('Assumptions'!$C$16+'Assumptions'!$C$19+'Assumptions'!$C$22)-'Assumptions'!$C$13*'Assumptions'!$C$14)-('Assumptions'!$C$15*(1-'Assumptions'!$C$28))))*'Assumptions'!$C$27))*'Assumptions'!$C$38+('Assumptions'!$C$41*'Assumptions'!$C$43))+('Assumptions'!$C$46*'Assumptions'!$C$48+'Assumptions'!$C$51*'Assumptions'!$C$53+'Assumptions'!$C$56*'Assumptions'!$C$58)+((('Assumptions'!$C$16*'Assumptions'!$C$18+'Assumptions'!$C$19*'Assumptions'!$C$21+'Assumptions'!$C$22*'Assumptions'!$C$24))+'Assumptions'!$C$61+'Assumptions'!$C$62+'Assumptions'!$C$63)-((('Assumptions'!$C$15*(1-'Assumptions'!$C$28))+((MAX(0,('Assumptions'!$C$13+('Assumptions'!$C$16+'Assumptions'!$C$19+'Assumptions'!$C$22)-'Assumptions'!$C$13*'Assumptions'!$C$14)-('Assumptions'!$C$15*(1-'Assumptions'!$C$28))))*'Assumptions'!$C$27))*('Assumptions'!$C$29*(1-'Assumptions'!$C$31)+'Assumptions'!$C$30*'Assumptions'!$C$31)))</f>
        <v>0</v>
      </c>
      <c r="D11" s="20">
        <f>MAX(0,(((('Assumptions'!$D$15*(1-'Assumptions'!$D$28))+((MAX(0,('Assumptions'!$D$13+('Assumptions'!$D$16+'Assumptions'!$D$19+'Assumptions'!$D$22)-'Assumptions'!$D$13*'Assumptions'!$D$14)-('Assumptions'!$D$15*(1-'Assumptions'!$D$28))))*'Assumptions'!$D$27))*('Assumptions'!$D$29*(1-'Assumptions'!$D$31)+'Assumptions'!$D$30*'Assumptions'!$D$31))*('Assumptions'!$D$35+'Assumptions'!$D$36)+('Assumptions'!$D$13+('Assumptions'!$D$16+'Assumptions'!$D$19+'Assumptions'!$D$22)-'Assumptions'!$D$13*'Assumptions'!$D$14)*'Assumptions'!$D$37+(('Assumptions'!$D$15*(1-'Assumptions'!$D$28))+((MAX(0,('Assumptions'!$D$13+('Assumptions'!$D$16+'Assumptions'!$D$19+'Assumptions'!$D$22)-'Assumptions'!$D$13*'Assumptions'!$D$14)-('Assumptions'!$D$15*(1-'Assumptions'!$D$28))))*'Assumptions'!$D$27))*'Assumptions'!$D$38+('Assumptions'!$D$41*'Assumptions'!$D$43))+('Assumptions'!$D$46*'Assumptions'!$D$48+'Assumptions'!$D$51*'Assumptions'!$D$53+'Assumptions'!$D$56*'Assumptions'!$D$58)+((('Assumptions'!$D$16*'Assumptions'!$D$18+'Assumptions'!$D$19*'Assumptions'!$D$21+'Assumptions'!$D$22*'Assumptions'!$D$24))+'Assumptions'!$D$61+'Assumptions'!$D$62+'Assumptions'!$D$63)-((('Assumptions'!$D$15*(1-'Assumptions'!$D$28))+((MAX(0,('Assumptions'!$D$13+('Assumptions'!$D$16+'Assumptions'!$D$19+'Assumptions'!$D$22)-'Assumptions'!$D$13*'Assumptions'!$D$14)-('Assumptions'!$D$15*(1-'Assumptions'!$D$28))))*'Assumptions'!$D$27))*('Assumptions'!$D$29*(1-'Assumptions'!$D$31)+'Assumptions'!$D$30*'Assumptions'!$D$31)))</f>
        <v>0</v>
      </c>
      <c r="E11" s="20">
        <f>MAX(0,(((('Assumptions'!$E$15*(1-'Assumptions'!$E$28))+((MAX(0,('Assumptions'!$E$13+('Assumptions'!$E$16+'Assumptions'!$E$19+'Assumptions'!$E$22)-'Assumptions'!$E$13*'Assumptions'!$E$14)-('Assumptions'!$E$15*(1-'Assumptions'!$E$28))))*'Assumptions'!$E$27))*('Assumptions'!$E$29*(1-'Assumptions'!$E$31)+'Assumptions'!$E$30*'Assumptions'!$E$31))*('Assumptions'!$E$35+'Assumptions'!$E$36)+('Assumptions'!$E$13+('Assumptions'!$E$16+'Assumptions'!$E$19+'Assumptions'!$E$22)-'Assumptions'!$E$13*'Assumptions'!$E$14)*'Assumptions'!$E$37+(('Assumptions'!$E$15*(1-'Assumptions'!$E$28))+((MAX(0,('Assumptions'!$E$13+('Assumptions'!$E$16+'Assumptions'!$E$19+'Assumptions'!$E$22)-'Assumptions'!$E$13*'Assumptions'!$E$14)-('Assumptions'!$E$15*(1-'Assumptions'!$E$28))))*'Assumptions'!$E$27))*'Assumptions'!$E$38+('Assumptions'!$E$41*'Assumptions'!$E$43))+('Assumptions'!$E$46*'Assumptions'!$E$48+'Assumptions'!$E$51*'Assumptions'!$E$53+'Assumptions'!$E$56*'Assumptions'!$E$58)+((('Assumptions'!$E$16*'Assumptions'!$E$18+'Assumptions'!$E$19*'Assumptions'!$E$21+'Assumptions'!$E$22*'Assumptions'!$E$24))+'Assumptions'!$E$61+'Assumptions'!$E$62+'Assumptions'!$E$63)-((('Assumptions'!$E$15*(1-'Assumptions'!$E$28))+((MAX(0,('Assumptions'!$E$13+('Assumptions'!$E$16+'Assumptions'!$E$19+'Assumptions'!$E$22)-'Assumptions'!$E$13*'Assumptions'!$E$14)-('Assumptions'!$E$15*(1-'Assumptions'!$E$28))))*'Assumptions'!$E$27))*('Assumptions'!$E$29*(1-'Assumptions'!$E$31)+'Assumptions'!$E$30*'Assumptions'!$E$31)))</f>
        <v>0</v>
      </c>
      <c r="F11" s="20">
        <f>'Cash &amp; Runway'!C9</f>
        <v>0</v>
      </c>
    </row>
    <row r="12" spans="1:6">
      <c r="A12" s="35" t="s">
        <v>418</v>
      </c>
      <c r="B12" s="21" t="s">
        <v>419</v>
      </c>
      <c r="C12" s="34">
        <f>IFERROR('Assumptions'!$C$8/MAX(1,MAX(0,(((('Assumptions'!$C$15*(1-'Assumptions'!$C$28))+((MAX(0,('Assumptions'!$C$13+('Assumptions'!$C$16+'Assumptions'!$C$19+'Assumptions'!$C$22)-'Assumptions'!$C$13*'Assumptions'!$C$14)-('Assumptions'!$C$15*(1-'Assumptions'!$C$28))))*'Assumptions'!$C$27))*('Assumptions'!$C$29*(1-'Assumptions'!$C$31)+'Assumptions'!$C$30*'Assumptions'!$C$31))*('Assumptions'!$C$35+'Assumptions'!$C$36)+('Assumptions'!$C$13+('Assumptions'!$C$16+'Assumptions'!$C$19+'Assumptions'!$C$22)-'Assumptions'!$C$13*'Assumptions'!$C$14)*'Assumptions'!$C$37+(('Assumptions'!$C$15*(1-'Assumptions'!$C$28))+((MAX(0,('Assumptions'!$C$13+('Assumptions'!$C$16+'Assumptions'!$C$19+'Assumptions'!$C$22)-'Assumptions'!$C$13*'Assumptions'!$C$14)-('Assumptions'!$C$15*(1-'Assumptions'!$C$28))))*'Assumptions'!$C$27))*'Assumptions'!$C$38+('Assumptions'!$C$41*'Assumptions'!$C$43))+('Assumptions'!$C$46*'Assumptions'!$C$48+'Assumptions'!$C$51*'Assumptions'!$C$53+'Assumptions'!$C$56*'Assumptions'!$C$58)+((('Assumptions'!$C$16*'Assumptions'!$C$18+'Assumptions'!$C$19*'Assumptions'!$C$21+'Assumptions'!$C$22*'Assumptions'!$C$24))+'Assumptions'!$C$61+'Assumptions'!$C$62+'Assumptions'!$C$63)-((('Assumptions'!$C$15*(1-'Assumptions'!$C$28))+((MAX(0,('Assumptions'!$C$13+('Assumptions'!$C$16+'Assumptions'!$C$19+'Assumptions'!$C$22)-'Assumptions'!$C$13*'Assumptions'!$C$14)-('Assumptions'!$C$15*(1-'Assumptions'!$C$28))))*'Assumptions'!$C$27))*('Assumptions'!$C$29*(1-'Assumptions'!$C$31)+'Assumptions'!$C$30*'Assumptions'!$C$31)))),999)</f>
        <v>0</v>
      </c>
      <c r="D12" s="34">
        <f>IFERROR('Assumptions'!$D$8/MAX(1,MAX(0,(((('Assumptions'!$D$15*(1-'Assumptions'!$D$28))+((MAX(0,('Assumptions'!$D$13+('Assumptions'!$D$16+'Assumptions'!$D$19+'Assumptions'!$D$22)-'Assumptions'!$D$13*'Assumptions'!$D$14)-('Assumptions'!$D$15*(1-'Assumptions'!$D$28))))*'Assumptions'!$D$27))*('Assumptions'!$D$29*(1-'Assumptions'!$D$31)+'Assumptions'!$D$30*'Assumptions'!$D$31))*('Assumptions'!$D$35+'Assumptions'!$D$36)+('Assumptions'!$D$13+('Assumptions'!$D$16+'Assumptions'!$D$19+'Assumptions'!$D$22)-'Assumptions'!$D$13*'Assumptions'!$D$14)*'Assumptions'!$D$37+(('Assumptions'!$D$15*(1-'Assumptions'!$D$28))+((MAX(0,('Assumptions'!$D$13+('Assumptions'!$D$16+'Assumptions'!$D$19+'Assumptions'!$D$22)-'Assumptions'!$D$13*'Assumptions'!$D$14)-('Assumptions'!$D$15*(1-'Assumptions'!$D$28))))*'Assumptions'!$D$27))*'Assumptions'!$D$38+('Assumptions'!$D$41*'Assumptions'!$D$43))+('Assumptions'!$D$46*'Assumptions'!$D$48+'Assumptions'!$D$51*'Assumptions'!$D$53+'Assumptions'!$D$56*'Assumptions'!$D$58)+((('Assumptions'!$D$16*'Assumptions'!$D$18+'Assumptions'!$D$19*'Assumptions'!$D$21+'Assumptions'!$D$22*'Assumptions'!$D$24))+'Assumptions'!$D$61+'Assumptions'!$D$62+'Assumptions'!$D$63)-((('Assumptions'!$D$15*(1-'Assumptions'!$D$28))+((MAX(0,('Assumptions'!$D$13+('Assumptions'!$D$16+'Assumptions'!$D$19+'Assumptions'!$D$22)-'Assumptions'!$D$13*'Assumptions'!$D$14)-('Assumptions'!$D$15*(1-'Assumptions'!$D$28))))*'Assumptions'!$D$27))*('Assumptions'!$D$29*(1-'Assumptions'!$D$31)+'Assumptions'!$D$30*'Assumptions'!$D$31)))),999)</f>
        <v>0</v>
      </c>
      <c r="E12" s="34">
        <f>IFERROR('Assumptions'!$E$8/MAX(1,MAX(0,(((('Assumptions'!$E$15*(1-'Assumptions'!$E$28))+((MAX(0,('Assumptions'!$E$13+('Assumptions'!$E$16+'Assumptions'!$E$19+'Assumptions'!$E$22)-'Assumptions'!$E$13*'Assumptions'!$E$14)-('Assumptions'!$E$15*(1-'Assumptions'!$E$28))))*'Assumptions'!$E$27))*('Assumptions'!$E$29*(1-'Assumptions'!$E$31)+'Assumptions'!$E$30*'Assumptions'!$E$31))*('Assumptions'!$E$35+'Assumptions'!$E$36)+('Assumptions'!$E$13+('Assumptions'!$E$16+'Assumptions'!$E$19+'Assumptions'!$E$22)-'Assumptions'!$E$13*'Assumptions'!$E$14)*'Assumptions'!$E$37+(('Assumptions'!$E$15*(1-'Assumptions'!$E$28))+((MAX(0,('Assumptions'!$E$13+('Assumptions'!$E$16+'Assumptions'!$E$19+'Assumptions'!$E$22)-'Assumptions'!$E$13*'Assumptions'!$E$14)-('Assumptions'!$E$15*(1-'Assumptions'!$E$28))))*'Assumptions'!$E$27))*'Assumptions'!$E$38+('Assumptions'!$E$41*'Assumptions'!$E$43))+('Assumptions'!$E$46*'Assumptions'!$E$48+'Assumptions'!$E$51*'Assumptions'!$E$53+'Assumptions'!$E$56*'Assumptions'!$E$58)+((('Assumptions'!$E$16*'Assumptions'!$E$18+'Assumptions'!$E$19*'Assumptions'!$E$21+'Assumptions'!$E$22*'Assumptions'!$E$24))+'Assumptions'!$E$61+'Assumptions'!$E$62+'Assumptions'!$E$63)-((('Assumptions'!$E$15*(1-'Assumptions'!$E$28))+((MAX(0,('Assumptions'!$E$13+('Assumptions'!$E$16+'Assumptions'!$E$19+'Assumptions'!$E$22)-'Assumptions'!$E$13*'Assumptions'!$E$14)-('Assumptions'!$E$15*(1-'Assumptions'!$E$28))))*'Assumptions'!$E$27))*('Assumptions'!$E$29*(1-'Assumptions'!$E$31)+'Assumptions'!$E$30*'Assumptions'!$E$31)))),999)</f>
        <v>0</v>
      </c>
      <c r="F12" s="34">
        <f>'Cash &amp; Runway'!AL11</f>
        <v>0</v>
      </c>
    </row>
    <row r="14" spans="1:6">
      <c r="A14" s="14" t="s">
        <v>420</v>
      </c>
      <c r="B14" s="14"/>
      <c r="C14" s="14"/>
      <c r="D14" s="14"/>
      <c r="E14" s="14"/>
      <c r="F14" s="14"/>
    </row>
    <row r="15" spans="1:6">
      <c r="A15" s="36" t="s">
        <v>421</v>
      </c>
      <c r="C15" s="36">
        <f>IF(ISNUMBER(MATCH('Assumptions'!$C$4,{"Base","Upside","Downside"},0)),"OK","INVALID")</f>
        <v>0</v>
      </c>
    </row>
  </sheetData>
  <mergeCells count="3">
    <mergeCell ref="A1:F1"/>
    <mergeCell ref="A2:F2"/>
    <mergeCell ref="A14:F14"/>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S6"/>
  <sheetViews>
    <sheetView showGridLines="0" zoomScale="110" zoomScaleNormal="110" workbookViewId="0">
      <pane ySplit="3" topLeftCell="A4" activePane="bottomLeft" state="frozen"/>
      <selection pane="bottomLeft"/>
    </sheetView>
  </sheetViews>
  <sheetFormatPr defaultRowHeight="15"/>
  <cols>
    <col min="1" max="19" width="9.7109375" customWidth="1"/>
  </cols>
  <sheetData>
    <row r="1" spans="1:19" ht="22" customHeight="1">
      <c r="A1" s="1" t="s">
        <v>422</v>
      </c>
      <c r="B1" s="1"/>
      <c r="C1" s="1"/>
      <c r="D1" s="1"/>
      <c r="E1" s="1"/>
      <c r="F1" s="1"/>
      <c r="G1" s="1"/>
      <c r="H1" s="1"/>
      <c r="I1" s="1"/>
      <c r="J1" s="1"/>
      <c r="K1" s="1"/>
      <c r="L1" s="1"/>
      <c r="M1" s="1"/>
      <c r="N1" s="1"/>
      <c r="O1" s="1"/>
      <c r="P1" s="1"/>
      <c r="Q1" s="1"/>
      <c r="R1" s="1"/>
      <c r="S1" s="1"/>
    </row>
    <row r="2" spans="1:19" ht="16" customHeight="1">
      <c r="A2" s="2" t="s">
        <v>423</v>
      </c>
      <c r="B2" s="2"/>
      <c r="C2" s="2"/>
      <c r="D2" s="2"/>
      <c r="E2" s="2"/>
      <c r="F2" s="2"/>
      <c r="G2" s="2"/>
      <c r="H2" s="2"/>
      <c r="I2" s="2"/>
      <c r="J2" s="2"/>
      <c r="K2" s="2"/>
      <c r="L2" s="2"/>
      <c r="M2" s="2"/>
      <c r="N2" s="2"/>
      <c r="O2" s="2"/>
      <c r="P2" s="2"/>
      <c r="Q2" s="2"/>
      <c r="R2" s="2"/>
      <c r="S2" s="2"/>
    </row>
    <row r="4" spans="1:19" ht="20" customHeight="1">
      <c r="A4" s="37" t="s">
        <v>424</v>
      </c>
      <c r="B4" s="37"/>
      <c r="C4" s="37"/>
      <c r="D4" s="37" t="s">
        <v>425</v>
      </c>
      <c r="E4" s="37"/>
      <c r="F4" s="37"/>
      <c r="G4" s="37" t="s">
        <v>426</v>
      </c>
      <c r="H4" s="37"/>
      <c r="I4" s="37"/>
      <c r="J4" s="37" t="s">
        <v>427</v>
      </c>
      <c r="K4" s="37"/>
      <c r="L4" s="37"/>
      <c r="M4" s="37" t="s">
        <v>428</v>
      </c>
      <c r="N4" s="37"/>
      <c r="O4" s="37"/>
      <c r="P4" s="37" t="s">
        <v>269</v>
      </c>
      <c r="Q4" s="37"/>
      <c r="R4" s="37"/>
    </row>
    <row r="5" spans="1:19">
      <c r="A5" s="38">
        <f>'Revenue'!AL21</f>
        <v>0</v>
      </c>
      <c r="B5" s="38"/>
      <c r="C5" s="38"/>
      <c r="D5" s="38">
        <f>'Revenue'!AL28</f>
        <v>0</v>
      </c>
      <c r="E5" s="38"/>
      <c r="F5" s="38"/>
      <c r="G5" s="38">
        <f>'Revenue'!AL35</f>
        <v>0</v>
      </c>
      <c r="H5" s="38"/>
      <c r="I5" s="38"/>
      <c r="J5" s="39">
        <f>'COGS &amp; GM'!AL17</f>
        <v>0</v>
      </c>
      <c r="K5" s="39"/>
      <c r="L5" s="39"/>
      <c r="M5" s="38">
        <f>'COGS &amp; GM'!AL20</f>
        <v>0</v>
      </c>
      <c r="N5" s="38"/>
      <c r="O5" s="38"/>
      <c r="P5" s="38">
        <f>'Cash &amp; Runway'!AL11</f>
        <v>0</v>
      </c>
      <c r="Q5" s="38"/>
      <c r="R5" s="38"/>
    </row>
    <row r="6" spans="1:19">
      <c r="A6" s="38"/>
      <c r="B6" s="38"/>
      <c r="C6" s="38"/>
      <c r="D6" s="38"/>
      <c r="E6" s="38"/>
      <c r="F6" s="38"/>
      <c r="G6" s="38"/>
      <c r="H6" s="38"/>
      <c r="I6" s="38"/>
      <c r="J6" s="39"/>
      <c r="K6" s="39"/>
      <c r="L6" s="39"/>
      <c r="M6" s="38"/>
      <c r="N6" s="38"/>
      <c r="O6" s="38"/>
      <c r="P6" s="38"/>
      <c r="Q6" s="38"/>
      <c r="R6" s="38"/>
    </row>
  </sheetData>
  <mergeCells count="14">
    <mergeCell ref="A1:S1"/>
    <mergeCell ref="A2:S2"/>
    <mergeCell ref="A4:C4"/>
    <mergeCell ref="A5:C6"/>
    <mergeCell ref="D4:F4"/>
    <mergeCell ref="D5:F6"/>
    <mergeCell ref="G4:I4"/>
    <mergeCell ref="G5:I6"/>
    <mergeCell ref="J4:L4"/>
    <mergeCell ref="J5:L6"/>
    <mergeCell ref="M4:O4"/>
    <mergeCell ref="M5:O6"/>
    <mergeCell ref="P4:R4"/>
    <mergeCell ref="P5:R6"/>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D12"/>
  <sheetViews>
    <sheetView showGridLines="0" zoomScale="110" zoomScaleNormal="110" workbookViewId="0">
      <pane ySplit="4" topLeftCell="A5" activePane="bottomLeft" state="frozen"/>
      <selection pane="bottomLeft"/>
    </sheetView>
  </sheetViews>
  <sheetFormatPr defaultRowHeight="15"/>
  <cols>
    <col min="1" max="1" width="34.7109375" customWidth="1"/>
    <col min="2" max="2" width="52.7109375" customWidth="1"/>
    <col min="3" max="3" width="16.7109375" customWidth="1"/>
    <col min="4" max="4" width="14.7109375" customWidth="1"/>
  </cols>
  <sheetData>
    <row r="1" spans="1:4" ht="22" customHeight="1">
      <c r="A1" s="1" t="s">
        <v>429</v>
      </c>
      <c r="B1" s="1"/>
      <c r="C1" s="1"/>
      <c r="D1" s="1"/>
    </row>
    <row r="2" spans="1:4" ht="16" customHeight="1">
      <c r="A2" s="2" t="s">
        <v>430</v>
      </c>
      <c r="B2" s="2"/>
      <c r="C2" s="2"/>
      <c r="D2" s="2"/>
    </row>
    <row r="4" spans="1:4">
      <c r="A4" s="17" t="s">
        <v>431</v>
      </c>
      <c r="B4" s="17" t="s">
        <v>432</v>
      </c>
      <c r="C4" s="17" t="s">
        <v>433</v>
      </c>
      <c r="D4" s="17" t="s">
        <v>434</v>
      </c>
    </row>
    <row r="5" spans="1:4">
      <c r="A5" s="35" t="s">
        <v>435</v>
      </c>
      <c r="B5" s="21" t="s">
        <v>436</v>
      </c>
      <c r="C5" s="40">
        <f t="array" ref="C5">MAX(ABS('Balance Sheet'!C26:AL26))</f>
        <v>0</v>
      </c>
      <c r="D5" s="36">
        <f t="array" ref="D5">IF(MAX(ABS('Balance Sheet'!C26:AL26))&lt;1.0,"PASS","FAIL")</f>
        <v>0</v>
      </c>
    </row>
    <row r="6" spans="1:4">
      <c r="A6" s="35" t="s">
        <v>437</v>
      </c>
      <c r="B6" s="21" t="s">
        <v>438</v>
      </c>
      <c r="C6" s="40">
        <f t="array" ref="C6">MAX(ABS('Balance Sheet'!C8:AL8-'Cash Flow'!C28:AL28))</f>
        <v>0</v>
      </c>
      <c r="D6" s="36">
        <f t="array" ref="D6">IF(MAX(ABS('Balance Sheet'!C8:AL8-'Cash Flow'!C28:AL28))&lt;1.0,"PASS","FAIL")</f>
        <v>0</v>
      </c>
    </row>
    <row r="7" spans="1:4">
      <c r="A7" s="35" t="s">
        <v>439</v>
      </c>
      <c r="B7" s="21" t="s">
        <v>440</v>
      </c>
      <c r="C7" s="40">
        <f t="array" ref="C7">MAX(ABS('Balance Sheet'!D22:AL22-'Balance Sheet'!C22:AK22-'P&amp;L'!D24:AL24))</f>
        <v>0</v>
      </c>
      <c r="D7" s="36">
        <f t="array" ref="D7">IF(MAX(ABS('Balance Sheet'!D22:AL22-'Balance Sheet'!C22:AK22-'P&amp;L'!D24:AL24))&lt;1.0,"PASS","FAIL")</f>
        <v>0</v>
      </c>
    </row>
    <row r="8" spans="1:4">
      <c r="A8" s="35" t="s">
        <v>441</v>
      </c>
      <c r="B8" s="21" t="s">
        <v>442</v>
      </c>
      <c r="C8" s="40">
        <f t="array" ref="C8">MAX(MAX(ABS(('P&amp;L'!C7:AL7-'P&amp;L'!C8:AL8)-'P&amp;L'!C9:AL9)),MAX(ABS(('P&amp;L'!C9:AL9-'P&amp;L'!C16:AL16)-'P&amp;L'!C18:AL18)),MAX(ABS(('P&amp;L'!C18:AL18-'P&amp;L'!C19:AL19)-'P&amp;L'!C20:AL20)),MAX(ABS(('P&amp;L'!C20:AL20-'P&amp;L'!C21:AL21)-'P&amp;L'!C22:AL22)),MAX(ABS(('P&amp;L'!C22:AL22-'P&amp;L'!C23:AL23)-'P&amp;L'!C24:AL24)))</f>
        <v>0</v>
      </c>
      <c r="D8" s="36">
        <f t="array" ref="D8">IF(MAX(MAX(ABS(('P&amp;L'!C7:AL7-'P&amp;L'!C8:AL8)-'P&amp;L'!C9:AL9)),MAX(ABS(('P&amp;L'!C9:AL9-'P&amp;L'!C16:AL16)-'P&amp;L'!C18:AL18)),MAX(ABS(('P&amp;L'!C18:AL18-'P&amp;L'!C19:AL19)-'P&amp;L'!C20:AL20)),MAX(ABS(('P&amp;L'!C20:AL20-'P&amp;L'!C21:AL21)-'P&amp;L'!C22:AL22)),MAX(ABS(('P&amp;L'!C22:AL22-'P&amp;L'!C23:AL23)-'P&amp;L'!C24:AL24)))&lt;1.0,"PASS","FAIL")</f>
        <v>0</v>
      </c>
    </row>
    <row r="9" spans="1:4">
      <c r="A9" s="35" t="s">
        <v>443</v>
      </c>
      <c r="B9" s="21" t="s">
        <v>444</v>
      </c>
      <c r="C9" s="40">
        <f t="array" ref="C9">IF('Scenarios'!C15="OK",1,0)</f>
        <v>0</v>
      </c>
      <c r="D9" s="36">
        <f t="array" ref="D9">IF('Scenarios'!C15="OK","PASS","FAIL")</f>
        <v>0</v>
      </c>
    </row>
    <row r="10" spans="1:4">
      <c r="A10" s="35" t="s">
        <v>445</v>
      </c>
      <c r="B10" s="21" t="s">
        <v>446</v>
      </c>
      <c r="C10" s="20">
        <f t="array" ref="C10">SUMPRODUCT(--ISERROR('Headcount'!C5:BC260))+SUMPRODUCT(--ISERROR('Revenue'!C5:BC260))+SUMPRODUCT(--ISERROR('COGS &amp; GM'!C5:BC260))+SUMPRODUCT(--ISERROR('Opex'!C5:BC260))+SUMPRODUCT(--ISERROR('Working Capital'!C5:BC260))+SUMPRODUCT(--ISERROR('P&amp;L'!C5:BC260))+SUMPRODUCT(--ISERROR('Balance Sheet'!C5:BC260))+SUMPRODUCT(--ISERROR('Cash Flow'!C5:BC260))+SUMPRODUCT(--ISERROR('Cash &amp; Runway'!C5:BC260))</f>
        <v>0</v>
      </c>
      <c r="D10" s="36">
        <f t="array" ref="D10">IF((SUMPRODUCT(--ISERROR('Headcount'!C5:BC260))+SUMPRODUCT(--ISERROR('Revenue'!C5:BC260))+SUMPRODUCT(--ISERROR('COGS &amp; GM'!C5:BC260))+SUMPRODUCT(--ISERROR('Opex'!C5:BC260))+SUMPRODUCT(--ISERROR('Working Capital'!C5:BC260))+SUMPRODUCT(--ISERROR('P&amp;L'!C5:BC260))+SUMPRODUCT(--ISERROR('Balance Sheet'!C5:BC260))+SUMPRODUCT(--ISERROR('Cash Flow'!C5:BC260))+SUMPRODUCT(--ISERROR('Cash &amp; Runway'!C5:BC260)))=0,"PASS","FAIL")</f>
        <v>0</v>
      </c>
    </row>
    <row r="12" spans="1:4">
      <c r="A12" s="31" t="s">
        <v>447</v>
      </c>
      <c r="B12" s="31" t="s">
        <v>448</v>
      </c>
      <c r="C12" s="31"/>
      <c r="D12" s="31">
        <f>IF(AND(D5="PASS",D6="PASS",D7="PASS",D8="PASS",D9="PASS",D10="PASS"),"ALL PASS","REVIEW NEEDED")</f>
        <v>0</v>
      </c>
    </row>
  </sheetData>
  <mergeCells count="3">
    <mergeCell ref="A1:D1"/>
    <mergeCell ref="A2:D2"/>
    <mergeCell ref="B12:C12"/>
  </mergeCells>
  <conditionalFormatting sqref="D10">
    <cfRule type="cellIs" dxfId="0" priority="11" operator="equal">
      <formula>"PASS"</formula>
    </cfRule>
    <cfRule type="cellIs" dxfId="1" priority="12" operator="equal">
      <formula>"FAIL"</formula>
    </cfRule>
  </conditionalFormatting>
  <conditionalFormatting sqref="D12">
    <cfRule type="cellIs" dxfId="0" priority="13" operator="equal">
      <formula>"ALL PASS"</formula>
    </cfRule>
    <cfRule type="cellIs" dxfId="1" priority="14" operator="equal">
      <formula>"REVIEW NEEDED"</formula>
    </cfRule>
  </conditionalFormatting>
  <conditionalFormatting sqref="D5">
    <cfRule type="cellIs" dxfId="0" priority="1" operator="equal">
      <formula>"PASS"</formula>
    </cfRule>
    <cfRule type="cellIs" dxfId="1" priority="2" operator="equal">
      <formula>"FAIL"</formula>
    </cfRule>
  </conditionalFormatting>
  <conditionalFormatting sqref="D6">
    <cfRule type="cellIs" dxfId="0" priority="3" operator="equal">
      <formula>"PASS"</formula>
    </cfRule>
    <cfRule type="cellIs" dxfId="1" priority="4" operator="equal">
      <formula>"FAIL"</formula>
    </cfRule>
  </conditionalFormatting>
  <conditionalFormatting sqref="D7">
    <cfRule type="cellIs" dxfId="0" priority="5" operator="equal">
      <formula>"PASS"</formula>
    </cfRule>
    <cfRule type="cellIs" dxfId="1" priority="6" operator="equal">
      <formula>"FAIL"</formula>
    </cfRule>
  </conditionalFormatting>
  <conditionalFormatting sqref="D8">
    <cfRule type="cellIs" dxfId="0" priority="7" operator="equal">
      <formula>"PASS"</formula>
    </cfRule>
    <cfRule type="cellIs" dxfId="1" priority="8" operator="equal">
      <formula>"FAIL"</formula>
    </cfRule>
  </conditionalFormatting>
  <conditionalFormatting sqref="D9">
    <cfRule type="cellIs" dxfId="0" priority="9" operator="equal">
      <formula>"PASS"</formula>
    </cfRule>
    <cfRule type="cellIs" dxfId="1" priority="10" operator="equal">
      <formula>"FAIL"</formula>
    </cfRule>
  </conditionalFormatting>
  <pageMargins left="0.7" right="0.7" top="0.75" bottom="0.75" header="0.3" footer="0.3"/>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9</vt:i4>
      </vt:variant>
    </vt:vector>
  </HeadingPairs>
  <TitlesOfParts>
    <vt:vector size="23" baseType="lpstr">
      <vt:lpstr>Read Me</vt:lpstr>
      <vt:lpstr>Assumptions</vt:lpstr>
      <vt:lpstr>Headcount</vt:lpstr>
      <vt:lpstr>Revenue</vt:lpstr>
      <vt:lpstr>COGS &amp; GM</vt:lpstr>
      <vt:lpstr>Opex</vt:lpstr>
      <vt:lpstr>Working Capital</vt:lpstr>
      <vt:lpstr>P&amp;L</vt:lpstr>
      <vt:lpstr>Balance Sheet</vt:lpstr>
      <vt:lpstr>Cash Flow</vt:lpstr>
      <vt:lpstr>Cash &amp; Runway</vt:lpstr>
      <vt:lpstr>Scenarios</vt:lpstr>
      <vt:lpstr>Visuals</vt:lpstr>
      <vt:lpstr>Checks</vt:lpstr>
      <vt:lpstr>'Balance Sheet'!Print_Titles</vt:lpstr>
      <vt:lpstr>'Cash &amp; Runway'!Print_Titles</vt:lpstr>
      <vt:lpstr>'Cash Flow'!Print_Titles</vt:lpstr>
      <vt:lpstr>'COGS &amp; GM'!Print_Titles</vt:lpstr>
      <vt:lpstr>Headcount!Print_Titles</vt:lpstr>
      <vt:lpstr>Opex!Print_Titles</vt:lpstr>
      <vt:lpstr>'P&amp;L'!Print_Titles</vt:lpstr>
      <vt:lpstr>Revenue!Print_Titles</vt:lpstr>
      <vt:lpstr>'Working Capital'!Print_Titles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2026-09-03T02:40:05Z</dcterms:created>
  <dcterms:modified xsi:type="dcterms:W3CDTF">2026-09-03T02:40:05Z</dcterms:modified>
</cp:coreProperties>
</file>